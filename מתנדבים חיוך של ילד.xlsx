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שיבוץ חונכויות - בקשות" sheetId="1" r:id="rId4"/>
    <sheet state="visible" name="תגובות לטופס רישום מתנדבים" sheetId="2" r:id="rId5"/>
    <sheet state="visible" name="מתנדבים + חונכים" sheetId="3" r:id="rId6"/>
  </sheets>
  <definedNames>
    <definedName hidden="1" localSheetId="2" name="_xlnm._FilterDatabase">'מתנדבים + חונכים'!$A$1:$N$449</definedName>
  </definedNames>
  <calcPr/>
</workbook>
</file>

<file path=xl/sharedStrings.xml><?xml version="1.0" encoding="utf-8"?>
<sst xmlns="http://schemas.openxmlformats.org/spreadsheetml/2006/main" count="3525" uniqueCount="1649">
  <si>
    <t>חותמת זמן</t>
  </si>
  <si>
    <t>שם המתנדב/ת</t>
  </si>
  <si>
    <t>עיר מגורים</t>
  </si>
  <si>
    <t>גיל</t>
  </si>
  <si>
    <t>חניכים - במידה ואין העדפה למקום ספציפי ניתן לבחור כמה ומהם יבחר אחד</t>
  </si>
  <si>
    <t>עמודה 1</t>
  </si>
  <si>
    <t xml:space="preserve">אליענה פרידמן </t>
  </si>
  <si>
    <t xml:space="preserve">בית שמש </t>
  </si>
  <si>
    <t>אלירז בת 5 מנריה ליד מודיעין</t>
  </si>
  <si>
    <t>משפחות לחונכות</t>
  </si>
  <si>
    <t>אדום- נפטר</t>
  </si>
  <si>
    <t xml:space="preserve">אביגיל מלאך </t>
  </si>
  <si>
    <t xml:space="preserve">ירושלים </t>
  </si>
  <si>
    <t xml:space="preserve">כתום - חדש </t>
  </si>
  <si>
    <t>אדיר שמואל בן 13 מחולון</t>
  </si>
  <si>
    <t>נעם אנגלמן</t>
  </si>
  <si>
    <t>כפר סבא</t>
  </si>
  <si>
    <t>דניאל גולדפלד בן 6.5 מהרצליה</t>
  </si>
  <si>
    <t>אריאל כהן בן 12 מחולון</t>
  </si>
  <si>
    <t>משפחה</t>
  </si>
  <si>
    <t>מתנדב לשיבוץ</t>
  </si>
  <si>
    <t>הערה</t>
  </si>
  <si>
    <t xml:space="preserve">תהלה רבינוביץ </t>
  </si>
  <si>
    <t xml:space="preserve">הרצליה </t>
  </si>
  <si>
    <t>עדן בת 1.7 מרעננה, דניאל גולדפלד בן 6.5 מהרצליה, ארנלה סוסנוב בת 6 מנתניה</t>
  </si>
  <si>
    <t>איילה קריסי בת 11 משדרות?</t>
  </si>
  <si>
    <t>לירז מוטחדה בת 16 מבת ים</t>
  </si>
  <si>
    <t>ליאור עופרי (אשמח לעשות חונכות ביחד עם אפרת ירדן מאלקנה)</t>
  </si>
  <si>
    <t>אלקנה</t>
  </si>
  <si>
    <t>ליה דביר בת 8 מאור יהודה, אסתר דהאן בת 2 מרחובות, אלירז בת 5 מנריה ליד מודיעין, דריה אליאסי בת 1 מאלעד</t>
  </si>
  <si>
    <t>יותם יאיר לוי בן 9.5 מעובדה</t>
  </si>
  <si>
    <t>אילת ריכטר בת 15 מפתח תקווה (לא לשבץ כרגע)</t>
  </si>
  <si>
    <t xml:space="preserve">הדס ציסמדיה </t>
  </si>
  <si>
    <t>אודליה פלדמן</t>
  </si>
  <si>
    <t>רעננה</t>
  </si>
  <si>
    <t>עדן בת 1.7 מרעננה</t>
  </si>
  <si>
    <t>ליה דביר בת 8 מאור יהודה</t>
  </si>
  <si>
    <t>אדיר שמואל בן 14 מחולון</t>
  </si>
  <si>
    <t>אפרת ירדן</t>
  </si>
  <si>
    <t>ליה דביר בת 8 מאור יהודה, אסתר דהאן בת 2 מרחובות, אלירז בת 5 מנריה ליד מודיעין</t>
  </si>
  <si>
    <t>אמרי דוד בן 4 מנהריה</t>
  </si>
  <si>
    <t>פאר פריאוף בן 3 מרמלה</t>
  </si>
  <si>
    <t>אילה כהן</t>
  </si>
  <si>
    <t>רונה וייס</t>
  </si>
  <si>
    <t>גבעת חן</t>
  </si>
  <si>
    <t>עדן בת 1.7 מרעננה, דניאל גולדפלד בן 6.5 מהרצליה</t>
  </si>
  <si>
    <t>דניאל יאגר בן 4 מקריית עקרון (על הרצף)</t>
  </si>
  <si>
    <t>גילת ויל</t>
  </si>
  <si>
    <t>נועם גבאי בן 11 מצורן</t>
  </si>
  <si>
    <t>נועם צוהר</t>
  </si>
  <si>
    <t>חיים אליאן כחלון בן 3 מגדרה</t>
  </si>
  <si>
    <t>איילה קריסי בת 11 משדרות</t>
  </si>
  <si>
    <t xml:space="preserve">יהונתן איזנברג </t>
  </si>
  <si>
    <t>גבעת שמואל</t>
  </si>
  <si>
    <t>נווה כהן בן 13 מחולון, אדיר שמואל בן 13 מחולון, אריאל כהן בן 12 מחולון</t>
  </si>
  <si>
    <t>אריאל עזרא בת 3 מבית שאן</t>
  </si>
  <si>
    <t>ספיר יאייך</t>
  </si>
  <si>
    <t>הוד השרון</t>
  </si>
  <si>
    <t>אסתר דהאן בת 2 מרחובות</t>
  </si>
  <si>
    <t>אמרי דוד בן 5 מנהריה</t>
  </si>
  <si>
    <t xml:space="preserve">איתן אלטשולר </t>
  </si>
  <si>
    <t>סוסיא</t>
  </si>
  <si>
    <t>יונתן עזרא בן 12 מבאר שבע</t>
  </si>
  <si>
    <t>מנור ברכה בת 1.6 מחדרה</t>
  </si>
  <si>
    <t>נועה אסבן בת 3.5 ממגדלים</t>
  </si>
  <si>
    <t>רות דשא</t>
  </si>
  <si>
    <t>נועה אסבן בת 3.5 ממגדלים.</t>
  </si>
  <si>
    <t>ליאן דיאנה בת 6 מטבריה</t>
  </si>
  <si>
    <t xml:space="preserve">נאוה </t>
  </si>
  <si>
    <t>אליאן כחלון בת 3 מנתניה</t>
  </si>
  <si>
    <t>אסתר דהאן בת שנתיים מרחובות 2 אחים גדולים בנים בני חמש ושש</t>
  </si>
  <si>
    <t>עמית קדוש בן 1 מבית שאן</t>
  </si>
  <si>
    <t>אליאן כחלון בן שנתיים מנתניה אחים- בן 8, בן 11, בת 12 וחצי</t>
  </si>
  <si>
    <t>אליאן כחלון בת 2 מנתניה</t>
  </si>
  <si>
    <t>שליו גולמן בן 4.5 מגני תקווה</t>
  </si>
  <si>
    <t>שגיא פרחובניק בן 13 מנוף הגליל</t>
  </si>
  <si>
    <t>רפאל גיגי בן שנתיים מטבריה</t>
  </si>
  <si>
    <t>שילו בן 8 מיבניאל</t>
  </si>
  <si>
    <t>דניאל גולדפלד בת 6 מהרצליה אחות בת ארבע</t>
  </si>
  <si>
    <t>נאווה אלטס</t>
  </si>
  <si>
    <t>רפאל גיגי בן 3 מטבריה</t>
  </si>
  <si>
    <t>אליעאנה פרידמן</t>
  </si>
  <si>
    <t>עוד אין פרטים-</t>
  </si>
  <si>
    <t>עילאי שלמה אברהם בן 16 ממודיעין</t>
  </si>
  <si>
    <t>בניה שטרן בן 4 מרמת גן</t>
  </si>
  <si>
    <t>נועה עובדיה בת 17 מאבני חפץ</t>
  </si>
  <si>
    <t xml:space="preserve">אלה גבאי בת 5 מחצור הגלילית </t>
  </si>
  <si>
    <t>ארי דמארי בן 6.5 מאשקלון</t>
  </si>
  <si>
    <t>רחלי אביקסיס בת 5 מתניה</t>
  </si>
  <si>
    <t>דריה אליאסי בת 1 מאלעד</t>
  </si>
  <si>
    <t>דניאל וידנפלד בן 3 מהוד השרון</t>
  </si>
  <si>
    <t>איתן אלטשולר</t>
  </si>
  <si>
    <t>אביגיל שירה ביטון בת 4 מגן יבנה</t>
  </si>
  <si>
    <t>ידידיה סמוכה בן 4 מטירת הכרמל</t>
  </si>
  <si>
    <t>יוחאי חדאד בן 8 מיבניאל</t>
  </si>
  <si>
    <t>ארנלה סוסנוב בת 6 מנתניה</t>
  </si>
  <si>
    <t>עדן בת 8 מרעננה</t>
  </si>
  <si>
    <t>אמי שרה בת 3 מבית שאן</t>
  </si>
  <si>
    <t>אלירז בת חמש מנריה</t>
  </si>
  <si>
    <t>נועה עובדיה בת 17 מאבני חפץ (אפשרי חונכות?)</t>
  </si>
  <si>
    <t>ארי דמארי בן 5 מאשקלון</t>
  </si>
  <si>
    <t>דריה אליאסי בת שנתיים מאלעד</t>
  </si>
  <si>
    <t>יונתן עזרא בן 13 מבאר שבע</t>
  </si>
  <si>
    <t>עליאי שלמה אברהם בן 16 מאשקלון</t>
  </si>
  <si>
    <t>סוסרנוב ארנלה בת 6 מנתניה</t>
  </si>
  <si>
    <t>יובל מכלוף בת 12 מאשקלון</t>
  </si>
  <si>
    <t>אריאל אלבז בן 11 מאלקנה</t>
  </si>
  <si>
    <t>אביגיל כהן בת שנה מרמת גן</t>
  </si>
  <si>
    <t>עידו נחמיה בן 12 מרמלה</t>
  </si>
  <si>
    <t>מייק איידלמן בן 13 מפתח תקווה</t>
  </si>
  <si>
    <t>שם מלא</t>
  </si>
  <si>
    <t>מגדר</t>
  </si>
  <si>
    <t>תאריך לידה</t>
  </si>
  <si>
    <t>תעודת זהות</t>
  </si>
  <si>
    <t>מספר טלפון</t>
  </si>
  <si>
    <t>מייל</t>
  </si>
  <si>
    <t>דוד</t>
  </si>
  <si>
    <t>הערות</t>
  </si>
  <si>
    <t>צרויה לוי</t>
  </si>
  <si>
    <t>נקבה</t>
  </si>
  <si>
    <t>0549320558</t>
  </si>
  <si>
    <t>tzruya2008@gmail.com</t>
  </si>
  <si>
    <t>הושעיה</t>
  </si>
  <si>
    <t>חונכות אישית</t>
  </si>
  <si>
    <t xml:space="preserve">תהל ברנע </t>
  </si>
  <si>
    <t>0547544837</t>
  </si>
  <si>
    <t>Tahel.barnea@gmail.com</t>
  </si>
  <si>
    <t xml:space="preserve">אביגיל שועי </t>
  </si>
  <si>
    <t>0537700558</t>
  </si>
  <si>
    <t>shuiavigail@gmail.com</t>
  </si>
  <si>
    <t xml:space="preserve">גבעת שמואל </t>
  </si>
  <si>
    <t>התנדבות כללית, חונכות אישית</t>
  </si>
  <si>
    <t xml:space="preserve">רועי וובסטר </t>
  </si>
  <si>
    <t>זכר</t>
  </si>
  <si>
    <t>0506339168</t>
  </si>
  <si>
    <t>roi.webster1@gmail.com</t>
  </si>
  <si>
    <t xml:space="preserve">פתח תקווה </t>
  </si>
  <si>
    <t>דורון שלום</t>
  </si>
  <si>
    <t>0512184737</t>
  </si>
  <si>
    <t>doronshalom08@gmail.com</t>
  </si>
  <si>
    <t>לוד</t>
  </si>
  <si>
    <t>התנדבות כללית</t>
  </si>
  <si>
    <t>יהונתן זמיר</t>
  </si>
  <si>
    <t>054861105</t>
  </si>
  <si>
    <t>Yehonatanzamir99@gmail.com</t>
  </si>
  <si>
    <t>הודיה צדיק</t>
  </si>
  <si>
    <t>0503956101</t>
  </si>
  <si>
    <t>hodayaz2009@gmaiI.com</t>
  </si>
  <si>
    <t>אלעד</t>
  </si>
  <si>
    <t>תפארת חגג</t>
  </si>
  <si>
    <t>0507181992</t>
  </si>
  <si>
    <t>tprthgg2@gmail.com</t>
  </si>
  <si>
    <t>מצפה יריחו, אבל יכולה להגיע למלא מקומות</t>
  </si>
  <si>
    <t>תהילה ואנונו</t>
  </si>
  <si>
    <t>0559984384</t>
  </si>
  <si>
    <t>tehila3028@gmail.com</t>
  </si>
  <si>
    <t>בני ברק</t>
  </si>
  <si>
    <t>עידו רגב</t>
  </si>
  <si>
    <t>038120853</t>
  </si>
  <si>
    <t>0542005661</t>
  </si>
  <si>
    <t>Ido@r2m-media.com</t>
  </si>
  <si>
    <t>תל אביב</t>
  </si>
  <si>
    <t>שני קלר</t>
  </si>
  <si>
    <t>0524529191</t>
  </si>
  <si>
    <t>Shanikl934@gmail.com</t>
  </si>
  <si>
    <t>הדר זהבי</t>
  </si>
  <si>
    <t>0505565585</t>
  </si>
  <si>
    <t>hadarzehavi2007@gmail.com</t>
  </si>
  <si>
    <t>תל אביב-יפו</t>
  </si>
  <si>
    <t xml:space="preserve">אביגיל גרדוב </t>
  </si>
  <si>
    <t>0528088751</t>
  </si>
  <si>
    <t>avigailgerdov@gmail.com</t>
  </si>
  <si>
    <t>רמת גן</t>
  </si>
  <si>
    <t xml:space="preserve">שיראל יוסיאן </t>
  </si>
  <si>
    <t>6/7/0029</t>
  </si>
  <si>
    <t>0585022700</t>
  </si>
  <si>
    <t>shirelosh0987@gmail.com</t>
  </si>
  <si>
    <t xml:space="preserve">חריש </t>
  </si>
  <si>
    <t>מין</t>
  </si>
  <si>
    <t>סוג התנדבות</t>
  </si>
  <si>
    <t>סטטוס</t>
  </si>
  <si>
    <t>מי החניך(חונכות)</t>
  </si>
  <si>
    <t>בקבוצת מתנדבים כללי?</t>
  </si>
  <si>
    <t>הערות המתנדב</t>
  </si>
  <si>
    <t>הערות הרכז</t>
  </si>
  <si>
    <t>אביאל לוי</t>
  </si>
  <si>
    <t>0533607012</t>
  </si>
  <si>
    <t>ninjamanster999@gmail.com</t>
  </si>
  <si>
    <t>עזב/ה</t>
  </si>
  <si>
    <t>לא</t>
  </si>
  <si>
    <t xml:space="preserve">אליה ברנס </t>
  </si>
  <si>
    <t>0553044286</t>
  </si>
  <si>
    <t>eliyabaranes11@gmail.com</t>
  </si>
  <si>
    <t xml:space="preserve"> יד בנימין</t>
  </si>
  <si>
    <t>חונכות</t>
  </si>
  <si>
    <t>יש חניך</t>
  </si>
  <si>
    <t>אושר בוגנים</t>
  </si>
  <si>
    <t>כן</t>
  </si>
  <si>
    <t>אביה חלילי</t>
  </si>
  <si>
    <t>0587930390</t>
  </si>
  <si>
    <t>aviyahalili2008@gmail.com</t>
  </si>
  <si>
    <t>פתח תקווה</t>
  </si>
  <si>
    <t>אביתר וגנר</t>
  </si>
  <si>
    <t>0556642634</t>
  </si>
  <si>
    <t>aaa669847@gmil.com</t>
  </si>
  <si>
    <t>ליהי דוויק</t>
  </si>
  <si>
    <t>0549178434</t>
  </si>
  <si>
    <t>Lihiduek567@gmail.con</t>
  </si>
  <si>
    <t>אבן יהודה</t>
  </si>
  <si>
    <t>ממתין לראיון</t>
  </si>
  <si>
    <t>אדר ונה</t>
  </si>
  <si>
    <t>0522062666</t>
  </si>
  <si>
    <t>adarvana7@gmail.com</t>
  </si>
  <si>
    <t>מודיעין</t>
  </si>
  <si>
    <t>נריה בר ישועה</t>
  </si>
  <si>
    <t>0552272025</t>
  </si>
  <si>
    <t>neriyabar@gmail.com</t>
  </si>
  <si>
    <t xml:space="preserve">אבן שמואל </t>
  </si>
  <si>
    <t>אין חניך</t>
  </si>
  <si>
    <t>אודליה פרידל</t>
  </si>
  <si>
    <t>0524444136</t>
  </si>
  <si>
    <t>odelyaa7@gmail.com</t>
  </si>
  <si>
    <t>אופיר דידי</t>
  </si>
  <si>
    <t>0504740049</t>
  </si>
  <si>
    <t>Ofirdidi1212@gmail.com</t>
  </si>
  <si>
    <t>תלמים (אשקלון, שדרות)</t>
  </si>
  <si>
    <t xml:space="preserve">  </t>
  </si>
  <si>
    <t>רון תנעמי</t>
  </si>
  <si>
    <t>ron23110311001010@gmail.com</t>
  </si>
  <si>
    <t>אזור</t>
  </si>
  <si>
    <t>שירה צדיק</t>
  </si>
  <si>
    <t>0539842825</t>
  </si>
  <si>
    <t>Shiratzdik@gmail.com</t>
  </si>
  <si>
    <t xml:space="preserve">יהודית אזולאי </t>
  </si>
  <si>
    <t>0559139750</t>
  </si>
  <si>
    <t xml:space="preserve">yeuditazulay2@gmail.com </t>
  </si>
  <si>
    <t xml:space="preserve">אורי אריה </t>
  </si>
  <si>
    <t>0524598003</t>
  </si>
  <si>
    <t>oriarye123@gmail.com</t>
  </si>
  <si>
    <t>קרית נטפים</t>
  </si>
  <si>
    <t>אורי ברוש</t>
  </si>
  <si>
    <t>0587052511</t>
  </si>
  <si>
    <t>הרצליה</t>
  </si>
  <si>
    <t>צוות לא ברשימה ובקבוצה</t>
  </si>
  <si>
    <t>אורי ולץ</t>
  </si>
  <si>
    <t>0546002125</t>
  </si>
  <si>
    <t>orivelts972@gmail.com</t>
  </si>
  <si>
    <t>שערי תקווה</t>
  </si>
  <si>
    <t>מתנדבים לא ברשימה ובקבוצה</t>
  </si>
  <si>
    <t>אורי וקסבלאום</t>
  </si>
  <si>
    <t>0559964586</t>
  </si>
  <si>
    <t>ori039336@gmail.com</t>
  </si>
  <si>
    <t>נחלים</t>
  </si>
  <si>
    <t>מתנדבים ברשימה ובקבוצה</t>
  </si>
  <si>
    <t xml:space="preserve">אור מקחניאן </t>
  </si>
  <si>
    <t>0549673764</t>
  </si>
  <si>
    <t>Or0549673764@gimail.com</t>
  </si>
  <si>
    <t xml:space="preserve">אלעד </t>
  </si>
  <si>
    <t xml:space="preserve">משהו במרכז אשמח </t>
  </si>
  <si>
    <t>סה״כ בקבוצה</t>
  </si>
  <si>
    <t>אורי פלזנר</t>
  </si>
  <si>
    <t>15/04/2002</t>
  </si>
  <si>
    <t>212750459</t>
  </si>
  <si>
    <t>oriplezner1@gmail.com</t>
  </si>
  <si>
    <t>מתנדבים ברשימה ולא בקבוצה</t>
  </si>
  <si>
    <t>אוריה יוסף</t>
  </si>
  <si>
    <t>0549952898</t>
  </si>
  <si>
    <t>Oriyayo8@gmail.com</t>
  </si>
  <si>
    <t>קרני שומרון</t>
  </si>
  <si>
    <t>סה״כ כללי</t>
  </si>
  <si>
    <t>0585960061</t>
  </si>
  <si>
    <t>efraty300@gmail.com</t>
  </si>
  <si>
    <t xml:space="preserve">אוריה פוקסברומר </t>
  </si>
  <si>
    <t>0507893227</t>
  </si>
  <si>
    <t>oriyafuxbrumer@gmail.com</t>
  </si>
  <si>
    <t xml:space="preserve">אלקנה </t>
  </si>
  <si>
    <t>ליאור עופרי</t>
  </si>
  <si>
    <t>0542633676</t>
  </si>
  <si>
    <t>lioriofri@gmail.com</t>
  </si>
  <si>
    <t>איילת היגרי</t>
  </si>
  <si>
    <t xml:space="preserve">A0556708460@gmail.com </t>
  </si>
  <si>
    <t>מודיעין עילית</t>
  </si>
  <si>
    <t>איתי יונגר</t>
  </si>
  <si>
    <t xml:space="preserve">שקד שפירא </t>
  </si>
  <si>
    <t>0534301011</t>
  </si>
  <si>
    <t>Shakedpira@gmail.com</t>
  </si>
  <si>
    <t>איתי רייך</t>
  </si>
  <si>
    <t>Itaireich0508@gmail.com</t>
  </si>
  <si>
    <t xml:space="preserve">אלנתן בנגון </t>
  </si>
  <si>
    <t>0537993493</t>
  </si>
  <si>
    <t>elnatanb111@gmail.com</t>
  </si>
  <si>
    <t xml:space="preserve">אשדוד </t>
  </si>
  <si>
    <t>איתן הרשקו</t>
  </si>
  <si>
    <t>ronivaknin99@gmail.com</t>
  </si>
  <si>
    <t>אלה אלוש</t>
  </si>
  <si>
    <t>אלה פישר</t>
  </si>
  <si>
    <t>0584467076</t>
  </si>
  <si>
    <t>Ellafisher@gmail.com</t>
  </si>
  <si>
    <t>שביט אלגרבלי</t>
  </si>
  <si>
    <t xml:space="preserve">אשקלון </t>
  </si>
  <si>
    <t xml:space="preserve">מאיה ינקלביץ </t>
  </si>
  <si>
    <t>0547023703</t>
  </si>
  <si>
    <t>Mayayankel16@gmail.com</t>
  </si>
  <si>
    <t>בית שמש</t>
  </si>
  <si>
    <t xml:space="preserve">אליאור מתן </t>
  </si>
  <si>
    <t>0546851520</t>
  </si>
  <si>
    <t>eliormatan1@gmail.com</t>
  </si>
  <si>
    <t>0555001014</t>
  </si>
  <si>
    <t>rydeby@gmail.com</t>
  </si>
  <si>
    <t>אליה בוסי</t>
  </si>
  <si>
    <t>0509878555</t>
  </si>
  <si>
    <t>Eliyabusi16@gmail.com</t>
  </si>
  <si>
    <t>שתולים</t>
  </si>
  <si>
    <t>אליה נעים</t>
  </si>
  <si>
    <t>Elianaim90@gmail.com</t>
  </si>
  <si>
    <t>אלישיב פרינס</t>
  </si>
  <si>
    <t>0555510150</t>
  </si>
  <si>
    <t>pelyashiv@gmail.com</t>
  </si>
  <si>
    <t xml:space="preserve">בני נצרים </t>
  </si>
  <si>
    <t xml:space="preserve">טליה אספירו </t>
  </si>
  <si>
    <t>0524472618</t>
  </si>
  <si>
    <t>o524472618@gmail.com</t>
  </si>
  <si>
    <t>אלרואי ביטון</t>
  </si>
  <si>
    <t>209862127</t>
  </si>
  <si>
    <t>elroibiton120@gmail.com</t>
  </si>
  <si>
    <t xml:space="preserve">אמילי שומינוב </t>
  </si>
  <si>
    <t>0522997373</t>
  </si>
  <si>
    <t>Emily2087@walla.com</t>
  </si>
  <si>
    <t>בת ים</t>
  </si>
  <si>
    <t>אפרת אנגלרד</t>
  </si>
  <si>
    <t>Efrat.englard0228@gmail.com</t>
  </si>
  <si>
    <t>נועה אורן</t>
  </si>
  <si>
    <t>0585228633</t>
  </si>
  <si>
    <t>spynrrwt@gmail.com</t>
  </si>
  <si>
    <t>אפרת צלח</t>
  </si>
  <si>
    <t>0512462301</t>
  </si>
  <si>
    <t>efratzalach@gmail.com</t>
  </si>
  <si>
    <t>עדי רוזנבלום</t>
  </si>
  <si>
    <t>0502268061</t>
  </si>
  <si>
    <t>adi2009r@gmail.com</t>
  </si>
  <si>
    <t>רבקה ליכטנפלד</t>
  </si>
  <si>
    <t>r039397050@gmail.com</t>
  </si>
  <si>
    <t xml:space="preserve">נויה גרינברגר </t>
  </si>
  <si>
    <t>Noyagr2010@gmail.com</t>
  </si>
  <si>
    <t>בני ראם</t>
  </si>
  <si>
    <t>זהבה לפה</t>
  </si>
  <si>
    <t>0534803109</t>
  </si>
  <si>
    <t>Lapzahava98@gmail.com</t>
  </si>
  <si>
    <t xml:space="preserve">גבעת זאב </t>
  </si>
  <si>
    <t xml:space="preserve">ברקת שטיינר </t>
  </si>
  <si>
    <t>0584266083</t>
  </si>
  <si>
    <t>bareket2774@gmail.com</t>
  </si>
  <si>
    <t xml:space="preserve">ג'וש סובל </t>
  </si>
  <si>
    <t>גאיה צוברי</t>
  </si>
  <si>
    <t>0558827930</t>
  </si>
  <si>
    <t>gayazubery12@gmail.com</t>
  </si>
  <si>
    <t xml:space="preserve">רמת גן </t>
  </si>
  <si>
    <t>0544721900</t>
  </si>
  <si>
    <t>ronawies@gmail.com</t>
  </si>
  <si>
    <t>אהוד וייס</t>
  </si>
  <si>
    <t>ehodweiss@gmail.com</t>
  </si>
  <si>
    <t xml:space="preserve">גילי פלמון </t>
  </si>
  <si>
    <t>0505393399</t>
  </si>
  <si>
    <t>gilipalmon1@gmail.com</t>
  </si>
  <si>
    <t>מושב בני ראם</t>
  </si>
  <si>
    <t xml:space="preserve">איתי פרוידמן </t>
  </si>
  <si>
    <t>0526136522</t>
  </si>
  <si>
    <t>itai082009@gmail.com</t>
  </si>
  <si>
    <t>גלעד יהודאי</t>
  </si>
  <si>
    <t>0585759392</t>
  </si>
  <si>
    <t>gilady77@gmail.com</t>
  </si>
  <si>
    <t>גלעד נזרי</t>
  </si>
  <si>
    <t>-</t>
  </si>
  <si>
    <t>0509253593</t>
  </si>
  <si>
    <t xml:space="preserve">דביר דהאן </t>
  </si>
  <si>
    <t>Dvir1279@gmail.com</t>
  </si>
  <si>
    <t>אבן שמואל</t>
  </si>
  <si>
    <t>דביר כהן</t>
  </si>
  <si>
    <t>0552273286</t>
  </si>
  <si>
    <t>Dvircohen2007@gmail.com</t>
  </si>
  <si>
    <t>הלל תניא אזוריאל</t>
  </si>
  <si>
    <t>0542351153</t>
  </si>
  <si>
    <t>haleltanya1@gmail.com</t>
  </si>
  <si>
    <t>טליה הורוביץ</t>
  </si>
  <si>
    <t>0524896048</t>
  </si>
  <si>
    <t xml:space="preserve">talya100bh@gmail.com </t>
  </si>
  <si>
    <t>דניאלה קאיקוב</t>
  </si>
  <si>
    <t>0526217664</t>
  </si>
  <si>
    <t>Daniela_k0@walla.com</t>
  </si>
  <si>
    <t>יבנה</t>
  </si>
  <si>
    <t>שיר לחמי</t>
  </si>
  <si>
    <t>29/05/2006</t>
  </si>
  <si>
    <t>216026161</t>
  </si>
  <si>
    <t>shirlahmi06@gmail.com</t>
  </si>
  <si>
    <t>הדס סויסה</t>
  </si>
  <si>
    <t>0535958286</t>
  </si>
  <si>
    <t>hs0535958286@gmail.com</t>
  </si>
  <si>
    <t>אדיר שמואל</t>
  </si>
  <si>
    <t>ביחד עם נועה זוהר</t>
  </si>
  <si>
    <t>איתי אפרתי</t>
  </si>
  <si>
    <t>0509001578</t>
  </si>
  <si>
    <t>itay24efrati@gmail.com</t>
  </si>
  <si>
    <t>הדר אריכא</t>
  </si>
  <si>
    <t>0542277041</t>
  </si>
  <si>
    <t>hadari.aricha@gmail.com</t>
  </si>
  <si>
    <t>הדר גבאי</t>
  </si>
  <si>
    <t>0502447666</t>
  </si>
  <si>
    <t>70hadar16@hityash.org</t>
  </si>
  <si>
    <t>הדר ניסן</t>
  </si>
  <si>
    <t>0552762191</t>
  </si>
  <si>
    <t>hadarnissan9@gmail.com</t>
  </si>
  <si>
    <t>הדר שפרן</t>
  </si>
  <si>
    <t>0523163696</t>
  </si>
  <si>
    <t>hadarsh2007@gmail.com</t>
  </si>
  <si>
    <t>הוד וקנין</t>
  </si>
  <si>
    <t>0587810425</t>
  </si>
  <si>
    <t xml:space="preserve">הודיה ביטון </t>
  </si>
  <si>
    <t>0538310958</t>
  </si>
  <si>
    <t>hwdyhbytwn54@gmail.com</t>
  </si>
  <si>
    <t xml:space="preserve">בת ים </t>
  </si>
  <si>
    <t>הלל כהן</t>
  </si>
  <si>
    <t>0586233299</t>
  </si>
  <si>
    <t>hallelcohen2008@gmail.com</t>
  </si>
  <si>
    <t>הילה מלכה</t>
  </si>
  <si>
    <t>0528843631</t>
  </si>
  <si>
    <t>hmlk69449@gmail.com</t>
  </si>
  <si>
    <t xml:space="preserve">רמת גן/ אשכולות(במקור מהדרום) 
כרגע גרה במעונות סטודנטים של אוניברסיטת בר אילן </t>
  </si>
  <si>
    <t>הילה עזרן</t>
  </si>
  <si>
    <t>0559605943</t>
  </si>
  <si>
    <t>13hila100@gmail.com</t>
  </si>
  <si>
    <t>ראש העין</t>
  </si>
  <si>
    <t>דריה אליאסי</t>
  </si>
  <si>
    <t>הלל אנגלמן</t>
  </si>
  <si>
    <t>0537985769</t>
  </si>
  <si>
    <t>hallelenge@gmail.com</t>
  </si>
  <si>
    <t xml:space="preserve">הלל ארנרייך </t>
  </si>
  <si>
    <t>0547684250</t>
  </si>
  <si>
    <t>Hallel653648@gmail.com</t>
  </si>
  <si>
    <t xml:space="preserve">בתכלס עד עכשיו הלכתי לשניידר והוצאתי ימי כיף הייתי רוצה יותר אבל אולי בתחילת הקיץ יותר שיגמר לי הבגרויות ואני אוכל להשקיע בזה באמת :) </t>
  </si>
  <si>
    <t>רני רייך</t>
  </si>
  <si>
    <t>0536322444</t>
  </si>
  <si>
    <t>roni.reich8@gmail.com</t>
  </si>
  <si>
    <t>עדי בן צבי</t>
  </si>
  <si>
    <t>0505438000</t>
  </si>
  <si>
    <t>adibz5431@gmail.com</t>
  </si>
  <si>
    <t>הלל קרמר</t>
  </si>
  <si>
    <t>585328059⁩</t>
  </si>
  <si>
    <t>hallelkremer@gmail.com</t>
  </si>
  <si>
    <t xml:space="preserve">הלל רבינוביץ </t>
  </si>
  <si>
    <t>0559711016</t>
  </si>
  <si>
    <t>Halelrabinovich@pelechtlv.org</t>
  </si>
  <si>
    <t xml:space="preserve">תל אביב </t>
  </si>
  <si>
    <t>נועה אלבוים</t>
  </si>
  <si>
    <t>0505888656</t>
  </si>
  <si>
    <t>n0505888656@gmail.com</t>
  </si>
  <si>
    <t xml:space="preserve">אביגיל מרוני </t>
  </si>
  <si>
    <t>0584332230</t>
  </si>
  <si>
    <t>Mironiavigail@gmail.com</t>
  </si>
  <si>
    <t>הילה צנעני</t>
  </si>
  <si>
    <t>0506904664</t>
  </si>
  <si>
    <t>hila.r.tza@gmail.com</t>
  </si>
  <si>
    <t>זינה חנוכייב</t>
  </si>
  <si>
    <t>0537287822</t>
  </si>
  <si>
    <t>Zinaha22@gmail.com</t>
  </si>
  <si>
    <t>אור עקיבא</t>
  </si>
  <si>
    <t>חגי יעיש</t>
  </si>
  <si>
    <t>0587070682</t>
  </si>
  <si>
    <t>Hagai.Yaish@gmail.com</t>
  </si>
  <si>
    <t xml:space="preserve">קרני שומרון </t>
  </si>
  <si>
    <t>חיה הרצליך</t>
  </si>
  <si>
    <t>13/02/2007</t>
  </si>
  <si>
    <t>Chaya17251725@gmail.com</t>
  </si>
  <si>
    <t>טל ברבי</t>
  </si>
  <si>
    <t>Talilou40@gmail.com</t>
  </si>
  <si>
    <t>כפר יונה</t>
  </si>
  <si>
    <t>אורי ראש</t>
  </si>
  <si>
    <t>0549792199</t>
  </si>
  <si>
    <t>Orirosh1@gmail.com</t>
  </si>
  <si>
    <t>גן השומרון</t>
  </si>
  <si>
    <t xml:space="preserve">כרגע אני מלשב, התנדבתי בכנפיים של קרמבו, ועשיתי שנת שירות שעוסקת בחינוך . יותר מאשמח לקחת חלק! </t>
  </si>
  <si>
    <t>ארבל סלע</t>
  </si>
  <si>
    <t>0559960005</t>
  </si>
  <si>
    <t>kbsela@gmail.com</t>
  </si>
  <si>
    <t>דולב</t>
  </si>
  <si>
    <t>אני גר בדולב ולומד בקצרין אני מעדיף חניך או מהמרכז או מהצפון תודה רבה רבה ושבוע טוב</t>
  </si>
  <si>
    <t xml:space="preserve">עטרת ברוש </t>
  </si>
  <si>
    <t>0584216110</t>
  </si>
  <si>
    <t>ateretbrosh@gmail.com</t>
  </si>
  <si>
    <t>עושה שירות בירושלים בשנתיים הקרובות אז מעדיפה באיזור הזה</t>
  </si>
  <si>
    <t>טליה גרינפלד</t>
  </si>
  <si>
    <t>0534950952</t>
  </si>
  <si>
    <t>Taliagrinfeld@gmail.com</t>
  </si>
  <si>
    <t>טליה דוידוביץ</t>
  </si>
  <si>
    <t>0547733788</t>
  </si>
  <si>
    <t>taliadavidovici@gmail.com</t>
  </si>
  <si>
    <t xml:space="preserve">תהילה רבינוביץ </t>
  </si>
  <si>
    <t>0543977534</t>
  </si>
  <si>
    <t>rabtehila@gmail.com</t>
  </si>
  <si>
    <t xml:space="preserve">טליה וינוגרד </t>
  </si>
  <si>
    <t>0525967898</t>
  </si>
  <si>
    <t>talyawinograd@gmail.com</t>
  </si>
  <si>
    <t>טליה מנדל</t>
  </si>
  <si>
    <t>0586453337</t>
  </si>
  <si>
    <t>taliamandel10@gmail.com</t>
  </si>
  <si>
    <t>טליה שלום</t>
  </si>
  <si>
    <t>Talyashalom05@gmail.com</t>
  </si>
  <si>
    <t>פתח תקוה</t>
  </si>
  <si>
    <t>טליה שרון</t>
  </si>
  <si>
    <t>0515332260</t>
  </si>
  <si>
    <t>talyasharon2006@gmail.com</t>
  </si>
  <si>
    <t>יאיר זוהר</t>
  </si>
  <si>
    <t>Yamezo77@gmail.com</t>
  </si>
  <si>
    <t>יאיר טרבלסי</t>
  </si>
  <si>
    <t>0533691062</t>
  </si>
  <si>
    <t>yairtrabelsi1601@gmail.com</t>
  </si>
  <si>
    <t>יהב אליהו לוי</t>
  </si>
  <si>
    <t>0505763153</t>
  </si>
  <si>
    <t>Yahav1995@gmail.com</t>
  </si>
  <si>
    <t>ירושלים- תא</t>
  </si>
  <si>
    <t>יהל הוד</t>
  </si>
  <si>
    <t>0584457312</t>
  </si>
  <si>
    <t>yahelhod14@gmail.com</t>
  </si>
  <si>
    <t>בר יוחאי</t>
  </si>
  <si>
    <t>יואל מאן</t>
  </si>
  <si>
    <t>327511184</t>
  </si>
  <si>
    <t>0556671299</t>
  </si>
  <si>
    <t>Yoelmann7@gmail.com</t>
  </si>
  <si>
    <t>יובל אבידן</t>
  </si>
  <si>
    <t>050-2020685</t>
  </si>
  <si>
    <t>Yuvalavidan9@gmail.com</t>
  </si>
  <si>
    <t>יובל ברגיל</t>
  </si>
  <si>
    <t>Yuvalbargil1@gmail.com</t>
  </si>
  <si>
    <t>הר גילה</t>
  </si>
  <si>
    <t>קרני נבנצל</t>
  </si>
  <si>
    <t>0546399047</t>
  </si>
  <si>
    <t>Karninev@gmail.com</t>
  </si>
  <si>
    <t>זכרון יעקב</t>
  </si>
  <si>
    <t>עמית ירון יוסטר</t>
  </si>
  <si>
    <t>0545639314</t>
  </si>
  <si>
    <t>armazelo@gmail.com</t>
  </si>
  <si>
    <t>חדרה</t>
  </si>
  <si>
    <t>ים חזן</t>
  </si>
  <si>
    <t>Yamsea19@gmail.com</t>
  </si>
  <si>
    <t>יעל בלוך</t>
  </si>
  <si>
    <t>0548627773</t>
  </si>
  <si>
    <t>yeb32009@gmail.com</t>
  </si>
  <si>
    <t xml:space="preserve">יעל גברא </t>
  </si>
  <si>
    <t>0538299719</t>
  </si>
  <si>
    <t>דוד יופה</t>
  </si>
  <si>
    <t>0527960083</t>
  </si>
  <si>
    <t xml:space="preserve">david464001@gmail.com </t>
  </si>
  <si>
    <t>חולון</t>
  </si>
  <si>
    <t xml:space="preserve">נועם בן משה </t>
  </si>
  <si>
    <t>0584300055</t>
  </si>
  <si>
    <t>noambm058@gmail.com</t>
  </si>
  <si>
    <t>ירדן משאט</t>
  </si>
  <si>
    <t xml:space="preserve">בית דגן </t>
  </si>
  <si>
    <t xml:space="preserve">ישי אוחיון </t>
  </si>
  <si>
    <t>0547322633</t>
  </si>
  <si>
    <t>ishaiochayon@gmail.com</t>
  </si>
  <si>
    <t>בני נצרים/קצרין</t>
  </si>
  <si>
    <t>עמנואל אנקרי</t>
  </si>
  <si>
    <t>0584022452</t>
  </si>
  <si>
    <t>manuankri5@gmail.com</t>
  </si>
  <si>
    <t>חיפה</t>
  </si>
  <si>
    <t xml:space="preserve">תהל פלדמן </t>
  </si>
  <si>
    <t>0528772050</t>
  </si>
  <si>
    <t>estertahel@gmail.com</t>
  </si>
  <si>
    <t xml:space="preserve">טירת יהודה </t>
  </si>
  <si>
    <t>ליאב קראדי</t>
  </si>
  <si>
    <t>18/07/2001</t>
  </si>
  <si>
    <t>322450222</t>
  </si>
  <si>
    <t>liavkarady@hotmail.com</t>
  </si>
  <si>
    <t xml:space="preserve">צופיה </t>
  </si>
  <si>
    <t>0555590165</t>
  </si>
  <si>
    <t>gryydyzwpyh@gmail.com</t>
  </si>
  <si>
    <t xml:space="preserve">יישוב חשמונאים </t>
  </si>
  <si>
    <t>ליאור עמראני</t>
  </si>
  <si>
    <t xml:space="preserve">
lioramrani21@gmail.com</t>
  </si>
  <si>
    <t>רעננה(מגדל עוז)</t>
  </si>
  <si>
    <t>ליאל כהן</t>
  </si>
  <si>
    <t>0586301013</t>
  </si>
  <si>
    <t>Liel.cohen710@gmail.com</t>
  </si>
  <si>
    <t>ירושלים</t>
  </si>
  <si>
    <t>מור גלעד</t>
  </si>
  <si>
    <t>0556881195</t>
  </si>
  <si>
    <t>morgilad2007@gmail.com</t>
  </si>
  <si>
    <t>יקיר</t>
  </si>
  <si>
    <t>ליאל קסה</t>
  </si>
  <si>
    <t>0545292655</t>
  </si>
  <si>
    <t>ליאן שפילמן</t>
  </si>
  <si>
    <t>0544907100</t>
  </si>
  <si>
    <t>lianspiel@gmail.com</t>
  </si>
  <si>
    <t xml:space="preserve">ליבי כהן </t>
  </si>
  <si>
    <t>0534432167</t>
  </si>
  <si>
    <t>gilat465@gmail.com</t>
  </si>
  <si>
    <t xml:space="preserve">בני ראם </t>
  </si>
  <si>
    <t>ליה רייך</t>
  </si>
  <si>
    <t>לירון ונגרובר</t>
  </si>
  <si>
    <t>0544843929</t>
  </si>
  <si>
    <t>lvengrover@gmail.com</t>
  </si>
  <si>
    <t>לירון רוני קהמקר</t>
  </si>
  <si>
    <t>0528744437</t>
  </si>
  <si>
    <t>אשדוד</t>
  </si>
  <si>
    <t xml:space="preserve">מאיה סומפולינסקי </t>
  </si>
  <si>
    <t>0587787684</t>
  </si>
  <si>
    <t>Mayasompo1@gmail.com</t>
  </si>
  <si>
    <t>טירת יהודה</t>
  </si>
  <si>
    <t>מאיר יפרח</t>
  </si>
  <si>
    <t>0506667113</t>
  </si>
  <si>
    <t>meiryfrach123@gmail.com</t>
  </si>
  <si>
    <t>צפריה</t>
  </si>
  <si>
    <t>שחר שץ</t>
  </si>
  <si>
    <t>0507676992</t>
  </si>
  <si>
    <t>shacharshatz2007@gmail.com</t>
  </si>
  <si>
    <t>מוריאל קליימן</t>
  </si>
  <si>
    <t>0543406326</t>
  </si>
  <si>
    <t>moriel.klieman@gmail.com</t>
  </si>
  <si>
    <t>אריאל</t>
  </si>
  <si>
    <t>טל הגר</t>
  </si>
  <si>
    <t>0529282554</t>
  </si>
  <si>
    <t>Talhager3@gmail.com</t>
  </si>
  <si>
    <t>מיכל גרוברט</t>
  </si>
  <si>
    <t>0549125040</t>
  </si>
  <si>
    <t>michalg912@gmail.com</t>
  </si>
  <si>
    <t>מיכל סרודי</t>
  </si>
  <si>
    <t>0532225056</t>
  </si>
  <si>
    <t>misarudi1@gmail.com</t>
  </si>
  <si>
    <t xml:space="preserve">כפר סבא </t>
  </si>
  <si>
    <t xml:space="preserve">מירב סילברינג </t>
  </si>
  <si>
    <t>0548009810</t>
  </si>
  <si>
    <t>M.silberring@gmail.com</t>
  </si>
  <si>
    <t>מלכות אלדד</t>
  </si>
  <si>
    <t>0585203050</t>
  </si>
  <si>
    <t>malchut.e7@gmail.com</t>
  </si>
  <si>
    <t xml:space="preserve">באר שבע </t>
  </si>
  <si>
    <t>מנחם קרקובסקי</t>
  </si>
  <si>
    <t>menikrak@gmail.com</t>
  </si>
  <si>
    <t>נעמה כהן</t>
  </si>
  <si>
    <t>Naamac17@gmail.com</t>
  </si>
  <si>
    <t>חניך אחרון - יאיר זלצ</t>
  </si>
  <si>
    <t>מעין אגסי</t>
  </si>
  <si>
    <t>0536234421</t>
  </si>
  <si>
    <t>maayanagassi@gmail.com</t>
  </si>
  <si>
    <t>משה אלקסלסי</t>
  </si>
  <si>
    <t>0584868212</t>
  </si>
  <si>
    <t>moshe2716@gmail.com</t>
  </si>
  <si>
    <t>עץ אפרים</t>
  </si>
  <si>
    <t>אני נמצא בדרום (שדרות) רוב הזמן, אז אם צריך ביקורי בית וימי כיף פה אשמח לעשות אותם במידה ואני פנוי.</t>
  </si>
  <si>
    <t xml:space="preserve">רננה וילמרסדורף </t>
  </si>
  <si>
    <t>0555516384</t>
  </si>
  <si>
    <t>renawil2502@gmail.com</t>
  </si>
  <si>
    <t>נאווה פרולינגר</t>
  </si>
  <si>
    <t>0539332599</t>
  </si>
  <si>
    <t>frohlingernava@gmail.com</t>
  </si>
  <si>
    <t>דניאל וידנפלד</t>
  </si>
  <si>
    <t xml:space="preserve">נגה ניר </t>
  </si>
  <si>
    <t>0533722271</t>
  </si>
  <si>
    <t>nogles332009@gmail.com</t>
  </si>
  <si>
    <t>גמזו</t>
  </si>
  <si>
    <t>פיני פלוך</t>
  </si>
  <si>
    <t>0525806605</t>
  </si>
  <si>
    <t>Prpr414795@gmail.com</t>
  </si>
  <si>
    <t>נשלח קישור</t>
  </si>
  <si>
    <t>0586515661</t>
  </si>
  <si>
    <t>avigailmalach@gmail.com</t>
  </si>
  <si>
    <t>נוי ליזרוביץ</t>
  </si>
  <si>
    <t>0545795191</t>
  </si>
  <si>
    <t>noyleyzerovish</t>
  </si>
  <si>
    <t>נוי מזין</t>
  </si>
  <si>
    <t>Noymezin1234@gmail.com</t>
  </si>
  <si>
    <t>נויה אוחנה</t>
  </si>
  <si>
    <t xml:space="preserve">נויה פרידמן </t>
  </si>
  <si>
    <t>0532466556</t>
  </si>
  <si>
    <t>noyafri2008@gmail.com</t>
  </si>
  <si>
    <t>אופיר חן</t>
  </si>
  <si>
    <t>0533906162</t>
  </si>
  <si>
    <t>Ofirchen456@gmail.com</t>
  </si>
  <si>
    <t>כפר מימון</t>
  </si>
  <si>
    <t>אריאל יהושע</t>
  </si>
  <si>
    <t>0528687654</t>
  </si>
  <si>
    <t>Maor.y.ariel@gmail.com</t>
  </si>
  <si>
    <t>נועה הרשטיין</t>
  </si>
  <si>
    <t>Noah13245677@gmail.com</t>
  </si>
  <si>
    <t>נועה וקנין</t>
  </si>
  <si>
    <t>0586631139</t>
  </si>
  <si>
    <t>Noavakniiin@gmail.con</t>
  </si>
  <si>
    <t>נועה זוהר</t>
  </si>
  <si>
    <t>0542419890</t>
  </si>
  <si>
    <t>Noazohar456@gmail.com</t>
  </si>
  <si>
    <t>ביחד עם הדס סויסה</t>
  </si>
  <si>
    <t>נועה עסיס</t>
  </si>
  <si>
    <t>0548384900</t>
  </si>
  <si>
    <t>noasis2345@gmail.com</t>
  </si>
  <si>
    <t>גבעתיים</t>
  </si>
  <si>
    <t>נועה פז</t>
  </si>
  <si>
    <t>0586030400</t>
  </si>
  <si>
    <t>noapaz13@gmail.com</t>
  </si>
  <si>
    <t>נועם מכלוף</t>
  </si>
  <si>
    <t>0542287323</t>
  </si>
  <si>
    <t>noammaclof2@gmail.com</t>
  </si>
  <si>
    <t xml:space="preserve">שערי תקווה </t>
  </si>
  <si>
    <t>נועם מנחם</t>
  </si>
  <si>
    <t>0587679727</t>
  </si>
  <si>
    <t>familynshir@gmail.com</t>
  </si>
  <si>
    <t>קדומים</t>
  </si>
  <si>
    <t>0522166230</t>
  </si>
  <si>
    <t>noamengelman@gmail.com</t>
  </si>
  <si>
    <t>נועם שטרית</t>
  </si>
  <si>
    <t>0503030029</t>
  </si>
  <si>
    <t>Noam833@gmail.com</t>
  </si>
  <si>
    <t>נטע בשן</t>
  </si>
  <si>
    <t>Neta.bashan.244@gmail.com</t>
  </si>
  <si>
    <t xml:space="preserve">ניצן וינטרוב </t>
  </si>
  <si>
    <t>0587526680</t>
  </si>
  <si>
    <t>nitsnits.mosh@gmail.com</t>
  </si>
  <si>
    <t>יישוב נופים</t>
  </si>
  <si>
    <t>0552774478</t>
  </si>
  <si>
    <t>ruthdeshe123@gmail.com</t>
  </si>
  <si>
    <t>ניתאי נחמיאס</t>
  </si>
  <si>
    <t>Nitayna30@gmail.com</t>
  </si>
  <si>
    <t>אוריה נוי</t>
  </si>
  <si>
    <t>0503777304</t>
  </si>
  <si>
    <t>orianoy5@gmail.com</t>
  </si>
  <si>
    <t>מבשרת ניסנבוים</t>
  </si>
  <si>
    <t>0585567545</t>
  </si>
  <si>
    <t>mevaseret.nis@gmail.com</t>
  </si>
  <si>
    <t>נעמי קריגר</t>
  </si>
  <si>
    <t>0556694679</t>
  </si>
  <si>
    <t>Kriger.Neomi@gmail.com</t>
  </si>
  <si>
    <t>פרדסיה</t>
  </si>
  <si>
    <t>אביה סגל</t>
  </si>
  <si>
    <t>0543596677</t>
  </si>
  <si>
    <t>aviyasegal@gmail.com</t>
  </si>
  <si>
    <t>מודיעין מכבים רעות</t>
  </si>
  <si>
    <t xml:space="preserve">נריה שבתאי </t>
  </si>
  <si>
    <t>0537001719</t>
  </si>
  <si>
    <t>Neria0537001719@gmail.com</t>
  </si>
  <si>
    <t>אביב צרנובילסקי</t>
  </si>
  <si>
    <t>0537555118</t>
  </si>
  <si>
    <t>Odelia.shtern@gmail.com</t>
  </si>
  <si>
    <t>נתנאל עזרן</t>
  </si>
  <si>
    <t>0535250133</t>
  </si>
  <si>
    <t>6191828a@gmail.com</t>
  </si>
  <si>
    <t>רועי מלכיאל</t>
  </si>
  <si>
    <t>0503737543</t>
  </si>
  <si>
    <t>roeim3154@gmail.com</t>
  </si>
  <si>
    <t>מודעין</t>
  </si>
  <si>
    <t>סיון חלה</t>
  </si>
  <si>
    <t>0526955724</t>
  </si>
  <si>
    <t>Sivanchale2@gmail.com</t>
  </si>
  <si>
    <t>ספיר מזרחי</t>
  </si>
  <si>
    <t>sapirmiz2007@gmail.com</t>
  </si>
  <si>
    <t>יובל כהן</t>
  </si>
  <si>
    <t>0544652174</t>
  </si>
  <si>
    <t>yuvalcohen345@gmail.com</t>
  </si>
  <si>
    <t>מחולה</t>
  </si>
  <si>
    <t>עדי בכר</t>
  </si>
  <si>
    <t>0585260809</t>
  </si>
  <si>
    <t>adibecher2009@gmail.com</t>
  </si>
  <si>
    <t>אביטל חדד</t>
  </si>
  <si>
    <t>0585566003</t>
  </si>
  <si>
    <t>avital@haddadfam.net</t>
  </si>
  <si>
    <t>מעלה אדומים</t>
  </si>
  <si>
    <t>הדרכתי שנתיים בתנועת נוער אז יש ניסיון בהתנדבות עם ילדים (:</t>
  </si>
  <si>
    <t>שירי לשם</t>
  </si>
  <si>
    <t>0585241005</t>
  </si>
  <si>
    <t>Shirileshem12@gmail.com</t>
  </si>
  <si>
    <t>מצפה כרמים/ כוכב השחר</t>
  </si>
  <si>
    <t>. ושיהיה יחסית קרוב לאזור בנימין</t>
  </si>
  <si>
    <t>עדן תייר</t>
  </si>
  <si>
    <t>גיל בר סלע</t>
  </si>
  <si>
    <t>dhk12cr34@gmail.com</t>
  </si>
  <si>
    <t xml:space="preserve">מצפה נטופה </t>
  </si>
  <si>
    <t>מעיין הירשפלד</t>
  </si>
  <si>
    <t>0533369235</t>
  </si>
  <si>
    <t>Maayanh68@gmail.com</t>
  </si>
  <si>
    <t>עינה ברוקנטל</t>
  </si>
  <si>
    <t xml:space="preserve">עליזה בן זיקרי </t>
  </si>
  <si>
    <t>0523210605</t>
  </si>
  <si>
    <t>alizabz122@gmail.com</t>
  </si>
  <si>
    <t xml:space="preserve">ראשלצ </t>
  </si>
  <si>
    <t>עלמה פוגל</t>
  </si>
  <si>
    <t>0542880054</t>
  </si>
  <si>
    <t>almafogel@gmail.com</t>
  </si>
  <si>
    <t xml:space="preserve">עמית זיצר </t>
  </si>
  <si>
    <t>15.07.2003</t>
  </si>
  <si>
    <t xml:space="preserve">055-8870909 </t>
  </si>
  <si>
    <t>Amitzitzer2@gmail.com</t>
  </si>
  <si>
    <t>עמית נדם</t>
  </si>
  <si>
    <t>0545102445</t>
  </si>
  <si>
    <t>amitnadam1306@gmail.com</t>
  </si>
  <si>
    <t>עמית פייבל</t>
  </si>
  <si>
    <t>20/02/2006</t>
  </si>
  <si>
    <t>215983354</t>
  </si>
  <si>
    <t>amitfaivel123@gmail.com</t>
  </si>
  <si>
    <t xml:space="preserve">נס ציונה </t>
  </si>
  <si>
    <t>אגם מלכה</t>
  </si>
  <si>
    <t>0546279195</t>
  </si>
  <si>
    <t>am6295745@gmail.com</t>
  </si>
  <si>
    <t>נתניה</t>
  </si>
  <si>
    <t xml:space="preserve">ענאל שטיבל </t>
  </si>
  <si>
    <t xml:space="preserve">
Anaelleyoyo@gmail.com</t>
  </si>
  <si>
    <t>כרמיאל</t>
  </si>
  <si>
    <t>נוי כהן</t>
  </si>
  <si>
    <t>0506445872</t>
  </si>
  <si>
    <t>noycohen2001n.c@gmail.com</t>
  </si>
  <si>
    <t>עומרי ישמעני</t>
  </si>
  <si>
    <t>0542338158</t>
  </si>
  <si>
    <t>Omriishmaeni222@gmail.com</t>
  </si>
  <si>
    <t>שירה שפירא</t>
  </si>
  <si>
    <t>0584574558</t>
  </si>
  <si>
    <t>shirashapira77@gmail.com</t>
  </si>
  <si>
    <t>היי אני מתנדבת חדשה. ואשמח להכנס לעניינים ושהיו פעילויות גם למתנדבים חדשים. תודה רבהה</t>
  </si>
  <si>
    <t>צורי לבנון</t>
  </si>
  <si>
    <t>0507861666</t>
  </si>
  <si>
    <t>Tzurilev797@gmail.com</t>
  </si>
  <si>
    <t xml:space="preserve">בני נצרים/קצרין </t>
  </si>
  <si>
    <t>קמה ורד</t>
  </si>
  <si>
    <t>Kvered123@gmail.com</t>
  </si>
  <si>
    <t xml:space="preserve">קרן חביב </t>
  </si>
  <si>
    <t>0523174386</t>
  </si>
  <si>
    <t>Kerenor143@gmail.com</t>
  </si>
  <si>
    <t xml:space="preserve">טירת כרמל </t>
  </si>
  <si>
    <t xml:space="preserve">ראובן אלדרי </t>
  </si>
  <si>
    <t>0559844081</t>
  </si>
  <si>
    <t>Reuven.eldary@gmail.com</t>
  </si>
  <si>
    <t>שיר לוי</t>
  </si>
  <si>
    <t>0502637991</t>
  </si>
  <si>
    <t xml:space="preserve">Shir.levi.p@gmail.con </t>
  </si>
  <si>
    <t>נתניה (רעננה גם בסדר)</t>
  </si>
  <si>
    <t>ראם קריץ</t>
  </si>
  <si>
    <t>Reemkritz@gmail.com</t>
  </si>
  <si>
    <t>רביד נגר</t>
  </si>
  <si>
    <t>0534777334</t>
  </si>
  <si>
    <t>ravid.nagar10@gmail.com</t>
  </si>
  <si>
    <t>0612161788</t>
  </si>
  <si>
    <t>Eialtsh12@gmail.com</t>
  </si>
  <si>
    <t xml:space="preserve">רוזי מרקדו </t>
  </si>
  <si>
    <t>rosymercado202gmail.com</t>
  </si>
  <si>
    <t xml:space="preserve">רעננה </t>
  </si>
  <si>
    <t>רומי ג׳דו</t>
  </si>
  <si>
    <t>0584261185</t>
  </si>
  <si>
    <t>romy180208@gmail.com</t>
  </si>
  <si>
    <t>עדו קוטאי</t>
  </si>
  <si>
    <t>0503003327</t>
  </si>
  <si>
    <t>Idokutai6137@gmail.com</t>
  </si>
  <si>
    <t>עלי זהב לומד בשדרות</t>
  </si>
  <si>
    <t>רוני אמיתי</t>
  </si>
  <si>
    <t>0524000046</t>
  </si>
  <si>
    <t>roniamitay@gmail.com</t>
  </si>
  <si>
    <t>רוני ארבל</t>
  </si>
  <si>
    <t>0584250907</t>
  </si>
  <si>
    <t>roniarbel2007@gmail.com</t>
  </si>
  <si>
    <t>מרכז שפירא</t>
  </si>
  <si>
    <t>רוני בן חיים</t>
  </si>
  <si>
    <t>0538259277</t>
  </si>
  <si>
    <t>benhaim770@gmail.com</t>
  </si>
  <si>
    <t>קרית מלאכי</t>
  </si>
  <si>
    <t>אורי כהן</t>
  </si>
  <si>
    <t>0504646228</t>
  </si>
  <si>
    <t>Oriki442@gmail.com</t>
  </si>
  <si>
    <t>ארי אנגלמן</t>
  </si>
  <si>
    <t>0543971319</t>
  </si>
  <si>
    <t>Arieengelman1@gmail.com</t>
  </si>
  <si>
    <t>הדס שני</t>
  </si>
  <si>
    <t>0527981077</t>
  </si>
  <si>
    <t>hadasshani55@gmail.com</t>
  </si>
  <si>
    <t>רותם משעלי</t>
  </si>
  <si>
    <t>0525656047</t>
  </si>
  <si>
    <t>rotemish100@gmail.com</t>
  </si>
  <si>
    <t>פדואל</t>
  </si>
  <si>
    <t>רחלי שלם</t>
  </si>
  <si>
    <t>ריעות נזרי</t>
  </si>
  <si>
    <t>tutinizri@gmail.com</t>
  </si>
  <si>
    <t xml:space="preserve">רני כהנא  </t>
  </si>
  <si>
    <t>0547202328</t>
  </si>
  <si>
    <t>Ronikahana323@gmail.com</t>
  </si>
  <si>
    <t xml:space="preserve">אורנית </t>
  </si>
  <si>
    <t>רננה פיש</t>
  </si>
  <si>
    <t>0558834404</t>
  </si>
  <si>
    <t>Renanafish9@gmail.com</t>
  </si>
  <si>
    <t xml:space="preserve">רפאל יעקובוב </t>
  </si>
  <si>
    <t>0548618899</t>
  </si>
  <si>
    <t>Refael.yosef@gmail.com</t>
  </si>
  <si>
    <t>שירה זוהר</t>
  </si>
  <si>
    <t>0532404696</t>
  </si>
  <si>
    <t>shirazadss@gmail.com</t>
  </si>
  <si>
    <t>נעים מאוד, שירה זוהר. בת 26 מפתח תקווה. אשמח להתחיל בהתנדבות כללית בעמותה ומשם להמשיך לחונכות אישית.</t>
  </si>
  <si>
    <t>שגב מלכא</t>
  </si>
  <si>
    <t>0558861149</t>
  </si>
  <si>
    <t>segevmalka26@gmail.com</t>
  </si>
  <si>
    <t xml:space="preserve">ראשון לציון </t>
  </si>
  <si>
    <t>שהם ולך</t>
  </si>
  <si>
    <t>13/08/2003</t>
  </si>
  <si>
    <t>325565133</t>
  </si>
  <si>
    <t>Shoham31w@gmail.com</t>
  </si>
  <si>
    <t>שהם פלזנר</t>
  </si>
  <si>
    <r>
      <rPr>
        <rFont val="&quot;Helvetica Neue&quot;"/>
        <color rgb="FF1155CC"/>
        <sz val="8.0"/>
        <u/>
      </rPr>
      <t>shoam355@gmail.com</t>
    </r>
  </si>
  <si>
    <t>שחר אריכא</t>
  </si>
  <si>
    <t>גני תקווה</t>
  </si>
  <si>
    <t>שחר פייבל</t>
  </si>
  <si>
    <t>032953614</t>
  </si>
  <si>
    <t>sfaivel123@gmail.com</t>
  </si>
  <si>
    <t>נס ציונה</t>
  </si>
  <si>
    <t>שחר שפיץ</t>
  </si>
  <si>
    <t>0526106393</t>
  </si>
  <si>
    <t xml:space="preserve">shachar246813579@gmail.com </t>
  </si>
  <si>
    <t>תמר הומבורגר</t>
  </si>
  <si>
    <t>0587017722</t>
  </si>
  <si>
    <t>tamarhom2@gmail.com</t>
  </si>
  <si>
    <t>שי שפק</t>
  </si>
  <si>
    <t>shayshpak128@gmail.com</t>
  </si>
  <si>
    <t xml:space="preserve">שילה שגב </t>
  </si>
  <si>
    <t>0509097519</t>
  </si>
  <si>
    <t>Shilosegev@gmail.com</t>
  </si>
  <si>
    <t>חמד</t>
  </si>
  <si>
    <t>שילת המאירי</t>
  </si>
  <si>
    <t>0526313318</t>
  </si>
  <si>
    <t>Shilat44@gmail.com</t>
  </si>
  <si>
    <t>שיר בירן</t>
  </si>
  <si>
    <t xml:space="preserve">שיר ביתן </t>
  </si>
  <si>
    <t>0587643535</t>
  </si>
  <si>
    <t>shirshir.bitan@gmail.com</t>
  </si>
  <si>
    <t>0559382303</t>
  </si>
  <si>
    <t>hadas.tz.2009@gmail.com</t>
  </si>
  <si>
    <t>שיר כהן</t>
  </si>
  <si>
    <t>0549249891</t>
  </si>
  <si>
    <t xml:space="preserve">Shir500002@gmail.com </t>
  </si>
  <si>
    <t>רחל ויזל</t>
  </si>
  <si>
    <t>0586921730</t>
  </si>
  <si>
    <t>rachel2009v@gmail.com</t>
  </si>
  <si>
    <t>רוני פריי</t>
  </si>
  <si>
    <t>עוד אין לי</t>
  </si>
  <si>
    <t>0585973358</t>
  </si>
  <si>
    <t>Ronnee.frei@gmail.com</t>
  </si>
  <si>
    <t>שיר מלמד</t>
  </si>
  <si>
    <t>0585833221</t>
  </si>
  <si>
    <t>Shirmal2003@gmail.com</t>
  </si>
  <si>
    <t xml:space="preserve">שירה  ברששת </t>
  </si>
  <si>
    <t>0503901448</t>
  </si>
  <si>
    <t>shirab1234321@gmail.com</t>
  </si>
  <si>
    <t>דביר טאוב</t>
  </si>
  <si>
    <t>0545890006</t>
  </si>
  <si>
    <t>Dvirtaub@gmail.com</t>
  </si>
  <si>
    <t>שירה זמיר</t>
  </si>
  <si>
    <t>Shirasworks@gmail.com</t>
  </si>
  <si>
    <t xml:space="preserve">שירה לאופר </t>
  </si>
  <si>
    <t>0534314950</t>
  </si>
  <si>
    <t>Shira.laufer@gmail.com</t>
  </si>
  <si>
    <t xml:space="preserve">שירה לורש </t>
  </si>
  <si>
    <t>0502823823</t>
  </si>
  <si>
    <t>shiralorsh@gmail.com</t>
  </si>
  <si>
    <t xml:space="preserve">יצחק לובצקי </t>
  </si>
  <si>
    <t>0523750006</t>
  </si>
  <si>
    <t>Izchak909@gmail.com</t>
  </si>
  <si>
    <t>פתח תקווה/קרית שמונה</t>
  </si>
  <si>
    <t>שירה שרון</t>
  </si>
  <si>
    <t>0515002488</t>
  </si>
  <si>
    <t>Shira.ssss1234@gmail.com</t>
  </si>
  <si>
    <t>ראובן צלקה</t>
  </si>
  <si>
    <t>0506588283</t>
  </si>
  <si>
    <t>reuven.tzalka@gmail.com</t>
  </si>
  <si>
    <t>שירי שינדלר</t>
  </si>
  <si>
    <t>0532744341</t>
  </si>
  <si>
    <t>שלו וייס</t>
  </si>
  <si>
    <t>0544414247</t>
  </si>
  <si>
    <t>shlev.w@gmail.com</t>
  </si>
  <si>
    <t xml:space="preserve">שלומי כנפו </t>
  </si>
  <si>
    <t>0559185854</t>
  </si>
  <si>
    <t>Shlomic2025gmail.com</t>
  </si>
  <si>
    <t>שמרי זליגר</t>
  </si>
  <si>
    <t>0504640066</t>
  </si>
  <si>
    <t>shimrizeliger@gmail.com</t>
  </si>
  <si>
    <t>משימות,העברות,ימי התנדבות,הקפצות תרומות ולגוסטיקה בשמחה</t>
  </si>
  <si>
    <t>שני נגר</t>
  </si>
  <si>
    <t>0534202166</t>
  </si>
  <si>
    <t>shaninagar2005@gmail.com</t>
  </si>
  <si>
    <t xml:space="preserve">שני פרבר </t>
  </si>
  <si>
    <t>0586161687</t>
  </si>
  <si>
    <t>Shanifarber33@gmail.com</t>
  </si>
  <si>
    <t>שני פרסיק</t>
  </si>
  <si>
    <t>0537160933</t>
  </si>
  <si>
    <t>Shanyperssik@gmail.com</t>
  </si>
  <si>
    <t xml:space="preserve">שקד אנגלמן </t>
  </si>
  <si>
    <t>0522310600</t>
  </si>
  <si>
    <t>Shakedengelman@gmail.com</t>
  </si>
  <si>
    <t>נויה בן נתנאל</t>
  </si>
  <si>
    <t>0503737586</t>
  </si>
  <si>
    <t>noyabn11@gmail.com</t>
  </si>
  <si>
    <t xml:space="preserve">שקד עמית </t>
  </si>
  <si>
    <t>0543483433</t>
  </si>
  <si>
    <t>Shaked.amit08@gmail.com</t>
  </si>
  <si>
    <t xml:space="preserve">מעלה שומרון </t>
  </si>
  <si>
    <t>שקד קוממי</t>
  </si>
  <si>
    <t>0549061220</t>
  </si>
  <si>
    <t>Sqdqwmmy098@gmail.com</t>
  </si>
  <si>
    <t>תהל אסרף</t>
  </si>
  <si>
    <t>0544258481</t>
  </si>
  <si>
    <t>Gzhgyyg@gmail.com</t>
  </si>
  <si>
    <t xml:space="preserve">שרה בן הרוש </t>
  </si>
  <si>
    <t>0526354665</t>
  </si>
  <si>
    <t>Sarah.benarouch@gmail.com</t>
  </si>
  <si>
    <t>שרה ברזילאי</t>
  </si>
  <si>
    <t>0539226212</t>
  </si>
  <si>
    <t>Sarabarzilay2006@gmail.com</t>
  </si>
  <si>
    <t>טליה וקסלר</t>
  </si>
  <si>
    <t>0547542353</t>
  </si>
  <si>
    <t>tlyhwqslr@gmail.com</t>
  </si>
  <si>
    <t xml:space="preserve">יעלי הורוביץ </t>
  </si>
  <si>
    <t>0546936879</t>
  </si>
  <si>
    <t>yaelihoroviz1@gmail.com</t>
  </si>
  <si>
    <t>חיה אורנשטיין</t>
  </si>
  <si>
    <t>0542035030</t>
  </si>
  <si>
    <t>Chayao2009@gmail.com</t>
  </si>
  <si>
    <t>תמר בן זיקרי</t>
  </si>
  <si>
    <t>0545606987</t>
  </si>
  <si>
    <t>Benzikryt@gmail.com</t>
  </si>
  <si>
    <t>אליאן לוין</t>
  </si>
  <si>
    <t>0508133943</t>
  </si>
  <si>
    <t>eliannelev@gmail.com</t>
  </si>
  <si>
    <t>פתח תקווה/ תל אביב</t>
  </si>
  <si>
    <t>תמר כהן</t>
  </si>
  <si>
    <t>0507452991</t>
  </si>
  <si>
    <t>תמר עוזר</t>
  </si>
  <si>
    <t>tmrwzr@gmail.com</t>
  </si>
  <si>
    <t xml:space="preserve"> איתן</t>
  </si>
  <si>
    <t>שיר דדוש</t>
  </si>
  <si>
    <t>0523854515</t>
  </si>
  <si>
    <t>Shirdadosh5@gmail.com</t>
  </si>
  <si>
    <t>צפת</t>
  </si>
  <si>
    <t xml:space="preserve">יהונתן כהן </t>
  </si>
  <si>
    <t>0533663481</t>
  </si>
  <si>
    <t>yehonatann1999@gmail.com</t>
  </si>
  <si>
    <t>באר שבע</t>
  </si>
  <si>
    <t>אוריין אהרונוביץ</t>
  </si>
  <si>
    <t>0507775922</t>
  </si>
  <si>
    <t>oryancool@gmail.com</t>
  </si>
  <si>
    <t xml:space="preserve">גבעת שמואל אבל עושה שירות לאומי בירושלים וביגלל זה באמצע שבוע אני גרה בירושלים </t>
  </si>
  <si>
    <t>ג׳ואל בליכי</t>
  </si>
  <si>
    <t>0524553033</t>
  </si>
  <si>
    <t>joelle.b.2004@gmail.com</t>
  </si>
  <si>
    <t>תל אביב יפו</t>
  </si>
  <si>
    <t>הלל בן זהב</t>
  </si>
  <si>
    <t>0505378884</t>
  </si>
  <si>
    <t>halelbnz@gmail.com</t>
  </si>
  <si>
    <t>0544400664</t>
  </si>
  <si>
    <t>odelyafeldman2009@gmail.com</t>
  </si>
  <si>
    <t>אדל ברומברג</t>
  </si>
  <si>
    <t>ביחד עם איילת צייזן</t>
  </si>
  <si>
    <t>דניאלה לוגסי</t>
  </si>
  <si>
    <t>0524719649</t>
  </si>
  <si>
    <t>danielugassy77@gmail.com</t>
  </si>
  <si>
    <t>אשקלון</t>
  </si>
  <si>
    <t xml:space="preserve">נועה לוין </t>
  </si>
  <si>
    <t>0587947478</t>
  </si>
  <si>
    <t>Noalvin89@gmail.com</t>
  </si>
  <si>
    <t xml:space="preserve">יקנעם עלית </t>
  </si>
  <si>
    <t>עתניאל קרואני</t>
  </si>
  <si>
    <t>0585728634</t>
  </si>
  <si>
    <t>Otnialkaravni96@gmail.com</t>
  </si>
  <si>
    <t>קריית נטפים</t>
  </si>
  <si>
    <t>סיאל אלוק אלימלך</t>
  </si>
  <si>
    <t>0525394189</t>
  </si>
  <si>
    <t>sielelimelech@gmail.com</t>
  </si>
  <si>
    <t>קרית גת</t>
  </si>
  <si>
    <t>נהוראי קרואני</t>
  </si>
  <si>
    <t>0585728633</t>
  </si>
  <si>
    <t>mayakaravnis@gmail.com</t>
  </si>
  <si>
    <t>אביב שמעוני</t>
  </si>
  <si>
    <t>0544279615</t>
  </si>
  <si>
    <t>avivshim19@gmail.com</t>
  </si>
  <si>
    <t xml:space="preserve">קרית נטפים </t>
  </si>
  <si>
    <t xml:space="preserve">אני דיי פנויה עכשיו לימי כיף ובכללי לכל מה שצריך(: </t>
  </si>
  <si>
    <t>שקד ישועה</t>
  </si>
  <si>
    <t>shakedy1708@gmail.com</t>
  </si>
  <si>
    <t>יהונתן איזנברג</t>
  </si>
  <si>
    <t>0586704010</t>
  </si>
  <si>
    <t>erel7520@gmail.com</t>
  </si>
  <si>
    <t xml:space="preserve">אור עמי פרידמן </t>
  </si>
  <si>
    <t>0545457347</t>
  </si>
  <si>
    <t xml:space="preserve">Oramifridman@gmail.com </t>
  </si>
  <si>
    <t>רננה בן ציון</t>
  </si>
  <si>
    <t>0587177404</t>
  </si>
  <si>
    <t>bzrenana@gmail.com</t>
  </si>
  <si>
    <t>שוהם צדוק</t>
  </si>
  <si>
    <t>0526290099</t>
  </si>
  <si>
    <t>Shoham.zadok246@gmail.com</t>
  </si>
  <si>
    <t>שילת אפל</t>
  </si>
  <si>
    <t>0505535586</t>
  </si>
  <si>
    <t>shilatapel2008@gmail.com</t>
  </si>
  <si>
    <t xml:space="preserve">ראש העין </t>
  </si>
  <si>
    <t>אילנה זרגרי</t>
  </si>
  <si>
    <t>0586300933</t>
  </si>
  <si>
    <t>zargari.ilana@gmail.com</t>
  </si>
  <si>
    <t>יובל כחלון</t>
  </si>
  <si>
    <t>0585555363</t>
  </si>
  <si>
    <t>yuvalkahlon@icloud.com</t>
  </si>
  <si>
    <t xml:space="preserve">ראשל״צ </t>
  </si>
  <si>
    <t>אביגיל זבולוני</t>
  </si>
  <si>
    <t>0506560530</t>
  </si>
  <si>
    <t>avigailzvului2@gmail.com</t>
  </si>
  <si>
    <t>עדי שחם</t>
  </si>
  <si>
    <t>0542766735</t>
  </si>
  <si>
    <t>adishaham244@gmail.com</t>
  </si>
  <si>
    <t>מיכל דובב</t>
  </si>
  <si>
    <t>0542660699</t>
  </si>
  <si>
    <t>michal.dovev@gmail.com</t>
  </si>
  <si>
    <t>נועם סגל</t>
  </si>
  <si>
    <t>0585520350</t>
  </si>
  <si>
    <t>noamsegal20@gmail.con</t>
  </si>
  <si>
    <t>שי פטיטו</t>
  </si>
  <si>
    <t>0547750115</t>
  </si>
  <si>
    <t>Shaipetito@gmail.com</t>
  </si>
  <si>
    <t xml:space="preserve">פרדסיה </t>
  </si>
  <si>
    <t>ליאת שלי ווקס</t>
  </si>
  <si>
    <t>0585307939</t>
  </si>
  <si>
    <t>Liat.s.wax@gmail.com</t>
  </si>
  <si>
    <t>גנות הדר</t>
  </si>
  <si>
    <t xml:space="preserve">אדר רובין </t>
  </si>
  <si>
    <t>0543979650</t>
  </si>
  <si>
    <t>Adarubin99@gmail.com</t>
  </si>
  <si>
    <t>מושב פורת</t>
  </si>
  <si>
    <t>טוביה ברוך חלילי</t>
  </si>
  <si>
    <t>עדי רוקח</t>
  </si>
  <si>
    <t>0504770047</t>
  </si>
  <si>
    <t>rokachadi06@gmail.com</t>
  </si>
  <si>
    <t>רחובות</t>
  </si>
  <si>
    <t>מיה ניסים</t>
  </si>
  <si>
    <t xml:space="preserve">אשמח להיות החונכת של מיה ניסים משניידר </t>
  </si>
  <si>
    <t xml:space="preserve">איילה חניה </t>
  </si>
  <si>
    <t>0542332591</t>
  </si>
  <si>
    <t>Ayalahenia@gmail.com</t>
  </si>
  <si>
    <t xml:space="preserve">מורשת/גבעת שמואל </t>
  </si>
  <si>
    <t>מיה פלד</t>
  </si>
  <si>
    <t>0522477394</t>
  </si>
  <si>
    <t>maya@pelechtlv.org</t>
  </si>
  <si>
    <t>לאה דגני</t>
  </si>
  <si>
    <t>0586787114</t>
  </si>
  <si>
    <t>Leahdagani1@gmail.com</t>
  </si>
  <si>
    <t xml:space="preserve">רמת גן /אשקלון </t>
  </si>
  <si>
    <t xml:space="preserve">רות שריאל </t>
  </si>
  <si>
    <t>0559905907</t>
  </si>
  <si>
    <t>ruthsariel2010@gmail.com</t>
  </si>
  <si>
    <t xml:space="preserve">הושעיה </t>
  </si>
  <si>
    <t xml:space="preserve">נוי סלומון </t>
  </si>
  <si>
    <t>0508859444</t>
  </si>
  <si>
    <t>noysalomon08@gmail.com</t>
  </si>
  <si>
    <t xml:space="preserve">שרון גולובינסקי </t>
  </si>
  <si>
    <t>0542059122</t>
  </si>
  <si>
    <t>sharongolovinski@gmail.com</t>
  </si>
  <si>
    <t xml:space="preserve">יעל נהרי </t>
  </si>
  <si>
    <t>0507332112</t>
  </si>
  <si>
    <t>Yaelnah2009@gmail.com</t>
  </si>
  <si>
    <t>עדי אסתר סוקולובר</t>
  </si>
  <si>
    <t>0559945270</t>
  </si>
  <si>
    <t>adisoko1000@gmail.com</t>
  </si>
  <si>
    <t xml:space="preserve">הדר כורש </t>
  </si>
  <si>
    <t>0528858750</t>
  </si>
  <si>
    <t>Hadar.koresh100@gmail.com</t>
  </si>
  <si>
    <t>דניאל קרנר</t>
  </si>
  <si>
    <t>0532216742</t>
  </si>
  <si>
    <t>Kerner.daniel99@gmail.com</t>
  </si>
  <si>
    <t>רמת גן/ באר שבע</t>
  </si>
  <si>
    <t>אושר דבורה דופר</t>
  </si>
  <si>
    <t>0547341547</t>
  </si>
  <si>
    <t>osherdofer@gmail.com</t>
  </si>
  <si>
    <t xml:space="preserve">תהילה חנין </t>
  </si>
  <si>
    <t>0584936261</t>
  </si>
  <si>
    <t>Tehilla.rt@gmail.com</t>
  </si>
  <si>
    <t>יהונתן זינאל</t>
  </si>
  <si>
    <t>0547494166</t>
  </si>
  <si>
    <t>zinalgg0@gmail.com</t>
  </si>
  <si>
    <t>מתניה לוזון</t>
  </si>
  <si>
    <t>0555595394</t>
  </si>
  <si>
    <t>m.luzon5555@gmail.com</t>
  </si>
  <si>
    <t>נעה טרויהפט</t>
  </si>
  <si>
    <t>0585272845</t>
  </si>
  <si>
    <t>ntreuhaft09@gmail.com</t>
  </si>
  <si>
    <t>ישי עדי טנאהון</t>
  </si>
  <si>
    <t>0556657082</t>
  </si>
  <si>
    <t>Aditenahun@gmail.com</t>
  </si>
  <si>
    <t xml:space="preserve">נופר אמסלם </t>
  </si>
  <si>
    <t>0509552700</t>
  </si>
  <si>
    <t>Nofaram1234@gmail.com</t>
  </si>
  <si>
    <t>אלון דביר</t>
  </si>
  <si>
    <t>0587452246</t>
  </si>
  <si>
    <t>alondv2007@gmail.com</t>
  </si>
  <si>
    <t>לרה סילנפרוינד</t>
  </si>
  <si>
    <t>0503884477</t>
  </si>
  <si>
    <t>Lara12.seel@gmail.com</t>
  </si>
  <si>
    <t>שני צאל</t>
  </si>
  <si>
    <t>0584023367</t>
  </si>
  <si>
    <t>Shanitsal100@gmail.com</t>
  </si>
  <si>
    <t>0586888494</t>
  </si>
  <si>
    <t>ayalacohen0203@gmail.com</t>
  </si>
  <si>
    <t>פאר פריאוף</t>
  </si>
  <si>
    <t>אלזה ברק</t>
  </si>
  <si>
    <t>0525422445</t>
  </si>
  <si>
    <t>barakelsa@gmail.com</t>
  </si>
  <si>
    <t>דוד שמש</t>
  </si>
  <si>
    <t>0537117493</t>
  </si>
  <si>
    <t>bwbs74532@gmail.com</t>
  </si>
  <si>
    <t>אריאל אובסיוביץ</t>
  </si>
  <si>
    <t>ovseiovichariel@gmail.com</t>
  </si>
  <si>
    <t>ניתאי אזוט</t>
  </si>
  <si>
    <t>0548762680</t>
  </si>
  <si>
    <t>N7123459@GMAIL.COM</t>
  </si>
  <si>
    <t xml:space="preserve">גבריאלה אובסיוביץ </t>
  </si>
  <si>
    <t>0586933686</t>
  </si>
  <si>
    <t>gabrielaovseiovich@gmail.com</t>
  </si>
  <si>
    <t>ספיר</t>
  </si>
  <si>
    <t>0526002667</t>
  </si>
  <si>
    <t>Sapirmas95@gmail.com</t>
  </si>
  <si>
    <t>0502626750</t>
  </si>
  <si>
    <t>gilatweil@gmail.com</t>
  </si>
  <si>
    <t>דפנה קלאוזנר</t>
  </si>
  <si>
    <t>0522739716</t>
  </si>
  <si>
    <t>dafna.klausner05@gmail.com</t>
  </si>
  <si>
    <t>מאיה בר מאיר</t>
  </si>
  <si>
    <t>0544902191</t>
  </si>
  <si>
    <t>Maya@barmeir.co.il</t>
  </si>
  <si>
    <t xml:space="preserve">ליטל בן משה </t>
  </si>
  <si>
    <t>0544289433</t>
  </si>
  <si>
    <t>Litalbm2424@gmail.com</t>
  </si>
  <si>
    <t>מאיה תייאר</t>
  </si>
  <si>
    <t>0537018009</t>
  </si>
  <si>
    <t>Mayata26109@gmail.com</t>
  </si>
  <si>
    <t>halelcohen3003@gmail.com</t>
  </si>
  <si>
    <t>שרה כלפון</t>
  </si>
  <si>
    <t>טלי סנדברנד</t>
  </si>
  <si>
    <t>0536816387</t>
  </si>
  <si>
    <t>tsandbrand@gmail.com</t>
  </si>
  <si>
    <t>חגי נחמיאס</t>
  </si>
  <si>
    <t>0504014702</t>
  </si>
  <si>
    <t>Hagay.n.50@gmail.com</t>
  </si>
  <si>
    <t>תהילה ברוש</t>
  </si>
  <si>
    <t>0585133454</t>
  </si>
  <si>
    <t>tehilabroshh@gmail.com</t>
  </si>
  <si>
    <t>דניאל גולדפלד</t>
  </si>
  <si>
    <t>יעל שרגוביץ</t>
  </si>
  <si>
    <t>0586445501</t>
  </si>
  <si>
    <t>Yaelsrag@gmail.com</t>
  </si>
  <si>
    <t>תהילה שרון</t>
  </si>
  <si>
    <t>0533013436</t>
  </si>
  <si>
    <t>tehila0533013436@gmail.com</t>
  </si>
  <si>
    <t>מעיין נגר</t>
  </si>
  <si>
    <t>0559101777</t>
  </si>
  <si>
    <t>myynngr0@gmail.com</t>
  </si>
  <si>
    <t>בית רימון</t>
  </si>
  <si>
    <t>שירה סיאני</t>
  </si>
  <si>
    <t>0587996795</t>
  </si>
  <si>
    <t>shirasiani1973@gmail.com</t>
  </si>
  <si>
    <t xml:space="preserve">רני זיגדון </t>
  </si>
  <si>
    <t>0534338074</t>
  </si>
  <si>
    <t>ronizigson303@gmail.com</t>
  </si>
  <si>
    <t xml:space="preserve">בית רימון </t>
  </si>
  <si>
    <t>נאוה אלטס</t>
  </si>
  <si>
    <t>0549112176</t>
  </si>
  <si>
    <t>navates@icloud.com</t>
  </si>
  <si>
    <t>מיה אברמוב</t>
  </si>
  <si>
    <t>0524858588</t>
  </si>
  <si>
    <t>Mayavramov@gmail.com</t>
  </si>
  <si>
    <t>ראשון לציון</t>
  </si>
  <si>
    <t>נויה דוידזון</t>
  </si>
  <si>
    <t>0543084166</t>
  </si>
  <si>
    <t>noyadav13@gmail.com</t>
  </si>
  <si>
    <t>תפארת אסתר ריף שניידר</t>
  </si>
  <si>
    <t>ביחד עם רוני רוזנבלום</t>
  </si>
  <si>
    <t>אווה מרים גז</t>
  </si>
  <si>
    <t>0535264481</t>
  </si>
  <si>
    <t>Guezeva510@gmail.com</t>
  </si>
  <si>
    <t xml:space="preserve">טליה בן משה </t>
  </si>
  <si>
    <t>0523513232</t>
  </si>
  <si>
    <t>Talyatbm@gmail.com</t>
  </si>
  <si>
    <t>רוני רוזנבלום</t>
  </si>
  <si>
    <t>0585213142</t>
  </si>
  <si>
    <t>wwow65138@gmail.com</t>
  </si>
  <si>
    <t>ביחד עם נויה דוידזון</t>
  </si>
  <si>
    <t>Noamzohar01@gmail.com</t>
  </si>
  <si>
    <t>זוהר ארבל</t>
  </si>
  <si>
    <t xml:space="preserve">אוריה צרפתי </t>
  </si>
  <si>
    <t>0503664432</t>
  </si>
  <si>
    <t>Oriyaya2009@gmail.com</t>
  </si>
  <si>
    <t>ניצן פיינברג</t>
  </si>
  <si>
    <t>0584598981</t>
  </si>
  <si>
    <t>Nitzan.feinberg@gmail.com</t>
  </si>
  <si>
    <t xml:space="preserve">עדן יפרח </t>
  </si>
  <si>
    <t>0584761762</t>
  </si>
  <si>
    <t>Ifeden4@gmail.com</t>
  </si>
  <si>
    <t>קרית ארבע</t>
  </si>
  <si>
    <t xml:space="preserve">תמר אמיאל </t>
  </si>
  <si>
    <t>0509139935</t>
  </si>
  <si>
    <t>tamaramiel7@gmail.com</t>
  </si>
  <si>
    <t>תמר צאל</t>
  </si>
  <si>
    <t>0584023366</t>
  </si>
  <si>
    <t>tamartsal100@gmail.com</t>
  </si>
  <si>
    <t xml:space="preserve">אחינעם בוימל </t>
  </si>
  <si>
    <t>0559137658</t>
  </si>
  <si>
    <t>achilimood@gmail.com</t>
  </si>
  <si>
    <t>נוה ברנד</t>
  </si>
  <si>
    <t>0548608250</t>
  </si>
  <si>
    <t>navebrand27@gmail.com</t>
  </si>
  <si>
    <t xml:space="preserve">נועה אסטרוק </t>
  </si>
  <si>
    <t>0525572112</t>
  </si>
  <si>
    <t>Noa.astruc@gmail.com</t>
  </si>
  <si>
    <t>רחל חזקיה</t>
  </si>
  <si>
    <t>0542024169</t>
  </si>
  <si>
    <t>Hezkiarachel12@gmail.com</t>
  </si>
  <si>
    <t>אביטל ולד</t>
  </si>
  <si>
    <t>0584217651</t>
  </si>
  <si>
    <t>Avitalvald@gmail.com</t>
  </si>
  <si>
    <t>לידור לוין</t>
  </si>
  <si>
    <t>0542511068</t>
  </si>
  <si>
    <t>lidor1359@gmail.com</t>
  </si>
  <si>
    <t>תמי הורוביץ</t>
  </si>
  <si>
    <t>0546659877</t>
  </si>
  <si>
    <t>tamyhorovitz@icloud.com</t>
  </si>
  <si>
    <t>טליה יעקובוב</t>
  </si>
  <si>
    <t>0512722089</t>
  </si>
  <si>
    <t>taliay0929@gmail.com</t>
  </si>
  <si>
    <t xml:space="preserve">אור יהודה </t>
  </si>
  <si>
    <t>נעמה גרציק</t>
  </si>
  <si>
    <t>0506858555</t>
  </si>
  <si>
    <t>naama.rut.g@gmail.com</t>
  </si>
  <si>
    <t>מושב חמד</t>
  </si>
  <si>
    <t xml:space="preserve">זואי אילן </t>
  </si>
  <si>
    <t xml:space="preserve">Zoey.lior.ilan@gmail.com </t>
  </si>
  <si>
    <t>דנה נבון</t>
  </si>
  <si>
    <t>0506768319</t>
  </si>
  <si>
    <t>daananaavon5@gmail.com</t>
  </si>
  <si>
    <t>נתלי לוין</t>
  </si>
  <si>
    <t>0547759224</t>
  </si>
  <si>
    <t>levinnatalie42@gmail.com</t>
  </si>
  <si>
    <t xml:space="preserve">הודיה אמסלם </t>
  </si>
  <si>
    <t>0523121028</t>
  </si>
  <si>
    <t>Hodayaly6@gmail.com</t>
  </si>
  <si>
    <t>שוהם</t>
  </si>
  <si>
    <t>טליה צדקיהו</t>
  </si>
  <si>
    <t>דניאל ולץ</t>
  </si>
  <si>
    <t>0543394025</t>
  </si>
  <si>
    <t>danielvelts3@gmail.com</t>
  </si>
  <si>
    <t>Lielc998@gmail.com</t>
  </si>
  <si>
    <t xml:space="preserve">עדן קריספין </t>
  </si>
  <si>
    <t>0585512651</t>
  </si>
  <si>
    <t>edenkrisis@gmail.com</t>
  </si>
  <si>
    <t>איתן טוכפלד</t>
  </si>
  <si>
    <t>0512216601</t>
  </si>
  <si>
    <t>Eitantuc@gmail.com</t>
  </si>
  <si>
    <t>איילת צייזן</t>
  </si>
  <si>
    <t>0586971325</t>
  </si>
  <si>
    <t>ayeletchas@gmail.com</t>
  </si>
  <si>
    <t>ביחד עם אודליה פלדמן</t>
  </si>
  <si>
    <t>חיים כהן</t>
  </si>
  <si>
    <t>0559542552</t>
  </si>
  <si>
    <t>khnh46264@gmil.com</t>
  </si>
  <si>
    <t>רות קליין</t>
  </si>
  <si>
    <t>0587899762</t>
  </si>
  <si>
    <t>ruthrachelklein@gmail.com</t>
  </si>
  <si>
    <t xml:space="preserve">איילת קליין </t>
  </si>
  <si>
    <t>0587348140</t>
  </si>
  <si>
    <t>ayeletandrennana@gmail.com</t>
  </si>
  <si>
    <t>שני יפת</t>
  </si>
  <si>
    <t>0584792986</t>
  </si>
  <si>
    <t>shaniyefet08@gmail.com</t>
  </si>
  <si>
    <t>רוני דמרי</t>
  </si>
  <si>
    <t>0544648853</t>
  </si>
  <si>
    <t>Rony.demri12@gmail.com</t>
  </si>
  <si>
    <t>הדר סולימן</t>
  </si>
  <si>
    <t>0586433858</t>
  </si>
  <si>
    <t>Sulimanhsdar15@gamil.com</t>
  </si>
  <si>
    <t xml:space="preserve">לאנה אגימן </t>
  </si>
  <si>
    <t>0527003794</t>
  </si>
  <si>
    <t>Lana@pelechtlv.org</t>
  </si>
  <si>
    <t>נויה ארז</t>
  </si>
  <si>
    <t>0549569066</t>
  </si>
  <si>
    <t>erezrinat45@gmail.com</t>
  </si>
  <si>
    <t>הודיה דריהם</t>
  </si>
  <si>
    <t>hodayad1984@gmail.com</t>
  </si>
  <si>
    <t>צור הדסה</t>
  </si>
  <si>
    <t>שקד פלד</t>
  </si>
  <si>
    <t>0539740064</t>
  </si>
  <si>
    <t>Shakedp8@gmail.com</t>
  </si>
  <si>
    <t>הדר קינדרמן</t>
  </si>
  <si>
    <t>0536202522</t>
  </si>
  <si>
    <t>kindermanhadar@gmail.com</t>
  </si>
  <si>
    <t>נועם גבאי</t>
  </si>
  <si>
    <t xml:space="preserve">נועה שרגוביץ </t>
  </si>
  <si>
    <t>noasrag12@gmail.com</t>
  </si>
  <si>
    <t>עמית צוברי</t>
  </si>
  <si>
    <t>0533000053</t>
  </si>
  <si>
    <t>amit.suberri@gmail.com</t>
  </si>
  <si>
    <t>אלון אברהם גליק</t>
  </si>
  <si>
    <t>עדי אטלס</t>
  </si>
  <si>
    <t>0586893188</t>
  </si>
  <si>
    <t>adiatlas2009@gmail.com</t>
  </si>
  <si>
    <t>דניאל</t>
  </si>
  <si>
    <t>0552499175</t>
  </si>
  <si>
    <t>Tzimentd@gmail.com</t>
  </si>
  <si>
    <t>אור זמיר</t>
  </si>
  <si>
    <t>0503284254</t>
  </si>
  <si>
    <t>Orzamir31@gmail.com</t>
  </si>
  <si>
    <t>עמית חיות</t>
  </si>
  <si>
    <t>0509510641</t>
  </si>
  <si>
    <t>amit10044@gmail.com</t>
  </si>
  <si>
    <t>שיר ציון ערוב</t>
  </si>
  <si>
    <t>0509710886</t>
  </si>
  <si>
    <t>shireruv38@gmail.com</t>
  </si>
  <si>
    <t xml:space="preserve">מורשת </t>
  </si>
  <si>
    <t xml:space="preserve">אין לי בעיה עם חונכות באזור המרכז או חיפה והקריות </t>
  </si>
  <si>
    <t>עדי פירר</t>
  </si>
  <si>
    <t>0585832328</t>
  </si>
  <si>
    <t>Adifirer@gmail.com</t>
  </si>
  <si>
    <t>טליה מרים שטורם</t>
  </si>
  <si>
    <t>0546665014</t>
  </si>
  <si>
    <t>Talya.sturm1234@gmail.com</t>
  </si>
  <si>
    <t xml:space="preserve">יש לי חונכת קבועה בקו לחיים ולהושיט יד (אותה אחת)
אז אולי אני אצרף אותה גם לעמותה בהמשך </t>
  </si>
  <si>
    <t xml:space="preserve">נועה זרידר </t>
  </si>
  <si>
    <t>0585231216</t>
  </si>
  <si>
    <t>Noazarider@gmail.com</t>
  </si>
  <si>
    <t>ליאור רוכמן</t>
  </si>
  <si>
    <t>נעה קורן</t>
  </si>
  <si>
    <t>0553059886</t>
  </si>
  <si>
    <t>Noakoren19@gmail.com</t>
  </si>
  <si>
    <t>ליז כהן</t>
  </si>
  <si>
    <t>0544266624</t>
  </si>
  <si>
    <t>liz.cohen.v@gmail.com</t>
  </si>
  <si>
    <t>בית דגן</t>
  </si>
  <si>
    <t>איתי טייכמן</t>
  </si>
  <si>
    <t>0526813363</t>
  </si>
  <si>
    <t>itaytaichman@gmail.com</t>
  </si>
  <si>
    <t>היי הגעתי דרך יאיר זוהר
אשמח אם יש אפשרות של טכני אז גם להיות טכני אני אחד שאוהב את זה וטוב בזה(גם עבדתי בלוגיסטיקה)</t>
  </si>
  <si>
    <t>יהלי עמר</t>
  </si>
  <si>
    <t>0527012944</t>
  </si>
  <si>
    <t>yyyaheliamar@gmail.com</t>
  </si>
  <si>
    <t>יהיה אש!</t>
  </si>
  <si>
    <t>שירה נדם</t>
  </si>
  <si>
    <t>0584379119</t>
  </si>
  <si>
    <t>shiranadam15122002@gmail.com</t>
  </si>
  <si>
    <t>אורי הורוביץ</t>
  </si>
  <si>
    <t>0537002125</t>
  </si>
  <si>
    <t>ori.horowitz100@gmail.com</t>
  </si>
  <si>
    <t xml:space="preserve">דוד גדות </t>
  </si>
  <si>
    <t>0508466488</t>
  </si>
  <si>
    <t>davidgadot2006@gmail.com</t>
  </si>
  <si>
    <t xml:space="preserve">יוסף ביטון </t>
  </si>
  <si>
    <t>0515669034</t>
  </si>
  <si>
    <t>yosibiton120@gmail.com</t>
  </si>
  <si>
    <t xml:space="preserve">נתניה </t>
  </si>
  <si>
    <t>הילה פרץ</t>
  </si>
  <si>
    <t>0505537155</t>
  </si>
  <si>
    <t>hylhprz820@gmail.com</t>
  </si>
  <si>
    <t>עדי טיראן</t>
  </si>
  <si>
    <t>0523724858</t>
  </si>
  <si>
    <t>Adi_tiran@walla.co.il</t>
  </si>
  <si>
    <t>טלאור מלול</t>
  </si>
  <si>
    <t>0543052267</t>
  </si>
  <si>
    <t>talor043@gmail.com</t>
  </si>
  <si>
    <t>דוד ריינד</t>
  </si>
  <si>
    <t>0559171012</t>
  </si>
  <si>
    <t>doodpro1258@gmail.com</t>
  </si>
  <si>
    <t xml:space="preserve">רננה זלוטניק </t>
  </si>
  <si>
    <t>0503529915</t>
  </si>
  <si>
    <t>renana.zlotnik@gmail.com</t>
  </si>
  <si>
    <t>מורשת</t>
  </si>
  <si>
    <t xml:space="preserve">שהם זנדני </t>
  </si>
  <si>
    <t>0546147775</t>
  </si>
  <si>
    <t>zandanishoham@gmail.com</t>
  </si>
  <si>
    <t xml:space="preserve">עדי גלזר </t>
  </si>
  <si>
    <t>0509463302</t>
  </si>
  <si>
    <t>dkzrgsh51@gmail.com</t>
  </si>
  <si>
    <t>יעל שטרנברג</t>
  </si>
  <si>
    <t>למא חמוד</t>
  </si>
  <si>
    <t>0549873909</t>
  </si>
  <si>
    <t>lamahamoud79@gmail.com</t>
  </si>
  <si>
    <t>מגד אל כרום</t>
  </si>
  <si>
    <t>תהילה מרן</t>
  </si>
  <si>
    <t>0547266996</t>
  </si>
  <si>
    <t>tehilama13@gmail.com</t>
  </si>
  <si>
    <t>יהוד מונוסון</t>
  </si>
  <si>
    <t xml:space="preserve">יעל שירה יצחקי </t>
  </si>
  <si>
    <t>0543662799</t>
  </si>
  <si>
    <t>yaelshir695@gmail.com</t>
  </si>
  <si>
    <t>כיתה י׳ בית ספר שלהבת שוהם</t>
  </si>
  <si>
    <t>יהודית קריגר</t>
  </si>
  <si>
    <t>0542985961</t>
  </si>
  <si>
    <t>Adikriger11@gmail.com</t>
  </si>
  <si>
    <t>אילה קריץ</t>
  </si>
  <si>
    <t>Ayalakritz@gmail.com</t>
  </si>
  <si>
    <t>הדר גנים</t>
  </si>
  <si>
    <t>שני קצביאן</t>
  </si>
  <si>
    <t>0584660606</t>
  </si>
  <si>
    <t>shanikatza2007@gmail.com</t>
  </si>
  <si>
    <t xml:space="preserve">נויה הלוי </t>
  </si>
  <si>
    <t>0505204508</t>
  </si>
  <si>
    <t>noyahalevi21@gmail.com</t>
  </si>
  <si>
    <t xml:space="preserve">יובל נזרי </t>
  </si>
  <si>
    <t>0549804222</t>
  </si>
  <si>
    <t>ywblnzry@gmail.com</t>
  </si>
  <si>
    <t>?</t>
  </si>
  <si>
    <t>יש לי חניך</t>
  </si>
  <si>
    <t>להכניס לקבוצת חונכות</t>
  </si>
  <si>
    <t xml:space="preserve">מעיין שרון </t>
  </si>
  <si>
    <t>0538275322</t>
  </si>
  <si>
    <t>maayansh43@gmail.com</t>
  </si>
  <si>
    <t xml:space="preserve">אני גרה באלעד, אבל בשנת מדרשה באלוני שילה אז מעוניינת להתנדב בקרני שומרון למשך השנה. אם רלוונטי אשמח להגיע ולהתנדב:) </t>
  </si>
  <si>
    <t>חנה רנדל</t>
  </si>
  <si>
    <t>0535330009</t>
  </si>
  <si>
    <t>Chanarendel2@gmail.com</t>
  </si>
  <si>
    <t>אני יתחיל בכללית ואז יראה איך זה ואולי אעבור לאישית💘</t>
  </si>
  <si>
    <t>Revitalshui@gmail.com</t>
  </si>
  <si>
    <t>אני אתחיל בכללי אבל אני כנראה יעבור לעשות גם חונכות אישית💞</t>
  </si>
  <si>
    <t xml:space="preserve">יפתח פיינברג </t>
  </si>
  <si>
    <t>0584675285</t>
  </si>
  <si>
    <t>Iftach33333@gmail.com</t>
  </si>
  <si>
    <t>ארז פלדמן</t>
  </si>
  <si>
    <t xml:space="preserve">נופר  אמסלם </t>
  </si>
  <si>
    <t xml:space="preserve">שלום, 
קוראים לי נופר אמסלם גרה בירושלים בת 23 
שנה ג בתואר ראשון-חינוך מיוחד 
מחנכת כיתה ה׳-כיתה מקדמת עד סוף החודש 
ועובדת עם ילדים 
*מחפשת התנדבות שתהייה עבורי משמעותית שאוכל לתת את הלב והנשמה* 
אשמח לפרטים </t>
  </si>
  <si>
    <t>אוריאן מקייטן</t>
  </si>
  <si>
    <t>0506726191</t>
  </si>
  <si>
    <t>orian200820082008@gmail.com</t>
  </si>
  <si>
    <t>אביה פרוכטר</t>
  </si>
  <si>
    <t>0543451809</t>
  </si>
  <si>
    <t>aviafruchter51809@gmail.com</t>
  </si>
  <si>
    <t>רונילי אריאל</t>
  </si>
  <si>
    <t>0549555842</t>
  </si>
  <si>
    <t>roniliariel@icloud.com</t>
  </si>
  <si>
    <t>מיכאלה ישראל</t>
  </si>
  <si>
    <t>0505496669</t>
  </si>
  <si>
    <t>israelmichaela14@gmail.com</t>
  </si>
  <si>
    <t>מאי לוי</t>
  </si>
  <si>
    <t>0533367209</t>
  </si>
  <si>
    <t>maylevy32@gmail.com</t>
  </si>
  <si>
    <t>אמיל נוריאל</t>
  </si>
  <si>
    <t>0545309274</t>
  </si>
  <si>
    <t>Emil.nuriel01@gmail.com</t>
  </si>
  <si>
    <t>עדו עבאדי</t>
  </si>
  <si>
    <t>0515663298</t>
  </si>
  <si>
    <t>Idoabady100@gmail.com</t>
  </si>
  <si>
    <t>יואב בן שושן</t>
  </si>
  <si>
    <t>0534214296</t>
  </si>
  <si>
    <t>yoavb88@gmail.com</t>
  </si>
  <si>
    <t>עידו גבעון</t>
  </si>
  <si>
    <t>0585028028</t>
  </si>
  <si>
    <t>idogivon11@gmail.com</t>
  </si>
  <si>
    <t>היי אני אשמח כרגע להתנדבות הכללית ואם אראה שמתאים לי בעזרת ה׳ בהמשך גם חונכות אישית</t>
  </si>
  <si>
    <t xml:space="preserve">שילי מטלס </t>
  </si>
  <si>
    <t>0505720076</t>
  </si>
  <si>
    <t>shailimateless@gmail.com</t>
  </si>
  <si>
    <t>טליה בן אדיבה</t>
  </si>
  <si>
    <t>0543910310</t>
  </si>
  <si>
    <t>taliabenadiva@gmail.com</t>
  </si>
  <si>
    <t>מושה טפחות</t>
  </si>
  <si>
    <t xml:space="preserve">רעות גורליק </t>
  </si>
  <si>
    <t>0509600850</t>
  </si>
  <si>
    <t>reutgorelik8@gmail.com</t>
  </si>
  <si>
    <t>כפר תבור</t>
  </si>
  <si>
    <t>הראל רז</t>
  </si>
  <si>
    <t>0586420676</t>
  </si>
  <si>
    <t>harelraz2010@outlook.co.il</t>
  </si>
  <si>
    <t>ניצן רוט</t>
  </si>
  <si>
    <t>0509466969</t>
  </si>
  <si>
    <t>nitzanroth1212@gmail.com</t>
  </si>
  <si>
    <t xml:space="preserve">מודיעין מכבים רעות </t>
  </si>
  <si>
    <t xml:space="preserve">תהילה כהן </t>
  </si>
  <si>
    <t>0586366200</t>
  </si>
  <si>
    <t>tehila052626@gmail.com</t>
  </si>
  <si>
    <t xml:space="preserve">בר יוחאי </t>
  </si>
  <si>
    <t>יעל חזן</t>
  </si>
  <si>
    <t>0584688333</t>
  </si>
  <si>
    <t>yaelhaz95@gmail.com</t>
  </si>
  <si>
    <t xml:space="preserve">אפרת לייש </t>
  </si>
  <si>
    <t>0586604960</t>
  </si>
  <si>
    <t>Latishef@gmail.com</t>
  </si>
  <si>
    <t>אני ממש רוצה להתנדב בחונכות אישית אבל בגלל שאני בכיתה יא אני לא בטוחה איך ומתי יהיו הבגרויות אז אני אשמח להתחיל מחונכות כללית ובתקווה לעבור לחונכות אישית</t>
  </si>
  <si>
    <t>יעלה אביאור</t>
  </si>
  <si>
    <t>0542454558</t>
  </si>
  <si>
    <t>Yeaela@gmail.com</t>
  </si>
  <si>
    <t>טלמון</t>
  </si>
  <si>
    <t>מרים בן עמי</t>
  </si>
  <si>
    <t>0555002431</t>
  </si>
  <si>
    <t>Myriambenami167@gmail.com</t>
  </si>
  <si>
    <t>מעיין ניסן</t>
  </si>
  <si>
    <t>0544469405</t>
  </si>
  <si>
    <t>maayananisan@gmail.com</t>
  </si>
  <si>
    <t>קריית אתא</t>
  </si>
  <si>
    <t>אליסיני שעיה</t>
  </si>
  <si>
    <t>0528171155</t>
  </si>
  <si>
    <t>aleysinai2006@gmail.com</t>
  </si>
  <si>
    <t>שחר כהן</t>
  </si>
  <si>
    <t>10/08/0007</t>
  </si>
  <si>
    <t>0537255565</t>
  </si>
  <si>
    <t>Shaharrahelcohen@gmail.com</t>
  </si>
  <si>
    <t xml:space="preserve">רחובות </t>
  </si>
  <si>
    <t>מעדיפה אופציה לחניך שגר באיזורי❤️</t>
  </si>
  <si>
    <t>נריה מקייטן</t>
  </si>
  <si>
    <t>0542319808</t>
  </si>
  <si>
    <t>neriya.mekayten11@gmail.com</t>
  </si>
  <si>
    <t>שירה רוקח</t>
  </si>
  <si>
    <t>052-6843036</t>
  </si>
  <si>
    <t>shiraro10@gmail.com</t>
  </si>
  <si>
    <t>אני רוצה גם להתנדב בהתנדבות הכללית וגם להיות חונכת</t>
  </si>
  <si>
    <t>אליענה אלטס</t>
  </si>
  <si>
    <t>0549112175</t>
  </si>
  <si>
    <t>Elteseliana@gmail.com</t>
  </si>
  <si>
    <t>ליה גולן</t>
  </si>
  <si>
    <t>0542478723</t>
  </si>
  <si>
    <t>liyago2806@gmail.com</t>
  </si>
  <si>
    <t>יד רמב״ם (מושב)</t>
  </si>
  <si>
    <t>אווה לוי</t>
  </si>
  <si>
    <t>0537081322</t>
  </si>
  <si>
    <t>Eva.levy2@icloud.com</t>
  </si>
  <si>
    <t>אודיה נעמן</t>
  </si>
  <si>
    <t>0522042858</t>
  </si>
  <si>
    <t>Naamankoosz@gmail.com</t>
  </si>
  <si>
    <t xml:space="preserve">בנימין בנג׳י שימשילשוילי </t>
  </si>
  <si>
    <t>0526714938</t>
  </si>
  <si>
    <t>bennyxd00@gmail.com</t>
  </si>
  <si>
    <t>התנדבתי במשך שנים מכיר ויודע את העבודה וממש טוב פסיכולוגית עם נוער ומשפחות…עשיתי כמה פרוייקטים בחיים וכו׳.</t>
  </si>
  <si>
    <t xml:space="preserve">אילה אלחדד </t>
  </si>
  <si>
    <t>0532858471</t>
  </si>
  <si>
    <t xml:space="preserve">ayalaelchdad@gmail.com </t>
  </si>
  <si>
    <t xml:space="preserve">אני ממש אשמח להתנדב בכל מה שיש </t>
  </si>
  <si>
    <t xml:space="preserve">hodayaz2009@gmaiI.com </t>
  </si>
  <si>
    <t>יאיר בראוס</t>
  </si>
  <si>
    <t>0532232097</t>
  </si>
  <si>
    <t>Yairgbrous@gmail.com</t>
  </si>
  <si>
    <t xml:space="preserve">אני אשמח להתחיל בהתנדבות כללית ואז עוד כמה שבועות אני ארצה לעבור להיות חונך, תודה על הזכות </t>
  </si>
  <si>
    <t>שני נועה טביב</t>
  </si>
  <si>
    <t>0544437722</t>
  </si>
  <si>
    <t>Shani03411@gmail.com</t>
  </si>
  <si>
    <t>אשמח ליותר פרטים</t>
  </si>
  <si>
    <t>אגם מסיקה סיון</t>
  </si>
  <si>
    <t>0523244457</t>
  </si>
  <si>
    <t>agammesika@gmail.com</t>
  </si>
  <si>
    <t xml:space="preserve">אשמח לחניך לא מעל גיל 3.
אני עצמאית שעובדת  ב״ה הרבה ורוצה להגיע לחונכות ולשחרר🙏🏼 ולהיות כמה שיותר בפשטות עם הילד.
</t>
  </si>
  <si>
    <t>יהלי מארי</t>
  </si>
  <si>
    <t>0587892272</t>
  </si>
  <si>
    <t>yahlimari1669@gmail.com</t>
  </si>
  <si>
    <t xml:space="preserve">נועם אביטל </t>
  </si>
  <si>
    <t>0542688676</t>
  </si>
  <si>
    <t>Noamav08@gmail.com</t>
  </si>
  <si>
    <t>מיטל וויזר</t>
  </si>
  <si>
    <t>0585975839</t>
  </si>
  <si>
    <t>maytalweiser@gmail.com</t>
  </si>
  <si>
    <t>אנדי חאמו</t>
  </si>
  <si>
    <t xml:space="preserve">ספיר סיני </t>
  </si>
  <si>
    <t>0544721959</t>
  </si>
  <si>
    <t>Sapirsinai46@gmail.com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</si>
</sst>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d/MM/yyyy"/>
    <numFmt numFmtId="166" formatCode="d/m/yyyy"/>
    <numFmt numFmtId="167" formatCode="dd/m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5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2.0"/>
      <color rgb="FF434343"/>
      <name val="Arial"/>
    </font>
    <font>
      <b/>
      <color theme="1"/>
      <name val="Arial"/>
    </font>
    <font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2.0"/>
      <color rgb="FF000000"/>
      <name val="Arial"/>
    </font>
    <font>
      <u/>
      <sz val="12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right" readingOrder="0"/>
    </xf>
    <xf borderId="0" fillId="0" fontId="1" numFmtId="0" xfId="0" applyAlignment="1" applyFont="1">
      <alignment readingOrder="0"/>
    </xf>
    <xf borderId="1" fillId="4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 readingOrder="0" vertical="bottom"/>
    </xf>
    <xf borderId="1" fillId="4" fontId="6" numFmtId="0" xfId="0" applyAlignment="1" applyBorder="1" applyFont="1">
      <alignment horizontal="right" readingOrder="0" shrinkToFit="0" vertical="bottom" wrapText="0"/>
    </xf>
    <xf borderId="0" fillId="4" fontId="6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6" fontId="1" numFmtId="164" xfId="0" applyAlignment="1" applyFill="1" applyFont="1" applyNumberFormat="1">
      <alignment readingOrder="0"/>
    </xf>
    <xf borderId="0" fillId="6" fontId="1" numFmtId="0" xfId="0" applyAlignment="1" applyFont="1">
      <alignment readingOrder="0"/>
    </xf>
    <xf borderId="0" fillId="6" fontId="1" numFmtId="14" xfId="0" applyAlignment="1" applyFont="1" applyNumberFormat="1">
      <alignment readingOrder="0"/>
    </xf>
    <xf borderId="0" fillId="6" fontId="1" numFmtId="0" xfId="0" applyAlignment="1" applyFont="1">
      <alignment readingOrder="0"/>
    </xf>
    <xf quotePrefix="1" borderId="0" fillId="6" fontId="1" numFmtId="0" xfId="0" applyAlignment="1" applyFont="1">
      <alignment readingOrder="0"/>
    </xf>
    <xf borderId="0" fillId="6" fontId="1" numFmtId="0" xfId="0" applyFont="1"/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1" fillId="4" fontId="9" numFmtId="0" xfId="0" applyAlignment="1" applyBorder="1" applyFont="1">
      <alignment horizontal="center" readingOrder="2" shrinkToFit="0" vertical="center" wrapText="1"/>
    </xf>
    <xf borderId="1" fillId="0" fontId="9" numFmtId="0" xfId="0" applyAlignment="1" applyBorder="1" applyFont="1">
      <alignment horizontal="center" readingOrder="2" shrinkToFit="0" vertical="center" wrapText="1"/>
    </xf>
    <xf borderId="1" fillId="0" fontId="9" numFmtId="0" xfId="0" applyAlignment="1" applyBorder="1" applyFont="1">
      <alignment horizontal="center" readingOrder="2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quotePrefix="1"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9" numFmtId="165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0" fontId="9" numFmtId="166" xfId="0" applyAlignment="1" applyBorder="1" applyFont="1" applyNumberFormat="1">
      <alignment horizontal="center" readingOrder="0" shrinkToFit="0" vertical="center" wrapText="1"/>
    </xf>
    <xf borderId="1" fillId="0" fontId="9" numFmtId="167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4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4" fontId="9" numFmtId="166" xfId="0" applyAlignment="1" applyBorder="1" applyFont="1" applyNumberFormat="1">
      <alignment horizontal="center" readingOrder="0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quotePrefix="1" borderId="0" fillId="0" fontId="9" numFmtId="0" xfId="0" applyAlignment="1" applyFont="1">
      <alignment horizontal="center" readingOrder="0" shrinkToFit="0" vertical="center" wrapText="1"/>
    </xf>
    <xf borderId="1" fillId="4" fontId="9" numFmtId="167" xfId="0" applyAlignment="1" applyBorder="1" applyFont="1" applyNumberFormat="1">
      <alignment horizontal="center" readingOrder="0" shrinkToFit="0" vertical="center" wrapText="1"/>
    </xf>
    <xf borderId="1" fillId="0" fontId="4" numFmtId="167" xfId="0" applyAlignment="1" applyBorder="1" applyFont="1" applyNumberFormat="1">
      <alignment horizontal="center" readingOrder="0" shrinkToFit="0" vertical="center" wrapText="1"/>
    </xf>
    <xf quotePrefix="1" borderId="1" fillId="0" fontId="4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שיבוץ חונכויות - בקשות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שיבוץ חונכויות - בקשות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7" displayName="Form_Responses1" name="Form_Responses1" id="1">
  <tableColumns count="6">
    <tableColumn name="חותמת זמן" id="1"/>
    <tableColumn name="שם המתנדב/ת" id="2"/>
    <tableColumn name="עיר מגורים" id="3"/>
    <tableColumn name="גיל" id="4"/>
    <tableColumn name="חניכים - במידה ואין העדפה למקום ספציפי ניתן לבחור כמה ומהם יבחר אחד" id="5"/>
    <tableColumn name="עמודה 1" id="6"/>
  </tableColumns>
  <tableStyleInfo name="שיבוץ חונכויות - בקשות-style" showColumnStripes="0" showFirstColumn="1" showLastColumn="1" showRowStripes="1"/>
</table>
</file>

<file path=xl/tables/table2.xml><?xml version="1.0" encoding="utf-8"?>
<table xmlns="http://schemas.openxmlformats.org/spreadsheetml/2006/main" headerRowCount="0" ref="J30:J45" displayName="Table_1" name="Table_1" id="2">
  <tableColumns count="1">
    <tableColumn name="Column1" id="1"/>
  </tableColumns>
  <tableStyleInfo name="שיבוץ חונכויות - בקשות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osymercado202gmail.com" TargetMode="External"/><Relationship Id="rId2" Type="http://schemas.openxmlformats.org/officeDocument/2006/relationships/hyperlink" Target="mailto:shoam355@gmail.com" TargetMode="External"/><Relationship Id="rId3" Type="http://schemas.openxmlformats.org/officeDocument/2006/relationships/hyperlink" Target="http://shlomic2025gmail.com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8.88"/>
    <col customWidth="1" min="3" max="3" width="13.25"/>
    <col customWidth="1" min="4" max="4" width="18.88"/>
    <col customWidth="1" min="5" max="5" width="75.13"/>
    <col customWidth="1" min="6" max="6" width="18.88"/>
    <col customWidth="1" min="7" max="7" width="31.25"/>
    <col customWidth="1" min="8" max="9" width="18.88"/>
    <col customWidth="1" min="10" max="10" width="53.13"/>
    <col customWidth="1" min="1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45817.74955974537</v>
      </c>
      <c r="B2" s="4" t="s">
        <v>6</v>
      </c>
      <c r="C2" s="5" t="s">
        <v>7</v>
      </c>
      <c r="D2" s="6">
        <v>17.0</v>
      </c>
      <c r="E2" s="5" t="s">
        <v>8</v>
      </c>
      <c r="F2" s="7"/>
      <c r="G2" s="8" t="s">
        <v>9</v>
      </c>
      <c r="K2" s="9" t="s">
        <v>10</v>
      </c>
    </row>
    <row r="3" ht="22.5" customHeight="1">
      <c r="A3" s="3">
        <v>45817.74968559028</v>
      </c>
      <c r="B3" s="5" t="s">
        <v>11</v>
      </c>
      <c r="C3" s="5" t="s">
        <v>12</v>
      </c>
      <c r="D3" s="6">
        <v>16.5</v>
      </c>
      <c r="E3" s="5" t="s">
        <v>8</v>
      </c>
      <c r="F3" s="5"/>
      <c r="G3" s="10"/>
      <c r="H3" s="11"/>
      <c r="I3" s="11"/>
      <c r="K3" s="12" t="s">
        <v>13</v>
      </c>
    </row>
    <row r="4" ht="22.5" customHeight="1">
      <c r="A4" s="3">
        <v>45817.75046362268</v>
      </c>
      <c r="B4" s="13"/>
      <c r="C4" s="5"/>
      <c r="D4" s="6"/>
      <c r="E4" s="5"/>
      <c r="F4" s="7"/>
      <c r="G4" s="11" t="s">
        <v>14</v>
      </c>
      <c r="H4" s="11"/>
      <c r="I4" s="11"/>
    </row>
    <row r="5" ht="22.5" customHeight="1">
      <c r="A5" s="14">
        <v>45817.752717048614</v>
      </c>
      <c r="B5" s="15" t="s">
        <v>15</v>
      </c>
      <c r="C5" s="15" t="s">
        <v>16</v>
      </c>
      <c r="D5" s="16">
        <v>16.0</v>
      </c>
      <c r="E5" s="15" t="s">
        <v>17</v>
      </c>
      <c r="F5" s="7"/>
      <c r="G5" s="11" t="s">
        <v>18</v>
      </c>
      <c r="H5" s="11"/>
      <c r="I5" s="11"/>
      <c r="J5" s="17" t="s">
        <v>19</v>
      </c>
      <c r="K5" s="17" t="s">
        <v>20</v>
      </c>
      <c r="L5" s="17" t="s">
        <v>21</v>
      </c>
    </row>
    <row r="6" ht="22.5" customHeight="1">
      <c r="A6" s="14">
        <v>45817.75892450231</v>
      </c>
      <c r="B6" s="15" t="s">
        <v>22</v>
      </c>
      <c r="C6" s="15" t="s">
        <v>23</v>
      </c>
      <c r="D6" s="16">
        <v>18.0</v>
      </c>
      <c r="E6" s="15" t="s">
        <v>24</v>
      </c>
      <c r="F6" s="7"/>
      <c r="G6" s="11" t="s">
        <v>25</v>
      </c>
      <c r="J6" s="18" t="s">
        <v>26</v>
      </c>
    </row>
    <row r="7" ht="22.5" customHeight="1">
      <c r="A7" s="14">
        <v>45817.76757275463</v>
      </c>
      <c r="B7" s="15" t="s">
        <v>27</v>
      </c>
      <c r="C7" s="15" t="s">
        <v>28</v>
      </c>
      <c r="D7" s="16">
        <v>17.0</v>
      </c>
      <c r="E7" s="15" t="s">
        <v>29</v>
      </c>
      <c r="F7" s="7"/>
      <c r="G7" s="11" t="s">
        <v>30</v>
      </c>
      <c r="J7" s="18" t="s">
        <v>31</v>
      </c>
      <c r="K7" s="19" t="s">
        <v>32</v>
      </c>
    </row>
    <row r="8" ht="22.5" customHeight="1">
      <c r="A8" s="14">
        <v>45817.83285023148</v>
      </c>
      <c r="B8" s="15" t="s">
        <v>33</v>
      </c>
      <c r="C8" s="15" t="s">
        <v>34</v>
      </c>
      <c r="D8" s="16">
        <v>16.0</v>
      </c>
      <c r="E8" s="15" t="s">
        <v>35</v>
      </c>
      <c r="F8" s="7"/>
      <c r="G8" s="11" t="s">
        <v>36</v>
      </c>
      <c r="J8" s="18" t="s">
        <v>37</v>
      </c>
    </row>
    <row r="9" ht="22.5" customHeight="1">
      <c r="A9" s="14">
        <v>45817.85827895833</v>
      </c>
      <c r="B9" s="15" t="s">
        <v>38</v>
      </c>
      <c r="C9" s="15" t="s">
        <v>28</v>
      </c>
      <c r="D9" s="16">
        <v>17.0</v>
      </c>
      <c r="E9" s="15" t="s">
        <v>39</v>
      </c>
      <c r="F9" s="7"/>
      <c r="G9" s="11" t="s">
        <v>40</v>
      </c>
      <c r="J9" s="18" t="s">
        <v>41</v>
      </c>
      <c r="K9" s="11" t="s">
        <v>42</v>
      </c>
    </row>
    <row r="10" ht="22.5" customHeight="1">
      <c r="A10" s="14">
        <v>45818.5268702662</v>
      </c>
      <c r="B10" s="15" t="s">
        <v>43</v>
      </c>
      <c r="C10" s="15" t="s">
        <v>44</v>
      </c>
      <c r="D10" s="16">
        <v>17.5</v>
      </c>
      <c r="E10" s="15" t="s">
        <v>45</v>
      </c>
      <c r="F10" s="7"/>
      <c r="G10" s="11" t="s">
        <v>46</v>
      </c>
      <c r="J10" s="20" t="s">
        <v>18</v>
      </c>
      <c r="K10" s="11"/>
    </row>
    <row r="11" ht="22.5" customHeight="1">
      <c r="A11" s="14">
        <v>45818.54640503472</v>
      </c>
      <c r="B11" s="4" t="s">
        <v>47</v>
      </c>
      <c r="C11" s="15" t="s">
        <v>34</v>
      </c>
      <c r="D11" s="16">
        <v>17.0</v>
      </c>
      <c r="E11" s="15" t="s">
        <v>45</v>
      </c>
      <c r="F11" s="7"/>
      <c r="G11" s="11"/>
      <c r="J11" s="18" t="s">
        <v>48</v>
      </c>
    </row>
    <row r="12" ht="22.5" customHeight="1">
      <c r="A12" s="14">
        <v>45818.57983682871</v>
      </c>
      <c r="B12" s="15" t="s">
        <v>49</v>
      </c>
      <c r="C12" s="15" t="s">
        <v>34</v>
      </c>
      <c r="D12" s="16">
        <v>17.0</v>
      </c>
      <c r="E12" s="15" t="s">
        <v>35</v>
      </c>
      <c r="F12" s="7"/>
      <c r="G12" s="11" t="s">
        <v>50</v>
      </c>
      <c r="J12" s="18" t="s">
        <v>51</v>
      </c>
    </row>
    <row r="13" ht="22.5" customHeight="1">
      <c r="A13" s="14">
        <v>45818.596349733794</v>
      </c>
      <c r="B13" s="4" t="s">
        <v>52</v>
      </c>
      <c r="C13" s="15" t="s">
        <v>53</v>
      </c>
      <c r="D13" s="16">
        <v>14.5</v>
      </c>
      <c r="E13" s="15" t="s">
        <v>54</v>
      </c>
      <c r="F13" s="7"/>
      <c r="G13" s="11" t="s">
        <v>55</v>
      </c>
      <c r="J13" s="18"/>
    </row>
    <row r="14" ht="22.5" customHeight="1">
      <c r="A14" s="14">
        <v>45818.622206493055</v>
      </c>
      <c r="B14" s="15" t="s">
        <v>56</v>
      </c>
      <c r="C14" s="15" t="s">
        <v>57</v>
      </c>
      <c r="D14" s="16">
        <v>27.0</v>
      </c>
      <c r="E14" s="15" t="s">
        <v>35</v>
      </c>
      <c r="F14" s="7"/>
      <c r="G14" s="11" t="s">
        <v>58</v>
      </c>
      <c r="J14" s="18" t="s">
        <v>59</v>
      </c>
    </row>
    <row r="15" ht="22.5" customHeight="1">
      <c r="A15" s="14">
        <v>45819.61585248842</v>
      </c>
      <c r="B15" s="4" t="s">
        <v>60</v>
      </c>
      <c r="C15" s="15" t="s">
        <v>61</v>
      </c>
      <c r="D15" s="16">
        <v>20.0</v>
      </c>
      <c r="E15" s="15" t="s">
        <v>62</v>
      </c>
      <c r="F15" s="7"/>
      <c r="G15" s="11" t="s">
        <v>63</v>
      </c>
      <c r="J15" s="18" t="s">
        <v>64</v>
      </c>
    </row>
    <row r="16" ht="22.5" customHeight="1">
      <c r="A16" s="14">
        <v>45820.02067726852</v>
      </c>
      <c r="B16" s="15" t="s">
        <v>65</v>
      </c>
      <c r="C16" s="15" t="s">
        <v>16</v>
      </c>
      <c r="D16" s="16">
        <v>17.0</v>
      </c>
      <c r="E16" s="15" t="s">
        <v>17</v>
      </c>
      <c r="G16" s="12" t="s">
        <v>66</v>
      </c>
      <c r="J16" s="18" t="s">
        <v>67</v>
      </c>
    </row>
    <row r="17" ht="22.5" customHeight="1">
      <c r="A17" s="14">
        <v>45820.59479822917</v>
      </c>
      <c r="B17" s="15" t="s">
        <v>68</v>
      </c>
      <c r="C17" s="15" t="s">
        <v>34</v>
      </c>
      <c r="D17" s="16">
        <v>13.9</v>
      </c>
      <c r="E17" s="15" t="s">
        <v>35</v>
      </c>
      <c r="G17" s="12" t="s">
        <v>69</v>
      </c>
      <c r="J17" s="21" t="s">
        <v>70</v>
      </c>
    </row>
    <row r="18">
      <c r="G18" s="11" t="s">
        <v>71</v>
      </c>
      <c r="J18" s="21" t="s">
        <v>72</v>
      </c>
    </row>
    <row r="19">
      <c r="G19" s="11" t="s">
        <v>73</v>
      </c>
      <c r="J19" s="21" t="s">
        <v>74</v>
      </c>
    </row>
    <row r="20">
      <c r="G20" s="11" t="s">
        <v>75</v>
      </c>
      <c r="J20" s="21" t="s">
        <v>76</v>
      </c>
    </row>
    <row r="21">
      <c r="G21" s="11" t="s">
        <v>77</v>
      </c>
      <c r="J21" s="21" t="s">
        <v>78</v>
      </c>
    </row>
    <row r="22">
      <c r="G22" s="11" t="s">
        <v>35</v>
      </c>
      <c r="H22" s="11" t="s">
        <v>79</v>
      </c>
      <c r="I22" s="11"/>
      <c r="J22" s="21"/>
    </row>
    <row r="23">
      <c r="G23" s="11" t="s">
        <v>80</v>
      </c>
      <c r="J23" s="18"/>
    </row>
    <row r="24">
      <c r="F24" s="11"/>
      <c r="G24" s="11" t="s">
        <v>8</v>
      </c>
      <c r="H24" s="11" t="s">
        <v>81</v>
      </c>
      <c r="I24" s="11"/>
      <c r="J24" s="22" t="s">
        <v>82</v>
      </c>
    </row>
    <row r="25">
      <c r="G25" s="11" t="s">
        <v>83</v>
      </c>
      <c r="J25" s="23" t="s">
        <v>84</v>
      </c>
    </row>
    <row r="26">
      <c r="G26" s="11" t="s">
        <v>85</v>
      </c>
      <c r="J26" s="18" t="s">
        <v>86</v>
      </c>
    </row>
    <row r="27">
      <c r="G27" s="11" t="s">
        <v>87</v>
      </c>
      <c r="J27" s="18" t="s">
        <v>88</v>
      </c>
    </row>
    <row r="28">
      <c r="G28" s="11" t="s">
        <v>89</v>
      </c>
      <c r="J28" s="23" t="s">
        <v>90</v>
      </c>
    </row>
    <row r="29">
      <c r="F29" s="11"/>
      <c r="G29" s="11" t="s">
        <v>62</v>
      </c>
      <c r="H29" s="11" t="s">
        <v>91</v>
      </c>
      <c r="I29" s="11"/>
      <c r="J29" s="23" t="s">
        <v>92</v>
      </c>
    </row>
    <row r="30">
      <c r="G30" s="11" t="s">
        <v>17</v>
      </c>
      <c r="H30" s="11" t="s">
        <v>47</v>
      </c>
      <c r="I30" s="11"/>
      <c r="J30" s="24" t="s">
        <v>75</v>
      </c>
    </row>
    <row r="31">
      <c r="G31" s="11" t="s">
        <v>93</v>
      </c>
      <c r="J31" s="25" t="s">
        <v>94</v>
      </c>
    </row>
    <row r="32">
      <c r="G32" s="11" t="s">
        <v>95</v>
      </c>
      <c r="J32" s="25" t="s">
        <v>96</v>
      </c>
    </row>
    <row r="33">
      <c r="J33" s="25" t="s">
        <v>97</v>
      </c>
    </row>
    <row r="34">
      <c r="J34" s="25" t="s">
        <v>98</v>
      </c>
    </row>
    <row r="35">
      <c r="J35" s="25" t="s">
        <v>99</v>
      </c>
    </row>
    <row r="36">
      <c r="J36" s="25" t="s">
        <v>100</v>
      </c>
    </row>
    <row r="37">
      <c r="J37" s="25" t="s">
        <v>101</v>
      </c>
    </row>
    <row r="38">
      <c r="J38" s="25" t="s">
        <v>102</v>
      </c>
    </row>
    <row r="39">
      <c r="J39" s="25" t="s">
        <v>103</v>
      </c>
    </row>
    <row r="40">
      <c r="J40" s="25" t="s">
        <v>104</v>
      </c>
    </row>
    <row r="41">
      <c r="J41" s="25" t="s">
        <v>105</v>
      </c>
    </row>
    <row r="42">
      <c r="J42" s="25" t="s">
        <v>106</v>
      </c>
    </row>
    <row r="43">
      <c r="J43" s="25" t="s">
        <v>107</v>
      </c>
    </row>
    <row r="44">
      <c r="J44" s="25" t="s">
        <v>108</v>
      </c>
    </row>
    <row r="45">
      <c r="J45" s="25" t="s">
        <v>109</v>
      </c>
    </row>
  </sheetData>
  <dataValidations>
    <dataValidation allowBlank="1" showDropDown="1" sqref="B2:B17"/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3.13"/>
    <col customWidth="1" min="8" max="8" width="18.88"/>
    <col customWidth="1" min="9" max="9" width="38.75"/>
    <col customWidth="1" min="10" max="10" width="136.75"/>
  </cols>
  <sheetData>
    <row r="1">
      <c r="A1" s="26" t="s">
        <v>0</v>
      </c>
      <c r="B1" s="26" t="s">
        <v>110</v>
      </c>
      <c r="C1" s="27" t="s">
        <v>111</v>
      </c>
      <c r="D1" s="26" t="s">
        <v>112</v>
      </c>
      <c r="E1" s="26" t="s">
        <v>113</v>
      </c>
      <c r="F1" s="26" t="s">
        <v>114</v>
      </c>
      <c r="G1" s="26" t="s">
        <v>115</v>
      </c>
      <c r="H1" s="26" t="s">
        <v>2</v>
      </c>
      <c r="I1" s="28" t="s">
        <v>116</v>
      </c>
      <c r="J1" s="26" t="s">
        <v>117</v>
      </c>
    </row>
    <row r="2">
      <c r="A2" s="29">
        <v>45992.308242280094</v>
      </c>
      <c r="B2" s="30" t="s">
        <v>118</v>
      </c>
      <c r="C2" s="30" t="s">
        <v>119</v>
      </c>
      <c r="D2" s="31">
        <v>39448.0</v>
      </c>
      <c r="E2" s="32">
        <v>2.17274398E8</v>
      </c>
      <c r="F2" s="33" t="s">
        <v>120</v>
      </c>
      <c r="G2" s="32" t="s">
        <v>121</v>
      </c>
      <c r="H2" s="30" t="s">
        <v>122</v>
      </c>
      <c r="I2" s="30" t="s">
        <v>123</v>
      </c>
      <c r="J2" s="34"/>
    </row>
    <row r="3">
      <c r="A3" s="29">
        <v>45993.8348475463</v>
      </c>
      <c r="B3" s="30" t="s">
        <v>124</v>
      </c>
      <c r="C3" s="30" t="s">
        <v>119</v>
      </c>
      <c r="D3" s="31">
        <v>40504.0</v>
      </c>
      <c r="E3" s="32">
        <v>2.19638632E8</v>
      </c>
      <c r="F3" s="33" t="s">
        <v>125</v>
      </c>
      <c r="G3" s="32" t="s">
        <v>126</v>
      </c>
      <c r="H3" s="30" t="s">
        <v>53</v>
      </c>
      <c r="I3" s="30" t="s">
        <v>123</v>
      </c>
      <c r="J3" s="34"/>
    </row>
    <row r="4">
      <c r="A4" s="29">
        <v>45993.89522104167</v>
      </c>
      <c r="B4" s="30" t="s">
        <v>127</v>
      </c>
      <c r="C4" s="30" t="s">
        <v>119</v>
      </c>
      <c r="D4" s="31">
        <v>40330.0</v>
      </c>
      <c r="E4" s="32">
        <v>3.34431251E8</v>
      </c>
      <c r="F4" s="33" t="s">
        <v>128</v>
      </c>
      <c r="G4" s="32" t="s">
        <v>129</v>
      </c>
      <c r="H4" s="30" t="s">
        <v>130</v>
      </c>
      <c r="I4" s="30" t="s">
        <v>131</v>
      </c>
      <c r="J4" s="34"/>
    </row>
    <row r="5">
      <c r="A5" s="29">
        <v>46000.60934484954</v>
      </c>
      <c r="B5" s="30" t="s">
        <v>132</v>
      </c>
      <c r="C5" s="30" t="s">
        <v>133</v>
      </c>
      <c r="D5" s="31">
        <v>40059.0</v>
      </c>
      <c r="E5" s="32">
        <v>3.29740096E8</v>
      </c>
      <c r="F5" s="33" t="s">
        <v>134</v>
      </c>
      <c r="G5" s="32" t="s">
        <v>135</v>
      </c>
      <c r="H5" s="30" t="s">
        <v>136</v>
      </c>
      <c r="I5" s="30" t="s">
        <v>123</v>
      </c>
      <c r="J5" s="34"/>
    </row>
    <row r="6">
      <c r="A6" s="29">
        <v>46007.14135925926</v>
      </c>
      <c r="B6" s="30" t="s">
        <v>137</v>
      </c>
      <c r="C6" s="30" t="s">
        <v>133</v>
      </c>
      <c r="D6" s="31">
        <v>39615.0</v>
      </c>
      <c r="E6" s="32">
        <v>3.31970699E8</v>
      </c>
      <c r="F6" s="33" t="s">
        <v>138</v>
      </c>
      <c r="G6" s="32" t="s">
        <v>139</v>
      </c>
      <c r="H6" s="30" t="s">
        <v>140</v>
      </c>
      <c r="I6" s="30" t="s">
        <v>141</v>
      </c>
      <c r="J6" s="34"/>
    </row>
    <row r="7">
      <c r="A7" s="35">
        <v>46009.93441137731</v>
      </c>
      <c r="B7" s="11" t="s">
        <v>142</v>
      </c>
      <c r="C7" s="11" t="s">
        <v>133</v>
      </c>
      <c r="D7" s="36">
        <v>40014.0</v>
      </c>
      <c r="E7" s="19">
        <v>3.33618627E8</v>
      </c>
      <c r="F7" s="37" t="s">
        <v>143</v>
      </c>
      <c r="G7" s="19" t="s">
        <v>144</v>
      </c>
      <c r="H7" s="11" t="s">
        <v>140</v>
      </c>
      <c r="I7" s="11" t="s">
        <v>141</v>
      </c>
    </row>
    <row r="8">
      <c r="A8" s="29">
        <v>46013.96292445602</v>
      </c>
      <c r="B8" s="30" t="s">
        <v>145</v>
      </c>
      <c r="C8" s="30" t="s">
        <v>119</v>
      </c>
      <c r="D8" s="31">
        <v>39852.0</v>
      </c>
      <c r="E8" s="32">
        <v>3.32879923E8</v>
      </c>
      <c r="F8" s="33" t="s">
        <v>146</v>
      </c>
      <c r="G8" s="32" t="s">
        <v>147</v>
      </c>
      <c r="H8" s="30" t="s">
        <v>148</v>
      </c>
      <c r="I8" s="30" t="s">
        <v>141</v>
      </c>
      <c r="J8" s="34"/>
    </row>
    <row r="9">
      <c r="A9" s="29">
        <v>46021.3792433912</v>
      </c>
      <c r="B9" s="30" t="s">
        <v>149</v>
      </c>
      <c r="C9" s="30" t="s">
        <v>119</v>
      </c>
      <c r="D9" s="31">
        <v>39282.0</v>
      </c>
      <c r="E9" s="32">
        <v>2.167146E8</v>
      </c>
      <c r="F9" s="33" t="s">
        <v>150</v>
      </c>
      <c r="G9" s="32" t="s">
        <v>151</v>
      </c>
      <c r="H9" s="30" t="s">
        <v>152</v>
      </c>
      <c r="I9" s="30" t="s">
        <v>141</v>
      </c>
      <c r="J9" s="34"/>
    </row>
    <row r="10">
      <c r="A10" s="29">
        <v>46027.54385278936</v>
      </c>
      <c r="B10" s="30" t="s">
        <v>153</v>
      </c>
      <c r="C10" s="30" t="s">
        <v>119</v>
      </c>
      <c r="D10" s="31">
        <v>40496.0</v>
      </c>
      <c r="E10" s="32">
        <v>3.34925757E8</v>
      </c>
      <c r="F10" s="33" t="s">
        <v>154</v>
      </c>
      <c r="G10" s="32" t="s">
        <v>155</v>
      </c>
      <c r="H10" s="30" t="s">
        <v>156</v>
      </c>
      <c r="I10" s="30" t="s">
        <v>141</v>
      </c>
      <c r="J10" s="34"/>
    </row>
    <row r="11">
      <c r="A11" s="29">
        <v>46028.98482966435</v>
      </c>
      <c r="B11" s="30" t="s">
        <v>157</v>
      </c>
      <c r="C11" s="30" t="s">
        <v>133</v>
      </c>
      <c r="D11" s="31">
        <v>31587.0</v>
      </c>
      <c r="E11" s="33" t="s">
        <v>158</v>
      </c>
      <c r="F11" s="33" t="s">
        <v>159</v>
      </c>
      <c r="G11" s="32" t="s">
        <v>160</v>
      </c>
      <c r="H11" s="30" t="s">
        <v>161</v>
      </c>
      <c r="I11" s="30" t="s">
        <v>141</v>
      </c>
      <c r="J11" s="34"/>
    </row>
    <row r="12">
      <c r="A12" s="29">
        <v>46029.10009790509</v>
      </c>
      <c r="B12" s="30" t="s">
        <v>162</v>
      </c>
      <c r="C12" s="30" t="s">
        <v>119</v>
      </c>
      <c r="D12" s="31">
        <v>34299.0</v>
      </c>
      <c r="E12" s="32">
        <v>3.1115555E8</v>
      </c>
      <c r="F12" s="33" t="s">
        <v>163</v>
      </c>
      <c r="G12" s="32" t="s">
        <v>164</v>
      </c>
      <c r="H12" s="30" t="s">
        <v>161</v>
      </c>
      <c r="I12" s="30" t="s">
        <v>141</v>
      </c>
      <c r="J12" s="34"/>
    </row>
    <row r="13">
      <c r="A13" s="29">
        <v>46029.95919524306</v>
      </c>
      <c r="B13" s="30" t="s">
        <v>165</v>
      </c>
      <c r="C13" s="30" t="s">
        <v>119</v>
      </c>
      <c r="D13" s="31">
        <v>39316.0</v>
      </c>
      <c r="E13" s="32">
        <v>2.17363662E8</v>
      </c>
      <c r="F13" s="33" t="s">
        <v>166</v>
      </c>
      <c r="G13" s="32" t="s">
        <v>167</v>
      </c>
      <c r="H13" s="30" t="s">
        <v>168</v>
      </c>
      <c r="I13" s="30" t="s">
        <v>141</v>
      </c>
      <c r="J13" s="34"/>
    </row>
    <row r="14">
      <c r="A14" s="29">
        <v>46032.719165636576</v>
      </c>
      <c r="B14" s="30" t="s">
        <v>169</v>
      </c>
      <c r="C14" s="30" t="s">
        <v>119</v>
      </c>
      <c r="D14" s="31">
        <v>37626.0</v>
      </c>
      <c r="E14" s="32">
        <v>3.25265114E8</v>
      </c>
      <c r="F14" s="33" t="s">
        <v>170</v>
      </c>
      <c r="G14" s="32" t="s">
        <v>171</v>
      </c>
      <c r="H14" s="30" t="s">
        <v>172</v>
      </c>
      <c r="I14" s="30" t="s">
        <v>131</v>
      </c>
      <c r="J14" s="34"/>
    </row>
    <row r="15">
      <c r="A15" s="29">
        <v>46033.60006540509</v>
      </c>
      <c r="B15" s="30" t="s">
        <v>173</v>
      </c>
      <c r="C15" s="30" t="s">
        <v>119</v>
      </c>
      <c r="D15" s="31" t="s">
        <v>174</v>
      </c>
      <c r="E15" s="32">
        <v>2.16135673E8</v>
      </c>
      <c r="F15" s="33" t="s">
        <v>175</v>
      </c>
      <c r="G15" s="32" t="s">
        <v>176</v>
      </c>
      <c r="H15" s="30" t="s">
        <v>177</v>
      </c>
      <c r="I15" s="30" t="s">
        <v>131</v>
      </c>
      <c r="J15" s="34"/>
    </row>
    <row r="16">
      <c r="A16" s="38"/>
      <c r="B16" s="11"/>
      <c r="C16" s="39"/>
      <c r="H16" s="11"/>
      <c r="I16" s="11"/>
      <c r="J16" s="11"/>
    </row>
    <row r="17">
      <c r="A17" s="38"/>
      <c r="B17" s="11"/>
      <c r="C17" s="39"/>
      <c r="H17" s="11"/>
      <c r="I17" s="11"/>
      <c r="J17" s="11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</row>
    <row r="20">
      <c r="A20" s="38"/>
      <c r="B20" s="40"/>
      <c r="C20" s="41"/>
      <c r="D20" s="42"/>
      <c r="E20" s="38"/>
      <c r="F20" s="41"/>
      <c r="G20" s="41"/>
      <c r="H20" s="42"/>
      <c r="I20" s="42"/>
      <c r="J20" s="41"/>
    </row>
    <row r="21">
      <c r="A21" s="38"/>
      <c r="B21" s="42"/>
      <c r="C21" s="41"/>
      <c r="D21" s="42"/>
      <c r="E21" s="42"/>
      <c r="F21" s="41"/>
      <c r="G21" s="41"/>
      <c r="H21" s="42"/>
      <c r="I21" s="42"/>
      <c r="J21" s="41"/>
    </row>
    <row r="22">
      <c r="A22" s="38"/>
      <c r="B22" s="42"/>
      <c r="C22" s="41"/>
      <c r="D22" s="42"/>
      <c r="E22" s="42"/>
      <c r="F22" s="41"/>
      <c r="G22" s="41"/>
      <c r="H22" s="42"/>
      <c r="I22" s="42"/>
      <c r="J22" s="41"/>
    </row>
    <row r="23">
      <c r="A23" s="38"/>
      <c r="B23" s="42"/>
      <c r="C23" s="41"/>
      <c r="D23" s="42"/>
      <c r="E23" s="42"/>
      <c r="F23" s="41"/>
      <c r="G23" s="41"/>
      <c r="H23" s="42"/>
      <c r="I23" s="42"/>
      <c r="J23" s="41"/>
    </row>
    <row r="24">
      <c r="A24" s="38"/>
      <c r="B24" s="40"/>
      <c r="C24" s="42"/>
      <c r="D24" s="42"/>
      <c r="E24" s="42"/>
      <c r="F24" s="41"/>
      <c r="G24" s="41"/>
      <c r="H24" s="42"/>
      <c r="I24" s="42"/>
      <c r="J24" s="42"/>
    </row>
    <row r="25">
      <c r="A25" s="38"/>
      <c r="B25" s="42"/>
      <c r="C25" s="41"/>
      <c r="D25" s="42"/>
      <c r="E25" s="42"/>
      <c r="F25" s="41"/>
      <c r="G25" s="41"/>
      <c r="H25" s="42"/>
      <c r="I25" s="42"/>
      <c r="J25" s="41"/>
    </row>
    <row r="26">
      <c r="A26" s="38"/>
      <c r="B26" s="42"/>
      <c r="C26" s="41"/>
      <c r="D26" s="42"/>
      <c r="E26" s="42"/>
      <c r="F26" s="41"/>
      <c r="G26" s="41"/>
      <c r="H26" s="42"/>
      <c r="I26" s="42"/>
      <c r="J26" s="41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3" width="17.13"/>
    <col customWidth="1" min="4" max="5" width="13.38"/>
    <col customWidth="1" min="6" max="6" width="13.25"/>
    <col customWidth="1" min="7" max="7" width="32.88"/>
    <col customWidth="1" min="8" max="8" width="33.63"/>
    <col customWidth="1" min="9" max="9" width="18.25"/>
    <col customWidth="1" min="10" max="10" width="15.88"/>
    <col customWidth="1" min="11" max="11" width="18.38"/>
    <col customWidth="1" min="12" max="12" width="23.13"/>
    <col customWidth="1" min="13" max="13" width="42.88"/>
    <col customWidth="1" min="14" max="14" width="21.38"/>
    <col customWidth="1" min="16" max="16" width="17.88"/>
    <col customWidth="1" min="17" max="17" width="24.5"/>
    <col customWidth="1" min="19" max="19" width="22.75"/>
    <col customWidth="1" min="21" max="21" width="21.25"/>
  </cols>
  <sheetData>
    <row r="1">
      <c r="A1" s="43" t="s">
        <v>110</v>
      </c>
      <c r="B1" s="44" t="s">
        <v>178</v>
      </c>
      <c r="C1" s="44" t="s">
        <v>112</v>
      </c>
      <c r="D1" s="44" t="s">
        <v>3</v>
      </c>
      <c r="E1" s="45" t="s">
        <v>113</v>
      </c>
      <c r="F1" s="45" t="s">
        <v>114</v>
      </c>
      <c r="G1" s="45" t="s">
        <v>115</v>
      </c>
      <c r="H1" s="45" t="s">
        <v>2</v>
      </c>
      <c r="I1" s="44" t="s">
        <v>179</v>
      </c>
      <c r="J1" s="44" t="s">
        <v>180</v>
      </c>
      <c r="K1" s="44" t="s">
        <v>181</v>
      </c>
      <c r="L1" s="44" t="s">
        <v>182</v>
      </c>
      <c r="M1" s="44" t="s">
        <v>183</v>
      </c>
      <c r="N1" s="44" t="s">
        <v>184</v>
      </c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hidden="1">
      <c r="A2" s="47" t="s">
        <v>185</v>
      </c>
      <c r="B2" s="47" t="s">
        <v>133</v>
      </c>
      <c r="C2" s="48">
        <v>16.0</v>
      </c>
      <c r="D2" s="48">
        <f t="shared" ref="D2:D31" si="1">DATEDIF(C2, TODAY(), "Y")</f>
        <v>125</v>
      </c>
      <c r="E2" s="48">
        <v>3.3313501E8</v>
      </c>
      <c r="F2" s="49" t="s">
        <v>186</v>
      </c>
      <c r="G2" s="48" t="s">
        <v>187</v>
      </c>
      <c r="H2" s="47" t="s">
        <v>34</v>
      </c>
      <c r="I2" s="47" t="s">
        <v>188</v>
      </c>
      <c r="J2" s="50"/>
      <c r="K2" s="50"/>
      <c r="L2" s="47" t="s">
        <v>189</v>
      </c>
      <c r="M2" s="51"/>
      <c r="N2" s="51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</row>
    <row r="3">
      <c r="A3" s="47" t="s">
        <v>190</v>
      </c>
      <c r="B3" s="47" t="s">
        <v>133</v>
      </c>
      <c r="C3" s="52">
        <v>39337.0</v>
      </c>
      <c r="D3" s="48">
        <f t="shared" si="1"/>
        <v>18</v>
      </c>
      <c r="E3" s="48">
        <v>2.16980144E8</v>
      </c>
      <c r="F3" s="49" t="s">
        <v>191</v>
      </c>
      <c r="G3" s="48" t="s">
        <v>192</v>
      </c>
      <c r="H3" s="47" t="s">
        <v>193</v>
      </c>
      <c r="I3" s="47" t="s">
        <v>194</v>
      </c>
      <c r="J3" s="47" t="s">
        <v>195</v>
      </c>
      <c r="K3" s="47" t="s">
        <v>196</v>
      </c>
      <c r="L3" s="47" t="s">
        <v>197</v>
      </c>
      <c r="M3" s="51"/>
      <c r="N3" s="51"/>
      <c r="O3" s="46"/>
      <c r="P3" s="53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</row>
    <row r="4">
      <c r="A4" s="47" t="s">
        <v>198</v>
      </c>
      <c r="B4" s="47" t="s">
        <v>119</v>
      </c>
      <c r="C4" s="54">
        <v>39802.0</v>
      </c>
      <c r="D4" s="48">
        <f t="shared" si="1"/>
        <v>17</v>
      </c>
      <c r="E4" s="48">
        <v>2.18068609E8</v>
      </c>
      <c r="F4" s="49" t="s">
        <v>199</v>
      </c>
      <c r="G4" s="48" t="s">
        <v>200</v>
      </c>
      <c r="H4" s="47" t="s">
        <v>201</v>
      </c>
      <c r="I4" s="47" t="s">
        <v>141</v>
      </c>
      <c r="J4" s="50"/>
      <c r="K4" s="50"/>
      <c r="L4" s="47" t="s">
        <v>197</v>
      </c>
      <c r="M4" s="51"/>
      <c r="N4" s="51"/>
      <c r="O4" s="46"/>
      <c r="P4" s="53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hidden="1">
      <c r="A5" s="47" t="s">
        <v>202</v>
      </c>
      <c r="B5" s="47" t="s">
        <v>133</v>
      </c>
      <c r="C5" s="55">
        <v>37635.0</v>
      </c>
      <c r="D5" s="48">
        <f t="shared" si="1"/>
        <v>22</v>
      </c>
      <c r="E5" s="48">
        <v>3.25278281E8</v>
      </c>
      <c r="F5" s="49" t="s">
        <v>203</v>
      </c>
      <c r="G5" s="48" t="s">
        <v>204</v>
      </c>
      <c r="H5" s="47" t="s">
        <v>136</v>
      </c>
      <c r="I5" s="47" t="s">
        <v>188</v>
      </c>
      <c r="J5" s="47"/>
      <c r="K5" s="47"/>
      <c r="L5" s="47" t="s">
        <v>189</v>
      </c>
      <c r="M5" s="51"/>
      <c r="N5" s="51"/>
      <c r="O5" s="46"/>
      <c r="P5" s="5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>
      <c r="A6" s="47" t="s">
        <v>205</v>
      </c>
      <c r="B6" s="47" t="s">
        <v>119</v>
      </c>
      <c r="C6" s="52">
        <v>37742.0</v>
      </c>
      <c r="D6" s="48">
        <f t="shared" si="1"/>
        <v>22</v>
      </c>
      <c r="E6" s="48">
        <v>2.13688633E8</v>
      </c>
      <c r="F6" s="49" t="s">
        <v>206</v>
      </c>
      <c r="G6" s="48" t="s">
        <v>207</v>
      </c>
      <c r="H6" s="47" t="s">
        <v>208</v>
      </c>
      <c r="I6" s="47" t="s">
        <v>194</v>
      </c>
      <c r="J6" s="47" t="s">
        <v>209</v>
      </c>
      <c r="K6" s="47"/>
      <c r="L6" s="47" t="s">
        <v>197</v>
      </c>
      <c r="M6" s="51"/>
      <c r="N6" s="51"/>
      <c r="O6" s="46"/>
      <c r="P6" s="53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hidden="1">
      <c r="A7" s="47" t="s">
        <v>210</v>
      </c>
      <c r="B7" s="47" t="s">
        <v>119</v>
      </c>
      <c r="C7" s="55">
        <v>38221.0</v>
      </c>
      <c r="D7" s="48">
        <f t="shared" si="1"/>
        <v>21</v>
      </c>
      <c r="E7" s="48">
        <v>3.25907947E8</v>
      </c>
      <c r="F7" s="49" t="s">
        <v>211</v>
      </c>
      <c r="G7" s="48" t="s">
        <v>212</v>
      </c>
      <c r="H7" s="47" t="s">
        <v>213</v>
      </c>
      <c r="I7" s="47" t="s">
        <v>188</v>
      </c>
      <c r="J7" s="50"/>
      <c r="K7" s="50"/>
      <c r="L7" s="47" t="s">
        <v>189</v>
      </c>
      <c r="M7" s="51"/>
      <c r="N7" s="51"/>
      <c r="O7" s="46"/>
      <c r="P7" s="57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>
      <c r="A8" s="47" t="s">
        <v>214</v>
      </c>
      <c r="B8" s="47" t="s">
        <v>133</v>
      </c>
      <c r="C8" s="52">
        <v>36698.0</v>
      </c>
      <c r="D8" s="48">
        <f t="shared" si="1"/>
        <v>25</v>
      </c>
      <c r="E8" s="48">
        <v>3.22767252E8</v>
      </c>
      <c r="F8" s="49" t="s">
        <v>215</v>
      </c>
      <c r="G8" s="48" t="s">
        <v>216</v>
      </c>
      <c r="H8" s="47" t="s">
        <v>217</v>
      </c>
      <c r="I8" s="47" t="s">
        <v>194</v>
      </c>
      <c r="J8" s="47" t="s">
        <v>218</v>
      </c>
      <c r="K8" s="47"/>
      <c r="L8" s="47" t="s">
        <v>197</v>
      </c>
      <c r="M8" s="51"/>
      <c r="N8" s="51"/>
      <c r="O8" s="46"/>
      <c r="P8" s="58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>
      <c r="A9" s="47" t="s">
        <v>219</v>
      </c>
      <c r="B9" s="47" t="s">
        <v>119</v>
      </c>
      <c r="C9" s="52">
        <v>37806.0</v>
      </c>
      <c r="D9" s="48">
        <f t="shared" si="1"/>
        <v>22</v>
      </c>
      <c r="E9" s="48">
        <v>2.14238024E8</v>
      </c>
      <c r="F9" s="49" t="s">
        <v>220</v>
      </c>
      <c r="G9" s="48" t="s">
        <v>221</v>
      </c>
      <c r="H9" s="47" t="s">
        <v>34</v>
      </c>
      <c r="I9" s="47" t="s">
        <v>141</v>
      </c>
      <c r="J9" s="47"/>
      <c r="K9" s="47"/>
      <c r="L9" s="47" t="s">
        <v>197</v>
      </c>
      <c r="M9" s="51"/>
      <c r="N9" s="51"/>
      <c r="O9" s="46"/>
      <c r="P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hidden="1">
      <c r="A10" s="59" t="s">
        <v>222</v>
      </c>
      <c r="B10" s="47" t="s">
        <v>119</v>
      </c>
      <c r="C10" s="48">
        <v>20.0</v>
      </c>
      <c r="D10" s="48">
        <f t="shared" si="1"/>
        <v>125</v>
      </c>
      <c r="E10" s="48">
        <v>2.14524614E8</v>
      </c>
      <c r="F10" s="49" t="s">
        <v>223</v>
      </c>
      <c r="G10" s="48" t="s">
        <v>224</v>
      </c>
      <c r="H10" s="47" t="s">
        <v>225</v>
      </c>
      <c r="I10" s="47" t="s">
        <v>188</v>
      </c>
      <c r="J10" s="47"/>
      <c r="K10" s="47"/>
      <c r="L10" s="47" t="s">
        <v>189</v>
      </c>
      <c r="M10" s="51"/>
      <c r="N10" s="51"/>
      <c r="O10" s="46"/>
      <c r="P10" s="46"/>
      <c r="Q10" s="60" t="s">
        <v>226</v>
      </c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hidden="1">
      <c r="A11" s="59" t="s">
        <v>227</v>
      </c>
      <c r="B11" s="47" t="s">
        <v>133</v>
      </c>
      <c r="C11" s="52"/>
      <c r="D11" s="48">
        <f t="shared" si="1"/>
        <v>126</v>
      </c>
      <c r="E11" s="48">
        <v>2.13631236E8</v>
      </c>
      <c r="F11" s="48">
        <v>5.34323994E8</v>
      </c>
      <c r="G11" s="48" t="s">
        <v>228</v>
      </c>
      <c r="H11" s="47" t="s">
        <v>229</v>
      </c>
      <c r="I11" s="47" t="s">
        <v>188</v>
      </c>
      <c r="J11" s="47"/>
      <c r="K11" s="47"/>
      <c r="L11" s="47" t="s">
        <v>189</v>
      </c>
      <c r="M11" s="51"/>
      <c r="N11" s="51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</row>
    <row r="12">
      <c r="A12" s="47" t="s">
        <v>230</v>
      </c>
      <c r="B12" s="47" t="s">
        <v>119</v>
      </c>
      <c r="C12" s="52">
        <v>40820.0</v>
      </c>
      <c r="D12" s="48">
        <f t="shared" si="1"/>
        <v>14</v>
      </c>
      <c r="E12" s="48">
        <v>3.34421641E8</v>
      </c>
      <c r="F12" s="49" t="s">
        <v>231</v>
      </c>
      <c r="G12" s="48" t="s">
        <v>232</v>
      </c>
      <c r="H12" s="47" t="s">
        <v>148</v>
      </c>
      <c r="I12" s="47" t="s">
        <v>194</v>
      </c>
      <c r="J12" s="47" t="s">
        <v>209</v>
      </c>
      <c r="K12" s="47"/>
      <c r="L12" s="47" t="s">
        <v>197</v>
      </c>
      <c r="M12" s="51"/>
      <c r="N12" s="51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</row>
    <row r="13">
      <c r="A13" s="47" t="s">
        <v>233</v>
      </c>
      <c r="B13" s="47" t="s">
        <v>119</v>
      </c>
      <c r="C13" s="52">
        <v>40502.0</v>
      </c>
      <c r="D13" s="48">
        <f t="shared" si="1"/>
        <v>15</v>
      </c>
      <c r="E13" s="48">
        <v>2.19590288E8</v>
      </c>
      <c r="F13" s="49" t="s">
        <v>234</v>
      </c>
      <c r="G13" s="48" t="s">
        <v>235</v>
      </c>
      <c r="H13" s="47" t="s">
        <v>148</v>
      </c>
      <c r="I13" s="47" t="s">
        <v>194</v>
      </c>
      <c r="J13" s="47" t="s">
        <v>209</v>
      </c>
      <c r="K13" s="47"/>
      <c r="L13" s="47" t="s">
        <v>197</v>
      </c>
      <c r="M13" s="51"/>
      <c r="N13" s="51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</row>
    <row r="14">
      <c r="A14" s="47" t="s">
        <v>236</v>
      </c>
      <c r="B14" s="47" t="s">
        <v>133</v>
      </c>
      <c r="C14" s="52">
        <v>39594.0</v>
      </c>
      <c r="D14" s="48">
        <f t="shared" si="1"/>
        <v>17</v>
      </c>
      <c r="E14" s="48">
        <v>2.17723675E8</v>
      </c>
      <c r="F14" s="49" t="s">
        <v>237</v>
      </c>
      <c r="G14" s="48" t="s">
        <v>238</v>
      </c>
      <c r="H14" s="47" t="s">
        <v>239</v>
      </c>
      <c r="I14" s="47" t="s">
        <v>141</v>
      </c>
      <c r="J14" s="47"/>
      <c r="K14" s="47"/>
      <c r="L14" s="47" t="s">
        <v>197</v>
      </c>
      <c r="M14" s="51"/>
      <c r="N14" s="51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</row>
    <row r="15">
      <c r="A15" s="47" t="s">
        <v>240</v>
      </c>
      <c r="B15" s="47" t="s">
        <v>119</v>
      </c>
      <c r="C15" s="52">
        <v>37124.0</v>
      </c>
      <c r="D15" s="48">
        <f t="shared" si="1"/>
        <v>24</v>
      </c>
      <c r="E15" s="48"/>
      <c r="F15" s="49" t="s">
        <v>241</v>
      </c>
      <c r="G15" s="48"/>
      <c r="H15" s="47" t="s">
        <v>242</v>
      </c>
      <c r="I15" s="47" t="s">
        <v>141</v>
      </c>
      <c r="J15" s="47"/>
      <c r="K15" s="47"/>
      <c r="L15" s="47" t="s">
        <v>197</v>
      </c>
      <c r="M15" s="51"/>
      <c r="N15" s="51"/>
      <c r="O15" s="46"/>
      <c r="P15" s="46"/>
      <c r="Q15" s="47" t="s">
        <v>243</v>
      </c>
      <c r="R15" s="48">
        <v>7.0</v>
      </c>
      <c r="S15" s="50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>
      <c r="A16" s="47" t="s">
        <v>244</v>
      </c>
      <c r="B16" s="47" t="s">
        <v>133</v>
      </c>
      <c r="C16" s="55">
        <v>39425.0</v>
      </c>
      <c r="D16" s="48">
        <f t="shared" si="1"/>
        <v>18</v>
      </c>
      <c r="E16" s="48">
        <v>3.31728121E8</v>
      </c>
      <c r="F16" s="49" t="s">
        <v>245</v>
      </c>
      <c r="G16" s="48" t="s">
        <v>246</v>
      </c>
      <c r="H16" s="47" t="s">
        <v>247</v>
      </c>
      <c r="I16" s="47" t="s">
        <v>141</v>
      </c>
      <c r="J16" s="50"/>
      <c r="K16" s="50"/>
      <c r="L16" s="47" t="s">
        <v>197</v>
      </c>
      <c r="M16" s="51"/>
      <c r="N16" s="51"/>
      <c r="O16" s="46"/>
      <c r="P16" s="46"/>
      <c r="Q16" s="47" t="s">
        <v>248</v>
      </c>
      <c r="R16" s="48">
        <v>0.0</v>
      </c>
      <c r="S16" s="47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>
      <c r="A17" s="47" t="s">
        <v>249</v>
      </c>
      <c r="B17" s="47" t="s">
        <v>119</v>
      </c>
      <c r="C17" s="55">
        <v>38687.0</v>
      </c>
      <c r="D17" s="48">
        <f t="shared" si="1"/>
        <v>20</v>
      </c>
      <c r="E17" s="48">
        <v>3.2908649E8</v>
      </c>
      <c r="F17" s="49" t="s">
        <v>250</v>
      </c>
      <c r="G17" s="48" t="s">
        <v>251</v>
      </c>
      <c r="H17" s="47" t="s">
        <v>252</v>
      </c>
      <c r="I17" s="47" t="s">
        <v>141</v>
      </c>
      <c r="J17" s="50"/>
      <c r="K17" s="50"/>
      <c r="L17" s="47" t="s">
        <v>197</v>
      </c>
      <c r="M17" s="50"/>
      <c r="N17" s="50"/>
      <c r="O17" s="46"/>
      <c r="P17" s="46"/>
      <c r="Q17" s="47" t="s">
        <v>253</v>
      </c>
      <c r="R17" s="48">
        <v>317.0</v>
      </c>
      <c r="S17" s="50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>
      <c r="A18" s="47" t="s">
        <v>254</v>
      </c>
      <c r="B18" s="47" t="s">
        <v>119</v>
      </c>
      <c r="C18" s="55">
        <v>39206.0</v>
      </c>
      <c r="D18" s="48">
        <f t="shared" si="1"/>
        <v>18</v>
      </c>
      <c r="E18" s="48">
        <v>2.16756916E8</v>
      </c>
      <c r="F18" s="49" t="s">
        <v>255</v>
      </c>
      <c r="G18" s="48" t="s">
        <v>256</v>
      </c>
      <c r="H18" s="47" t="s">
        <v>257</v>
      </c>
      <c r="I18" s="47" t="s">
        <v>194</v>
      </c>
      <c r="J18" s="47" t="s">
        <v>209</v>
      </c>
      <c r="K18" s="50"/>
      <c r="L18" s="47" t="s">
        <v>197</v>
      </c>
      <c r="M18" s="51" t="s">
        <v>258</v>
      </c>
      <c r="N18" s="51"/>
      <c r="O18" s="46"/>
      <c r="P18" s="46"/>
      <c r="Q18" s="61" t="s">
        <v>259</v>
      </c>
      <c r="R18" s="62">
        <f>SUM(R15:R17)</f>
        <v>324</v>
      </c>
      <c r="S18" s="50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>
      <c r="A19" s="47" t="s">
        <v>260</v>
      </c>
      <c r="B19" s="47" t="s">
        <v>133</v>
      </c>
      <c r="C19" s="52" t="s">
        <v>261</v>
      </c>
      <c r="D19" s="48">
        <f t="shared" si="1"/>
        <v>23</v>
      </c>
      <c r="E19" s="48" t="s">
        <v>262</v>
      </c>
      <c r="F19" s="48">
        <v>5.47833161E8</v>
      </c>
      <c r="G19" s="48" t="s">
        <v>263</v>
      </c>
      <c r="H19" s="47" t="s">
        <v>247</v>
      </c>
      <c r="I19" s="47" t="s">
        <v>141</v>
      </c>
      <c r="J19" s="47"/>
      <c r="K19" s="47"/>
      <c r="L19" s="47" t="s">
        <v>197</v>
      </c>
      <c r="M19" s="51"/>
      <c r="N19" s="51"/>
      <c r="O19" s="46"/>
      <c r="P19" s="46"/>
      <c r="Q19" s="47" t="s">
        <v>264</v>
      </c>
      <c r="R19" s="48"/>
      <c r="S19" s="47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 hidden="1">
      <c r="A20" s="47" t="s">
        <v>265</v>
      </c>
      <c r="B20" s="48"/>
      <c r="C20" s="55">
        <v>39341.0</v>
      </c>
      <c r="D20" s="48">
        <f t="shared" si="1"/>
        <v>18</v>
      </c>
      <c r="E20" s="48">
        <v>2.1669688E8</v>
      </c>
      <c r="F20" s="49" t="s">
        <v>266</v>
      </c>
      <c r="G20" s="48" t="s">
        <v>267</v>
      </c>
      <c r="H20" s="47" t="s">
        <v>268</v>
      </c>
      <c r="I20" s="47" t="s">
        <v>188</v>
      </c>
      <c r="J20" s="50"/>
      <c r="K20" s="50"/>
      <c r="L20" s="47" t="s">
        <v>189</v>
      </c>
      <c r="M20" s="51"/>
      <c r="N20" s="51"/>
      <c r="O20" s="46"/>
      <c r="P20" s="46"/>
      <c r="Q20" s="61" t="s">
        <v>269</v>
      </c>
      <c r="R20" s="63">
        <f>SUM(R18,R19)</f>
        <v>324</v>
      </c>
      <c r="S20" s="50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>
      <c r="A21" s="47" t="s">
        <v>38</v>
      </c>
      <c r="B21" s="47" t="s">
        <v>119</v>
      </c>
      <c r="C21" s="55">
        <v>39474.0</v>
      </c>
      <c r="D21" s="48">
        <f t="shared" si="1"/>
        <v>17</v>
      </c>
      <c r="E21" s="48">
        <v>3.31483248E8</v>
      </c>
      <c r="F21" s="49" t="s">
        <v>270</v>
      </c>
      <c r="G21" s="48" t="s">
        <v>271</v>
      </c>
      <c r="H21" s="47" t="s">
        <v>28</v>
      </c>
      <c r="I21" s="47" t="s">
        <v>194</v>
      </c>
      <c r="J21" s="47" t="s">
        <v>209</v>
      </c>
      <c r="K21" s="50"/>
      <c r="L21" s="47" t="s">
        <v>197</v>
      </c>
      <c r="M21" s="51"/>
      <c r="N21" s="51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>
      <c r="A22" s="47" t="s">
        <v>272</v>
      </c>
      <c r="B22" s="47" t="s">
        <v>119</v>
      </c>
      <c r="C22" s="55">
        <v>39704.0</v>
      </c>
      <c r="D22" s="48">
        <f t="shared" si="1"/>
        <v>17</v>
      </c>
      <c r="E22" s="48">
        <v>2.18018959E8</v>
      </c>
      <c r="F22" s="49" t="s">
        <v>273</v>
      </c>
      <c r="G22" s="48" t="s">
        <v>274</v>
      </c>
      <c r="H22" s="47" t="s">
        <v>275</v>
      </c>
      <c r="I22" s="47" t="s">
        <v>141</v>
      </c>
      <c r="J22" s="50"/>
      <c r="K22" s="50"/>
      <c r="L22" s="47" t="s">
        <v>197</v>
      </c>
      <c r="M22" s="51"/>
      <c r="N22" s="51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>
      <c r="A23" s="47" t="s">
        <v>276</v>
      </c>
      <c r="B23" s="47" t="s">
        <v>119</v>
      </c>
      <c r="C23" s="55">
        <v>39572.0</v>
      </c>
      <c r="D23" s="48">
        <f t="shared" si="1"/>
        <v>17</v>
      </c>
      <c r="E23" s="48">
        <v>3.32226984E8</v>
      </c>
      <c r="F23" s="49" t="s">
        <v>277</v>
      </c>
      <c r="G23" s="48" t="s">
        <v>278</v>
      </c>
      <c r="H23" s="47" t="s">
        <v>28</v>
      </c>
      <c r="I23" s="47" t="s">
        <v>194</v>
      </c>
      <c r="J23" s="47" t="s">
        <v>209</v>
      </c>
      <c r="K23" s="50"/>
      <c r="L23" s="47" t="s">
        <v>197</v>
      </c>
      <c r="M23" s="51"/>
      <c r="N23" s="51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>
      <c r="A24" s="47" t="s">
        <v>279</v>
      </c>
      <c r="B24" s="47" t="s">
        <v>119</v>
      </c>
      <c r="C24" s="55">
        <v>37999.0</v>
      </c>
      <c r="D24" s="48">
        <f t="shared" si="1"/>
        <v>21</v>
      </c>
      <c r="E24" s="48">
        <v>3.25747558E8</v>
      </c>
      <c r="F24" s="48">
        <v>5.2439468E8</v>
      </c>
      <c r="G24" s="48" t="s">
        <v>280</v>
      </c>
      <c r="H24" s="47" t="s">
        <v>281</v>
      </c>
      <c r="I24" s="47" t="s">
        <v>194</v>
      </c>
      <c r="J24" s="47" t="s">
        <v>218</v>
      </c>
      <c r="K24" s="47"/>
      <c r="L24" s="47" t="s">
        <v>197</v>
      </c>
      <c r="M24" s="51"/>
      <c r="N24" s="51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>
      <c r="A25" s="47" t="s">
        <v>282</v>
      </c>
      <c r="B25" s="47" t="s">
        <v>133</v>
      </c>
      <c r="C25" s="64">
        <v>37222.0</v>
      </c>
      <c r="D25" s="48">
        <f t="shared" si="1"/>
        <v>24</v>
      </c>
      <c r="E25" s="65"/>
      <c r="F25" s="48">
        <v>5.42233155E8</v>
      </c>
      <c r="G25" s="65"/>
      <c r="H25" s="59" t="s">
        <v>201</v>
      </c>
      <c r="I25" s="47" t="s">
        <v>141</v>
      </c>
      <c r="J25" s="50"/>
      <c r="K25" s="50"/>
      <c r="L25" s="47" t="s">
        <v>197</v>
      </c>
      <c r="M25" s="59"/>
      <c r="N25" s="59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>
      <c r="A26" s="47" t="s">
        <v>283</v>
      </c>
      <c r="B26" s="47" t="s">
        <v>133</v>
      </c>
      <c r="C26" s="55">
        <v>39154.0</v>
      </c>
      <c r="D26" s="48">
        <f t="shared" si="1"/>
        <v>18</v>
      </c>
      <c r="E26" s="48">
        <v>3.30916669E8</v>
      </c>
      <c r="F26" s="49" t="s">
        <v>284</v>
      </c>
      <c r="G26" s="48" t="s">
        <v>285</v>
      </c>
      <c r="H26" s="47" t="s">
        <v>28</v>
      </c>
      <c r="I26" s="47" t="s">
        <v>194</v>
      </c>
      <c r="J26" s="47" t="s">
        <v>218</v>
      </c>
      <c r="K26" s="47"/>
      <c r="L26" s="47" t="s">
        <v>197</v>
      </c>
      <c r="M26" s="51"/>
      <c r="N26" s="51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>
      <c r="A27" s="47" t="s">
        <v>286</v>
      </c>
      <c r="B27" s="47" t="s">
        <v>133</v>
      </c>
      <c r="C27" s="52">
        <v>36682.0</v>
      </c>
      <c r="D27" s="48">
        <f t="shared" si="1"/>
        <v>25</v>
      </c>
      <c r="E27" s="48">
        <v>2.1139316E8</v>
      </c>
      <c r="F27" s="48">
        <v>5.05320508E8</v>
      </c>
      <c r="G27" s="48" t="s">
        <v>287</v>
      </c>
      <c r="H27" s="47" t="s">
        <v>53</v>
      </c>
      <c r="I27" s="47" t="s">
        <v>141</v>
      </c>
      <c r="J27" s="47"/>
      <c r="K27" s="47"/>
      <c r="L27" s="47" t="s">
        <v>197</v>
      </c>
      <c r="M27" s="51"/>
      <c r="N27" s="51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 hidden="1">
      <c r="A28" s="47" t="s">
        <v>288</v>
      </c>
      <c r="B28" s="47" t="s">
        <v>133</v>
      </c>
      <c r="C28" s="55">
        <v>39478.0</v>
      </c>
      <c r="D28" s="48">
        <f t="shared" si="1"/>
        <v>17</v>
      </c>
      <c r="E28" s="48">
        <v>2.16957951E8</v>
      </c>
      <c r="F28" s="49" t="s">
        <v>289</v>
      </c>
      <c r="G28" s="48" t="s">
        <v>290</v>
      </c>
      <c r="H28" s="47" t="s">
        <v>291</v>
      </c>
      <c r="I28" s="47" t="s">
        <v>188</v>
      </c>
      <c r="J28" s="47"/>
      <c r="K28" s="50"/>
      <c r="L28" s="47" t="s">
        <v>189</v>
      </c>
      <c r="M28" s="51"/>
      <c r="N28" s="51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>
      <c r="A29" s="47" t="s">
        <v>292</v>
      </c>
      <c r="B29" s="47" t="s">
        <v>133</v>
      </c>
      <c r="C29" s="55">
        <v>39364.0</v>
      </c>
      <c r="D29" s="48">
        <f t="shared" si="1"/>
        <v>18</v>
      </c>
      <c r="E29" s="48">
        <v>3.31700237E8</v>
      </c>
      <c r="F29" s="48">
        <v>5.22143173E8</v>
      </c>
      <c r="G29" s="48" t="s">
        <v>293</v>
      </c>
      <c r="H29" s="47" t="s">
        <v>247</v>
      </c>
      <c r="I29" s="47" t="s">
        <v>141</v>
      </c>
      <c r="J29" s="47"/>
      <c r="K29" s="47"/>
      <c r="L29" s="47" t="s">
        <v>197</v>
      </c>
      <c r="M29" s="51"/>
      <c r="N29" s="51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hidden="1">
      <c r="A30" s="59" t="s">
        <v>294</v>
      </c>
      <c r="B30" s="47" t="s">
        <v>119</v>
      </c>
      <c r="C30" s="66">
        <v>17.0</v>
      </c>
      <c r="D30" s="48">
        <f t="shared" si="1"/>
        <v>125</v>
      </c>
      <c r="E30" s="65"/>
      <c r="F30" s="48">
        <v>5.57060503E8</v>
      </c>
      <c r="G30" s="65"/>
      <c r="H30" s="59" t="s">
        <v>34</v>
      </c>
      <c r="I30" s="47" t="s">
        <v>188</v>
      </c>
      <c r="J30" s="50"/>
      <c r="K30" s="50"/>
      <c r="L30" s="47" t="s">
        <v>189</v>
      </c>
      <c r="M30" s="59"/>
      <c r="N30" s="59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>
      <c r="A31" s="47" t="s">
        <v>295</v>
      </c>
      <c r="B31" s="47" t="s">
        <v>119</v>
      </c>
      <c r="C31" s="55">
        <v>39360.0</v>
      </c>
      <c r="D31" s="48">
        <f t="shared" si="1"/>
        <v>18</v>
      </c>
      <c r="E31" s="48">
        <v>2.17230481E8</v>
      </c>
      <c r="F31" s="49" t="s">
        <v>296</v>
      </c>
      <c r="G31" s="48" t="s">
        <v>297</v>
      </c>
      <c r="H31" s="47" t="s">
        <v>34</v>
      </c>
      <c r="I31" s="47" t="s">
        <v>141</v>
      </c>
      <c r="J31" s="50"/>
      <c r="K31" s="50"/>
      <c r="L31" s="47" t="s">
        <v>197</v>
      </c>
      <c r="M31" s="51"/>
      <c r="N31" s="51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hidden="1">
      <c r="A32" s="47" t="s">
        <v>298</v>
      </c>
      <c r="B32" s="47" t="s">
        <v>119</v>
      </c>
      <c r="C32" s="48">
        <v>2003.0</v>
      </c>
      <c r="D32" s="48">
        <f>YEAR(TODAY()) - C32</f>
        <v>23</v>
      </c>
      <c r="E32" s="48"/>
      <c r="F32" s="48">
        <v>5.03060659E8</v>
      </c>
      <c r="G32" s="48"/>
      <c r="H32" s="47" t="s">
        <v>299</v>
      </c>
      <c r="I32" s="47" t="s">
        <v>188</v>
      </c>
      <c r="J32" s="48"/>
      <c r="K32" s="47"/>
      <c r="L32" s="47" t="s">
        <v>189</v>
      </c>
      <c r="M32" s="67"/>
      <c r="N32" s="51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hidden="1">
      <c r="A33" s="47" t="s">
        <v>300</v>
      </c>
      <c r="B33" s="47" t="s">
        <v>119</v>
      </c>
      <c r="C33" s="52">
        <v>39378.0</v>
      </c>
      <c r="D33" s="48">
        <f t="shared" ref="D33:D56" si="2">DATEDIF(C33, TODAY(), "Y")</f>
        <v>18</v>
      </c>
      <c r="E33" s="48">
        <v>2.16923763E8</v>
      </c>
      <c r="F33" s="49" t="s">
        <v>301</v>
      </c>
      <c r="G33" s="48" t="s">
        <v>302</v>
      </c>
      <c r="H33" s="47" t="s">
        <v>303</v>
      </c>
      <c r="I33" s="47" t="s">
        <v>188</v>
      </c>
      <c r="J33" s="47"/>
      <c r="K33" s="47"/>
      <c r="L33" s="47" t="s">
        <v>189</v>
      </c>
      <c r="M33" s="51"/>
      <c r="N33" s="51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hidden="1">
      <c r="A34" s="47" t="s">
        <v>304</v>
      </c>
      <c r="B34" s="47" t="s">
        <v>133</v>
      </c>
      <c r="C34" s="54">
        <v>36483.0</v>
      </c>
      <c r="D34" s="48">
        <f t="shared" si="2"/>
        <v>26</v>
      </c>
      <c r="E34" s="48">
        <v>2.07003591E8</v>
      </c>
      <c r="F34" s="49" t="s">
        <v>305</v>
      </c>
      <c r="G34" s="48" t="s">
        <v>306</v>
      </c>
      <c r="H34" s="47" t="s">
        <v>130</v>
      </c>
      <c r="I34" s="47" t="s">
        <v>188</v>
      </c>
      <c r="J34" s="50"/>
      <c r="K34" s="50"/>
      <c r="L34" s="47" t="s">
        <v>189</v>
      </c>
      <c r="M34" s="51"/>
      <c r="N34" s="51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>
      <c r="A35" s="47" t="s">
        <v>6</v>
      </c>
      <c r="B35" s="47" t="s">
        <v>119</v>
      </c>
      <c r="C35" s="52">
        <v>39497.0</v>
      </c>
      <c r="D35" s="48">
        <f t="shared" si="2"/>
        <v>17</v>
      </c>
      <c r="E35" s="48">
        <v>3.45464168E8</v>
      </c>
      <c r="F35" s="49" t="s">
        <v>307</v>
      </c>
      <c r="G35" s="48" t="s">
        <v>308</v>
      </c>
      <c r="H35" s="47" t="s">
        <v>7</v>
      </c>
      <c r="I35" s="47" t="s">
        <v>194</v>
      </c>
      <c r="J35" s="47" t="s">
        <v>209</v>
      </c>
      <c r="K35" s="47"/>
      <c r="L35" s="47" t="s">
        <v>197</v>
      </c>
      <c r="M35" s="51"/>
      <c r="N35" s="51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 hidden="1">
      <c r="A36" s="47" t="s">
        <v>309</v>
      </c>
      <c r="B36" s="47" t="s">
        <v>133</v>
      </c>
      <c r="C36" s="55">
        <v>36424.0</v>
      </c>
      <c r="D36" s="48">
        <f t="shared" si="2"/>
        <v>26</v>
      </c>
      <c r="E36" s="48">
        <v>3.18903044E8</v>
      </c>
      <c r="F36" s="49" t="s">
        <v>310</v>
      </c>
      <c r="G36" s="48" t="s">
        <v>311</v>
      </c>
      <c r="H36" s="47" t="s">
        <v>312</v>
      </c>
      <c r="I36" s="47" t="s">
        <v>188</v>
      </c>
      <c r="J36" s="47"/>
      <c r="K36" s="47"/>
      <c r="L36" s="47" t="s">
        <v>189</v>
      </c>
      <c r="M36" s="51"/>
      <c r="N36" s="51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>
      <c r="A37" s="47" t="s">
        <v>313</v>
      </c>
      <c r="B37" s="47" t="s">
        <v>133</v>
      </c>
      <c r="C37" s="52">
        <v>35612.0</v>
      </c>
      <c r="D37" s="48">
        <f t="shared" si="2"/>
        <v>28</v>
      </c>
      <c r="E37" s="48">
        <v>2.08786434E8</v>
      </c>
      <c r="F37" s="48">
        <v>5.27565907E8</v>
      </c>
      <c r="G37" s="48" t="s">
        <v>314</v>
      </c>
      <c r="H37" s="47" t="s">
        <v>161</v>
      </c>
      <c r="I37" s="47" t="s">
        <v>141</v>
      </c>
      <c r="J37" s="47"/>
      <c r="K37" s="47"/>
      <c r="L37" s="47" t="s">
        <v>197</v>
      </c>
      <c r="M37" s="51"/>
      <c r="N37" s="51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>
      <c r="A38" s="47" t="s">
        <v>315</v>
      </c>
      <c r="B38" s="47" t="s">
        <v>133</v>
      </c>
      <c r="C38" s="55">
        <v>38692.0</v>
      </c>
      <c r="D38" s="48">
        <f t="shared" si="2"/>
        <v>20</v>
      </c>
      <c r="E38" s="48">
        <v>2.1573959E8</v>
      </c>
      <c r="F38" s="49" t="s">
        <v>316</v>
      </c>
      <c r="G38" s="48" t="s">
        <v>317</v>
      </c>
      <c r="H38" s="47" t="s">
        <v>318</v>
      </c>
      <c r="I38" s="47" t="s">
        <v>141</v>
      </c>
      <c r="J38" s="50"/>
      <c r="K38" s="50"/>
      <c r="L38" s="47" t="s">
        <v>197</v>
      </c>
      <c r="M38" s="51"/>
      <c r="N38" s="51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>
      <c r="A39" s="47" t="s">
        <v>319</v>
      </c>
      <c r="B39" s="47" t="s">
        <v>119</v>
      </c>
      <c r="C39" s="55">
        <v>40050.0</v>
      </c>
      <c r="D39" s="48">
        <f t="shared" si="2"/>
        <v>16</v>
      </c>
      <c r="E39" s="48">
        <v>2.18691244E8</v>
      </c>
      <c r="F39" s="68" t="s">
        <v>320</v>
      </c>
      <c r="G39" s="48" t="s">
        <v>321</v>
      </c>
      <c r="H39" s="47" t="s">
        <v>156</v>
      </c>
      <c r="I39" s="47" t="s">
        <v>194</v>
      </c>
      <c r="J39" s="47" t="s">
        <v>209</v>
      </c>
      <c r="K39" s="50"/>
      <c r="L39" s="47" t="s">
        <v>197</v>
      </c>
      <c r="M39" s="51"/>
      <c r="N39" s="51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>
      <c r="A40" s="47" t="s">
        <v>322</v>
      </c>
      <c r="B40" s="47" t="s">
        <v>133</v>
      </c>
      <c r="C40" s="52">
        <v>38057.0</v>
      </c>
      <c r="D40" s="48">
        <f t="shared" si="2"/>
        <v>21</v>
      </c>
      <c r="E40" s="48" t="s">
        <v>323</v>
      </c>
      <c r="F40" s="48">
        <v>5.32464113E8</v>
      </c>
      <c r="G40" s="48" t="s">
        <v>324</v>
      </c>
      <c r="H40" s="47" t="s">
        <v>53</v>
      </c>
      <c r="I40" s="47" t="s">
        <v>141</v>
      </c>
      <c r="J40" s="47"/>
      <c r="K40" s="47"/>
      <c r="L40" s="47" t="s">
        <v>197</v>
      </c>
      <c r="M40" s="51"/>
      <c r="N40" s="51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>
      <c r="A41" s="47" t="s">
        <v>325</v>
      </c>
      <c r="B41" s="47" t="s">
        <v>119</v>
      </c>
      <c r="C41" s="52">
        <v>35506.0</v>
      </c>
      <c r="D41" s="48">
        <f t="shared" si="2"/>
        <v>28</v>
      </c>
      <c r="E41" s="48">
        <v>2.08412809E8</v>
      </c>
      <c r="F41" s="49" t="s">
        <v>326</v>
      </c>
      <c r="G41" s="48" t="s">
        <v>327</v>
      </c>
      <c r="H41" s="47" t="s">
        <v>328</v>
      </c>
      <c r="I41" s="47" t="s">
        <v>141</v>
      </c>
      <c r="J41" s="47"/>
      <c r="K41" s="47"/>
      <c r="L41" s="47" t="s">
        <v>197</v>
      </c>
      <c r="M41" s="51"/>
      <c r="N41" s="51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>
      <c r="A42" s="47" t="s">
        <v>329</v>
      </c>
      <c r="B42" s="47" t="s">
        <v>119</v>
      </c>
      <c r="C42" s="52">
        <v>38900.0</v>
      </c>
      <c r="D42" s="48">
        <f t="shared" si="2"/>
        <v>19</v>
      </c>
      <c r="E42" s="48">
        <v>2.15884735E8</v>
      </c>
      <c r="F42" s="48">
        <v>5.43210015E8</v>
      </c>
      <c r="G42" s="48" t="s">
        <v>330</v>
      </c>
      <c r="H42" s="47" t="s">
        <v>53</v>
      </c>
      <c r="I42" s="47" t="s">
        <v>141</v>
      </c>
      <c r="J42" s="47"/>
      <c r="K42" s="47"/>
      <c r="L42" s="47" t="s">
        <v>197</v>
      </c>
      <c r="M42" s="51"/>
      <c r="N42" s="51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>
      <c r="A43" s="47" t="s">
        <v>331</v>
      </c>
      <c r="B43" s="47" t="s">
        <v>119</v>
      </c>
      <c r="C43" s="54">
        <v>39804.0</v>
      </c>
      <c r="D43" s="48">
        <f t="shared" si="2"/>
        <v>17</v>
      </c>
      <c r="E43" s="48">
        <v>3.33096493E8</v>
      </c>
      <c r="F43" s="49" t="s">
        <v>332</v>
      </c>
      <c r="G43" s="48" t="s">
        <v>333</v>
      </c>
      <c r="H43" s="47" t="s">
        <v>156</v>
      </c>
      <c r="I43" s="47" t="s">
        <v>194</v>
      </c>
      <c r="J43" s="47" t="s">
        <v>209</v>
      </c>
      <c r="K43" s="50"/>
      <c r="L43" s="47" t="s">
        <v>197</v>
      </c>
      <c r="M43" s="51"/>
      <c r="N43" s="51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hidden="1">
      <c r="A44" s="59" t="s">
        <v>334</v>
      </c>
      <c r="B44" s="47" t="s">
        <v>119</v>
      </c>
      <c r="C44" s="48">
        <v>16.0</v>
      </c>
      <c r="D44" s="48">
        <f t="shared" si="2"/>
        <v>125</v>
      </c>
      <c r="E44" s="48">
        <v>2.18082287E8</v>
      </c>
      <c r="F44" s="49" t="s">
        <v>335</v>
      </c>
      <c r="G44" s="48" t="s">
        <v>336</v>
      </c>
      <c r="H44" s="47" t="s">
        <v>201</v>
      </c>
      <c r="I44" s="47" t="s">
        <v>188</v>
      </c>
      <c r="J44" s="47"/>
      <c r="K44" s="47"/>
      <c r="L44" s="47" t="s">
        <v>189</v>
      </c>
      <c r="M44" s="51"/>
      <c r="N44" s="51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hidden="1">
      <c r="A45" s="47" t="s">
        <v>337</v>
      </c>
      <c r="B45" s="47" t="s">
        <v>119</v>
      </c>
      <c r="C45" s="55">
        <v>39857.0</v>
      </c>
      <c r="D45" s="48">
        <f t="shared" si="2"/>
        <v>16</v>
      </c>
      <c r="E45" s="48">
        <v>3.33308245E8</v>
      </c>
      <c r="F45" s="49" t="s">
        <v>338</v>
      </c>
      <c r="G45" s="48" t="s">
        <v>339</v>
      </c>
      <c r="H45" s="47" t="s">
        <v>156</v>
      </c>
      <c r="I45" s="47" t="s">
        <v>188</v>
      </c>
      <c r="J45" s="47"/>
      <c r="K45" s="50"/>
      <c r="L45" s="47" t="s">
        <v>189</v>
      </c>
      <c r="M45" s="51"/>
      <c r="N45" s="51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>
      <c r="A46" s="47" t="s">
        <v>340</v>
      </c>
      <c r="B46" s="47" t="s">
        <v>119</v>
      </c>
      <c r="C46" s="54">
        <v>39740.0</v>
      </c>
      <c r="D46" s="48">
        <f t="shared" si="2"/>
        <v>17</v>
      </c>
      <c r="E46" s="48">
        <v>2.17753524E8</v>
      </c>
      <c r="F46" s="48">
        <v>5.34785546E8</v>
      </c>
      <c r="G46" s="48" t="s">
        <v>341</v>
      </c>
      <c r="H46" s="47" t="s">
        <v>156</v>
      </c>
      <c r="I46" s="47" t="s">
        <v>194</v>
      </c>
      <c r="J46" s="47" t="s">
        <v>218</v>
      </c>
      <c r="K46" s="47"/>
      <c r="L46" s="47" t="s">
        <v>197</v>
      </c>
      <c r="M46" s="51"/>
      <c r="N46" s="51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hidden="1">
      <c r="A47" s="47" t="s">
        <v>342</v>
      </c>
      <c r="B47" s="47" t="s">
        <v>119</v>
      </c>
      <c r="C47" s="52">
        <v>40190.0</v>
      </c>
      <c r="D47" s="48">
        <f t="shared" si="2"/>
        <v>15</v>
      </c>
      <c r="E47" s="48">
        <v>3.34574886E8</v>
      </c>
      <c r="F47" s="48">
        <v>5.53056763E8</v>
      </c>
      <c r="G47" s="48" t="s">
        <v>343</v>
      </c>
      <c r="H47" s="47" t="s">
        <v>344</v>
      </c>
      <c r="I47" s="47" t="s">
        <v>188</v>
      </c>
      <c r="J47" s="47"/>
      <c r="K47" s="47"/>
      <c r="L47" s="47" t="s">
        <v>189</v>
      </c>
      <c r="M47" s="51"/>
      <c r="N47" s="51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 hidden="1">
      <c r="A48" s="47" t="s">
        <v>345</v>
      </c>
      <c r="B48" s="47" t="s">
        <v>119</v>
      </c>
      <c r="C48" s="55">
        <v>37827.0</v>
      </c>
      <c r="D48" s="48">
        <f t="shared" si="2"/>
        <v>22</v>
      </c>
      <c r="E48" s="48">
        <v>3.25352029E8</v>
      </c>
      <c r="F48" s="49" t="s">
        <v>346</v>
      </c>
      <c r="G48" s="48" t="s">
        <v>347</v>
      </c>
      <c r="H48" s="47" t="s">
        <v>348</v>
      </c>
      <c r="I48" s="47" t="s">
        <v>188</v>
      </c>
      <c r="J48" s="47"/>
      <c r="K48" s="47"/>
      <c r="L48" s="47" t="s">
        <v>189</v>
      </c>
      <c r="M48" s="51"/>
      <c r="N48" s="51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>
      <c r="A49" s="47" t="s">
        <v>349</v>
      </c>
      <c r="B49" s="47" t="s">
        <v>119</v>
      </c>
      <c r="C49" s="52">
        <v>38095.0</v>
      </c>
      <c r="D49" s="48">
        <f t="shared" si="2"/>
        <v>21</v>
      </c>
      <c r="E49" s="48">
        <v>3.26633757E8</v>
      </c>
      <c r="F49" s="49" t="s">
        <v>350</v>
      </c>
      <c r="G49" s="48" t="s">
        <v>351</v>
      </c>
      <c r="H49" s="47" t="s">
        <v>201</v>
      </c>
      <c r="I49" s="47" t="s">
        <v>141</v>
      </c>
      <c r="J49" s="47"/>
      <c r="K49" s="47"/>
      <c r="L49" s="47" t="s">
        <v>197</v>
      </c>
      <c r="M49" s="51"/>
      <c r="N49" s="51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</row>
    <row r="50">
      <c r="A50" s="47" t="s">
        <v>352</v>
      </c>
      <c r="B50" s="47" t="s">
        <v>133</v>
      </c>
      <c r="C50" s="69">
        <v>38587.0</v>
      </c>
      <c r="D50" s="48">
        <f t="shared" si="2"/>
        <v>20</v>
      </c>
      <c r="E50" s="66">
        <v>3.37919336E8</v>
      </c>
      <c r="F50" s="48">
        <v>5.87899592E8</v>
      </c>
      <c r="G50" s="65"/>
      <c r="H50" s="59" t="s">
        <v>34</v>
      </c>
      <c r="I50" s="47" t="s">
        <v>141</v>
      </c>
      <c r="J50" s="50"/>
      <c r="K50" s="50"/>
      <c r="L50" s="47" t="s">
        <v>197</v>
      </c>
      <c r="M50" s="59"/>
      <c r="N50" s="59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</row>
    <row r="51">
      <c r="A51" s="47" t="s">
        <v>353</v>
      </c>
      <c r="B51" s="47" t="s">
        <v>119</v>
      </c>
      <c r="C51" s="54">
        <v>37946.0</v>
      </c>
      <c r="D51" s="48">
        <f t="shared" si="2"/>
        <v>22</v>
      </c>
      <c r="E51" s="48">
        <v>3.26281359E8</v>
      </c>
      <c r="F51" s="49" t="s">
        <v>354</v>
      </c>
      <c r="G51" s="48" t="s">
        <v>355</v>
      </c>
      <c r="H51" s="47" t="s">
        <v>356</v>
      </c>
      <c r="I51" s="47" t="s">
        <v>141</v>
      </c>
      <c r="J51" s="50"/>
      <c r="K51" s="50"/>
      <c r="L51" s="47" t="s">
        <v>197</v>
      </c>
      <c r="M51" s="51"/>
      <c r="N51" s="51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</row>
    <row r="52" hidden="1">
      <c r="A52" s="47" t="s">
        <v>43</v>
      </c>
      <c r="B52" s="47" t="s">
        <v>119</v>
      </c>
      <c r="C52" s="52">
        <v>39401.0</v>
      </c>
      <c r="D52" s="48">
        <f t="shared" si="2"/>
        <v>18</v>
      </c>
      <c r="E52" s="48">
        <v>2.16906743E8</v>
      </c>
      <c r="F52" s="49" t="s">
        <v>357</v>
      </c>
      <c r="G52" s="48" t="s">
        <v>358</v>
      </c>
      <c r="H52" s="47" t="s">
        <v>44</v>
      </c>
      <c r="I52" s="47" t="s">
        <v>188</v>
      </c>
      <c r="J52" s="47"/>
      <c r="K52" s="47"/>
      <c r="L52" s="47" t="s">
        <v>189</v>
      </c>
      <c r="M52" s="51"/>
      <c r="N52" s="51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</row>
    <row r="53">
      <c r="A53" s="47" t="s">
        <v>359</v>
      </c>
      <c r="B53" s="47" t="s">
        <v>133</v>
      </c>
      <c r="C53" s="55">
        <v>39973.0</v>
      </c>
      <c r="D53" s="48">
        <f t="shared" si="2"/>
        <v>16</v>
      </c>
      <c r="E53" s="48">
        <v>3.33588192E8</v>
      </c>
      <c r="F53" s="48">
        <v>5.85324255E8</v>
      </c>
      <c r="G53" s="48" t="s">
        <v>360</v>
      </c>
      <c r="H53" s="47" t="s">
        <v>53</v>
      </c>
      <c r="I53" s="47" t="s">
        <v>194</v>
      </c>
      <c r="J53" s="47" t="s">
        <v>209</v>
      </c>
      <c r="K53" s="50"/>
      <c r="L53" s="47" t="s">
        <v>197</v>
      </c>
      <c r="M53" s="51"/>
      <c r="N53" s="51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</row>
    <row r="54">
      <c r="A54" s="47" t="s">
        <v>361</v>
      </c>
      <c r="B54" s="47" t="s">
        <v>119</v>
      </c>
      <c r="C54" s="55">
        <v>39906.0</v>
      </c>
      <c r="D54" s="48">
        <f t="shared" si="2"/>
        <v>16</v>
      </c>
      <c r="E54" s="48">
        <v>2.17936327E8</v>
      </c>
      <c r="F54" s="49" t="s">
        <v>362</v>
      </c>
      <c r="G54" s="48" t="s">
        <v>363</v>
      </c>
      <c r="H54" s="47" t="s">
        <v>364</v>
      </c>
      <c r="I54" s="47" t="s">
        <v>141</v>
      </c>
      <c r="J54" s="50"/>
      <c r="K54" s="50"/>
      <c r="L54" s="47" t="s">
        <v>197</v>
      </c>
      <c r="M54" s="51"/>
      <c r="N54" s="51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</row>
    <row r="55">
      <c r="A55" s="47" t="s">
        <v>365</v>
      </c>
      <c r="B55" s="47" t="s">
        <v>133</v>
      </c>
      <c r="C55" s="55">
        <v>40047.0</v>
      </c>
      <c r="D55" s="48">
        <f t="shared" si="2"/>
        <v>16</v>
      </c>
      <c r="E55" s="48">
        <v>3.33591261E8</v>
      </c>
      <c r="F55" s="49" t="s">
        <v>366</v>
      </c>
      <c r="G55" s="48" t="s">
        <v>367</v>
      </c>
      <c r="H55" s="47" t="s">
        <v>53</v>
      </c>
      <c r="I55" s="47" t="s">
        <v>194</v>
      </c>
      <c r="J55" s="47" t="s">
        <v>218</v>
      </c>
      <c r="K55" s="47"/>
      <c r="L55" s="47" t="s">
        <v>197</v>
      </c>
      <c r="M55" s="51"/>
      <c r="N55" s="51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</row>
    <row r="56">
      <c r="A56" s="47" t="s">
        <v>368</v>
      </c>
      <c r="B56" s="47" t="s">
        <v>133</v>
      </c>
      <c r="C56" s="55">
        <v>39307.0</v>
      </c>
      <c r="D56" s="48">
        <f t="shared" si="2"/>
        <v>18</v>
      </c>
      <c r="E56" s="48">
        <v>2.17373323E8</v>
      </c>
      <c r="F56" s="49" t="s">
        <v>369</v>
      </c>
      <c r="G56" s="48" t="s">
        <v>370</v>
      </c>
      <c r="H56" s="47" t="s">
        <v>28</v>
      </c>
      <c r="I56" s="47" t="s">
        <v>141</v>
      </c>
      <c r="J56" s="50"/>
      <c r="K56" s="50"/>
      <c r="L56" s="47" t="s">
        <v>197</v>
      </c>
      <c r="M56" s="51"/>
      <c r="N56" s="51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</row>
    <row r="57">
      <c r="A57" s="47" t="s">
        <v>371</v>
      </c>
      <c r="B57" s="47" t="s">
        <v>133</v>
      </c>
      <c r="C57" s="48">
        <v>2001.0</v>
      </c>
      <c r="D57" s="48">
        <f>YEAR(TODAY()) - C57</f>
        <v>25</v>
      </c>
      <c r="E57" s="48" t="s">
        <v>372</v>
      </c>
      <c r="F57" s="49" t="s">
        <v>373</v>
      </c>
      <c r="G57" s="48" t="s">
        <v>372</v>
      </c>
      <c r="H57" s="47" t="s">
        <v>53</v>
      </c>
      <c r="I57" s="47" t="s">
        <v>141</v>
      </c>
      <c r="J57" s="47"/>
      <c r="K57" s="47"/>
      <c r="L57" s="47" t="s">
        <v>197</v>
      </c>
      <c r="M57" s="51"/>
      <c r="N57" s="51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</row>
    <row r="58">
      <c r="A58" s="47" t="s">
        <v>374</v>
      </c>
      <c r="B58" s="47" t="s">
        <v>133</v>
      </c>
      <c r="C58" s="69">
        <v>37068.0</v>
      </c>
      <c r="D58" s="48">
        <f t="shared" ref="D58:D146" si="3">DATEDIF(C58, TODAY(), "Y")</f>
        <v>24</v>
      </c>
      <c r="E58" s="66">
        <v>3.23005868E8</v>
      </c>
      <c r="F58" s="48">
        <v>5.48080087E8</v>
      </c>
      <c r="G58" s="66" t="s">
        <v>375</v>
      </c>
      <c r="H58" s="59" t="s">
        <v>376</v>
      </c>
      <c r="I58" s="47" t="s">
        <v>141</v>
      </c>
      <c r="J58" s="50"/>
      <c r="K58" s="50"/>
      <c r="L58" s="47" t="s">
        <v>197</v>
      </c>
      <c r="M58" s="59"/>
      <c r="N58" s="59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</row>
    <row r="59">
      <c r="A59" s="47" t="s">
        <v>377</v>
      </c>
      <c r="B59" s="47" t="s">
        <v>133</v>
      </c>
      <c r="C59" s="55">
        <v>39188.0</v>
      </c>
      <c r="D59" s="48">
        <f t="shared" si="3"/>
        <v>18</v>
      </c>
      <c r="E59" s="48">
        <v>2.1675608E8</v>
      </c>
      <c r="F59" s="49" t="s">
        <v>378</v>
      </c>
      <c r="G59" s="48" t="s">
        <v>379</v>
      </c>
      <c r="H59" s="47" t="s">
        <v>130</v>
      </c>
      <c r="I59" s="47" t="s">
        <v>141</v>
      </c>
      <c r="J59" s="50"/>
      <c r="K59" s="50"/>
      <c r="L59" s="47" t="s">
        <v>197</v>
      </c>
      <c r="M59" s="51"/>
      <c r="N59" s="51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</row>
    <row r="60">
      <c r="A60" s="47" t="s">
        <v>380</v>
      </c>
      <c r="B60" s="47" t="s">
        <v>119</v>
      </c>
      <c r="C60" s="55">
        <v>39483.0</v>
      </c>
      <c r="D60" s="48">
        <f t="shared" si="3"/>
        <v>17</v>
      </c>
      <c r="E60" s="48">
        <v>3.31431247E8</v>
      </c>
      <c r="F60" s="49" t="s">
        <v>381</v>
      </c>
      <c r="G60" s="48" t="s">
        <v>382</v>
      </c>
      <c r="H60" s="47" t="s">
        <v>53</v>
      </c>
      <c r="I60" s="47" t="s">
        <v>194</v>
      </c>
      <c r="J60" s="47" t="s">
        <v>209</v>
      </c>
      <c r="K60" s="50"/>
      <c r="L60" s="47" t="s">
        <v>197</v>
      </c>
      <c r="M60" s="51"/>
      <c r="N60" s="51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</row>
    <row r="61">
      <c r="A61" s="47" t="s">
        <v>383</v>
      </c>
      <c r="B61" s="47" t="s">
        <v>119</v>
      </c>
      <c r="C61" s="54">
        <v>40145.0</v>
      </c>
      <c r="D61" s="48">
        <f t="shared" si="3"/>
        <v>16</v>
      </c>
      <c r="E61" s="48">
        <v>2.18730042E8</v>
      </c>
      <c r="F61" s="49" t="s">
        <v>384</v>
      </c>
      <c r="G61" s="48" t="s">
        <v>385</v>
      </c>
      <c r="H61" s="47" t="s">
        <v>53</v>
      </c>
      <c r="I61" s="47" t="s">
        <v>194</v>
      </c>
      <c r="J61" s="47" t="s">
        <v>209</v>
      </c>
      <c r="K61" s="50"/>
      <c r="L61" s="47" t="s">
        <v>197</v>
      </c>
      <c r="M61" s="51"/>
      <c r="N61" s="51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</row>
    <row r="62" hidden="1">
      <c r="A62" s="59" t="s">
        <v>386</v>
      </c>
      <c r="B62" s="47" t="s">
        <v>119</v>
      </c>
      <c r="C62" s="66">
        <v>31.0</v>
      </c>
      <c r="D62" s="48">
        <f t="shared" si="3"/>
        <v>125</v>
      </c>
      <c r="E62" s="66">
        <v>2.0426323E8</v>
      </c>
      <c r="F62" s="49" t="s">
        <v>387</v>
      </c>
      <c r="G62" s="66" t="s">
        <v>388</v>
      </c>
      <c r="H62" s="59" t="s">
        <v>389</v>
      </c>
      <c r="I62" s="47" t="s">
        <v>188</v>
      </c>
      <c r="J62" s="50"/>
      <c r="K62" s="50"/>
      <c r="L62" s="47" t="s">
        <v>189</v>
      </c>
      <c r="M62" s="59"/>
      <c r="N62" s="59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</row>
    <row r="63">
      <c r="A63" s="47" t="s">
        <v>390</v>
      </c>
      <c r="B63" s="47" t="s">
        <v>119</v>
      </c>
      <c r="C63" s="52" t="s">
        <v>391</v>
      </c>
      <c r="D63" s="48">
        <f t="shared" si="3"/>
        <v>19</v>
      </c>
      <c r="E63" s="48" t="s">
        <v>392</v>
      </c>
      <c r="F63" s="48">
        <v>5.85711799E8</v>
      </c>
      <c r="G63" s="48" t="s">
        <v>393</v>
      </c>
      <c r="H63" s="47" t="s">
        <v>53</v>
      </c>
      <c r="I63" s="47" t="s">
        <v>194</v>
      </c>
      <c r="J63" s="47" t="s">
        <v>218</v>
      </c>
      <c r="K63" s="47"/>
      <c r="L63" s="47" t="s">
        <v>197</v>
      </c>
      <c r="M63" s="51"/>
      <c r="N63" s="51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</row>
    <row r="64">
      <c r="A64" s="47" t="s">
        <v>394</v>
      </c>
      <c r="B64" s="47" t="s">
        <v>119</v>
      </c>
      <c r="C64" s="54">
        <v>36830.0</v>
      </c>
      <c r="D64" s="48">
        <f t="shared" si="3"/>
        <v>25</v>
      </c>
      <c r="E64" s="48">
        <v>3.2255682E8</v>
      </c>
      <c r="F64" s="49" t="s">
        <v>395</v>
      </c>
      <c r="G64" s="48" t="s">
        <v>396</v>
      </c>
      <c r="H64" s="47" t="s">
        <v>201</v>
      </c>
      <c r="I64" s="47" t="s">
        <v>194</v>
      </c>
      <c r="J64" s="47" t="s">
        <v>195</v>
      </c>
      <c r="K64" s="47" t="s">
        <v>397</v>
      </c>
      <c r="L64" s="47" t="s">
        <v>197</v>
      </c>
      <c r="M64" s="67"/>
      <c r="N64" s="67" t="s">
        <v>398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</row>
    <row r="65">
      <c r="A65" s="47" t="s">
        <v>399</v>
      </c>
      <c r="B65" s="47" t="s">
        <v>133</v>
      </c>
      <c r="C65" s="52">
        <v>38472.0</v>
      </c>
      <c r="D65" s="48">
        <f t="shared" si="3"/>
        <v>20</v>
      </c>
      <c r="E65" s="48">
        <v>2.1530045E8</v>
      </c>
      <c r="F65" s="49" t="s">
        <v>400</v>
      </c>
      <c r="G65" s="48" t="s">
        <v>401</v>
      </c>
      <c r="H65" s="47" t="s">
        <v>53</v>
      </c>
      <c r="I65" s="47" t="s">
        <v>194</v>
      </c>
      <c r="J65" s="47" t="s">
        <v>209</v>
      </c>
      <c r="K65" s="47"/>
      <c r="L65" s="47" t="s">
        <v>197</v>
      </c>
      <c r="M65" s="51"/>
      <c r="N65" s="51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</row>
    <row r="66">
      <c r="A66" s="47" t="s">
        <v>402</v>
      </c>
      <c r="B66" s="47" t="s">
        <v>119</v>
      </c>
      <c r="C66" s="52">
        <v>38901.0</v>
      </c>
      <c r="D66" s="48">
        <f t="shared" si="3"/>
        <v>19</v>
      </c>
      <c r="E66" s="48">
        <v>2.15201096E8</v>
      </c>
      <c r="F66" s="49" t="s">
        <v>403</v>
      </c>
      <c r="G66" s="48" t="s">
        <v>404</v>
      </c>
      <c r="H66" s="47" t="s">
        <v>53</v>
      </c>
      <c r="I66" s="47" t="s">
        <v>141</v>
      </c>
      <c r="J66" s="47"/>
      <c r="K66" s="47"/>
      <c r="L66" s="47" t="s">
        <v>197</v>
      </c>
      <c r="M66" s="51"/>
      <c r="N66" s="51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</row>
    <row r="67">
      <c r="A67" s="47" t="s">
        <v>405</v>
      </c>
      <c r="B67" s="47" t="s">
        <v>119</v>
      </c>
      <c r="C67" s="55">
        <v>38033.0</v>
      </c>
      <c r="D67" s="48">
        <f t="shared" si="3"/>
        <v>21</v>
      </c>
      <c r="E67" s="48">
        <v>3.2569239E8</v>
      </c>
      <c r="F67" s="49" t="s">
        <v>406</v>
      </c>
      <c r="G67" s="48" t="s">
        <v>407</v>
      </c>
      <c r="H67" s="47" t="s">
        <v>130</v>
      </c>
      <c r="I67" s="47" t="s">
        <v>141</v>
      </c>
      <c r="J67" s="50"/>
      <c r="K67" s="50"/>
      <c r="L67" s="47" t="s">
        <v>197</v>
      </c>
      <c r="M67" s="51"/>
      <c r="N67" s="51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</row>
    <row r="68">
      <c r="A68" s="47" t="s">
        <v>408</v>
      </c>
      <c r="B68" s="47" t="s">
        <v>119</v>
      </c>
      <c r="C68" s="70">
        <v>39615.0</v>
      </c>
      <c r="D68" s="48">
        <f t="shared" si="3"/>
        <v>17</v>
      </c>
      <c r="E68" s="51">
        <v>3.31244707E8</v>
      </c>
      <c r="F68" s="71" t="s">
        <v>409</v>
      </c>
      <c r="G68" s="51" t="s">
        <v>410</v>
      </c>
      <c r="H68" s="51" t="s">
        <v>28</v>
      </c>
      <c r="I68" s="47" t="s">
        <v>141</v>
      </c>
      <c r="J68" s="50"/>
      <c r="K68" s="50"/>
      <c r="L68" s="47" t="s">
        <v>197</v>
      </c>
      <c r="M68" s="51"/>
      <c r="N68" s="51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</row>
    <row r="69" hidden="1">
      <c r="A69" s="47" t="s">
        <v>411</v>
      </c>
      <c r="B69" s="47" t="s">
        <v>119</v>
      </c>
      <c r="C69" s="55">
        <v>39259.0</v>
      </c>
      <c r="D69" s="48">
        <f t="shared" si="3"/>
        <v>18</v>
      </c>
      <c r="E69" s="48">
        <v>2.16847905E8</v>
      </c>
      <c r="F69" s="49" t="s">
        <v>412</v>
      </c>
      <c r="G69" s="48" t="s">
        <v>413</v>
      </c>
      <c r="H69" s="47" t="s">
        <v>201</v>
      </c>
      <c r="I69" s="47" t="s">
        <v>188</v>
      </c>
      <c r="J69" s="47"/>
      <c r="K69" s="47"/>
      <c r="L69" s="47" t="s">
        <v>189</v>
      </c>
      <c r="M69" s="51"/>
      <c r="N69" s="51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>
      <c r="A70" s="47" t="s">
        <v>414</v>
      </c>
      <c r="B70" s="47" t="s">
        <v>133</v>
      </c>
      <c r="C70" s="55">
        <v>36410.0</v>
      </c>
      <c r="D70" s="48">
        <f t="shared" si="3"/>
        <v>26</v>
      </c>
      <c r="E70" s="48">
        <v>3.18879657E8</v>
      </c>
      <c r="F70" s="49" t="s">
        <v>415</v>
      </c>
      <c r="G70" s="48"/>
      <c r="H70" s="47" t="s">
        <v>53</v>
      </c>
      <c r="I70" s="47" t="s">
        <v>141</v>
      </c>
      <c r="J70" s="47"/>
      <c r="K70" s="47"/>
      <c r="L70" s="47" t="s">
        <v>197</v>
      </c>
      <c r="M70" s="51"/>
      <c r="N70" s="51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</row>
    <row r="71" hidden="1">
      <c r="A71" s="59" t="s">
        <v>416</v>
      </c>
      <c r="B71" s="47" t="s">
        <v>119</v>
      </c>
      <c r="C71" s="48">
        <v>17.0</v>
      </c>
      <c r="D71" s="48">
        <f t="shared" si="3"/>
        <v>125</v>
      </c>
      <c r="E71" s="48"/>
      <c r="F71" s="49" t="s">
        <v>417</v>
      </c>
      <c r="G71" s="48" t="s">
        <v>418</v>
      </c>
      <c r="H71" s="47" t="s">
        <v>419</v>
      </c>
      <c r="I71" s="47" t="s">
        <v>188</v>
      </c>
      <c r="J71" s="47"/>
      <c r="K71" s="47"/>
      <c r="L71" s="47" t="s">
        <v>189</v>
      </c>
      <c r="M71" s="51"/>
      <c r="N71" s="51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>
      <c r="A72" s="47" t="s">
        <v>420</v>
      </c>
      <c r="B72" s="47" t="s">
        <v>119</v>
      </c>
      <c r="C72" s="52">
        <v>39451.0</v>
      </c>
      <c r="D72" s="48">
        <f t="shared" si="3"/>
        <v>18</v>
      </c>
      <c r="E72" s="48">
        <v>3.31407825E8</v>
      </c>
      <c r="F72" s="49" t="s">
        <v>421</v>
      </c>
      <c r="G72" s="48" t="s">
        <v>422</v>
      </c>
      <c r="H72" s="47" t="s">
        <v>53</v>
      </c>
      <c r="I72" s="47" t="s">
        <v>194</v>
      </c>
      <c r="J72" s="47" t="s">
        <v>209</v>
      </c>
      <c r="K72" s="47"/>
      <c r="L72" s="47" t="s">
        <v>197</v>
      </c>
      <c r="M72" s="51"/>
      <c r="N72" s="51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>
      <c r="A73" s="47" t="s">
        <v>423</v>
      </c>
      <c r="B73" s="47" t="s">
        <v>119</v>
      </c>
      <c r="C73" s="69">
        <v>36751.0</v>
      </c>
      <c r="D73" s="48">
        <f t="shared" si="3"/>
        <v>25</v>
      </c>
      <c r="E73" s="65">
        <v>2.11702501E8</v>
      </c>
      <c r="F73" s="49" t="s">
        <v>424</v>
      </c>
      <c r="G73" s="65" t="s">
        <v>425</v>
      </c>
      <c r="H73" s="59" t="s">
        <v>426</v>
      </c>
      <c r="I73" s="47" t="s">
        <v>141</v>
      </c>
      <c r="J73" s="50"/>
      <c r="K73" s="50"/>
      <c r="L73" s="47" t="s">
        <v>197</v>
      </c>
      <c r="M73" s="59"/>
      <c r="N73" s="59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</row>
    <row r="74">
      <c r="A74" s="47" t="s">
        <v>427</v>
      </c>
      <c r="B74" s="47" t="s">
        <v>119</v>
      </c>
      <c r="C74" s="55">
        <v>38292.0</v>
      </c>
      <c r="D74" s="48">
        <f t="shared" si="3"/>
        <v>21</v>
      </c>
      <c r="E74" s="48">
        <v>2.14941619E8</v>
      </c>
      <c r="F74" s="49" t="s">
        <v>428</v>
      </c>
      <c r="G74" s="48" t="s">
        <v>429</v>
      </c>
      <c r="H74" s="47" t="s">
        <v>430</v>
      </c>
      <c r="I74" s="47" t="s">
        <v>194</v>
      </c>
      <c r="J74" s="47" t="s">
        <v>195</v>
      </c>
      <c r="K74" s="47" t="s">
        <v>431</v>
      </c>
      <c r="L74" s="47" t="s">
        <v>197</v>
      </c>
      <c r="M74" s="51"/>
      <c r="N74" s="51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</row>
    <row r="75" hidden="1">
      <c r="A75" s="47" t="s">
        <v>432</v>
      </c>
      <c r="B75" s="47" t="s">
        <v>119</v>
      </c>
      <c r="C75" s="48">
        <v>19.0</v>
      </c>
      <c r="D75" s="48">
        <f t="shared" si="3"/>
        <v>125</v>
      </c>
      <c r="E75" s="48">
        <v>3.28443601E8</v>
      </c>
      <c r="F75" s="49" t="s">
        <v>433</v>
      </c>
      <c r="G75" s="48" t="s">
        <v>434</v>
      </c>
      <c r="H75" s="47" t="s">
        <v>201</v>
      </c>
      <c r="I75" s="47" t="s">
        <v>188</v>
      </c>
      <c r="J75" s="47"/>
      <c r="K75" s="50"/>
      <c r="L75" s="47" t="s">
        <v>189</v>
      </c>
      <c r="M75" s="51"/>
      <c r="N75" s="51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</row>
    <row r="76">
      <c r="A76" s="47" t="s">
        <v>435</v>
      </c>
      <c r="B76" s="47" t="s">
        <v>119</v>
      </c>
      <c r="C76" s="55">
        <v>39620.0</v>
      </c>
      <c r="D76" s="48">
        <f t="shared" si="3"/>
        <v>17</v>
      </c>
      <c r="E76" s="48">
        <v>3.31526301E8</v>
      </c>
      <c r="F76" s="49" t="s">
        <v>436</v>
      </c>
      <c r="G76" s="48" t="s">
        <v>437</v>
      </c>
      <c r="H76" s="47" t="s">
        <v>275</v>
      </c>
      <c r="I76" s="47" t="s">
        <v>141</v>
      </c>
      <c r="J76" s="50"/>
      <c r="K76" s="50"/>
      <c r="L76" s="47" t="s">
        <v>197</v>
      </c>
      <c r="M76" s="51" t="s">
        <v>438</v>
      </c>
      <c r="N76" s="51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</row>
    <row r="77">
      <c r="A77" s="47" t="s">
        <v>439</v>
      </c>
      <c r="B77" s="47" t="s">
        <v>119</v>
      </c>
      <c r="C77" s="52">
        <v>39706.0</v>
      </c>
      <c r="D77" s="48">
        <f t="shared" si="3"/>
        <v>17</v>
      </c>
      <c r="E77" s="48">
        <v>2.17916303E8</v>
      </c>
      <c r="F77" s="49" t="s">
        <v>440</v>
      </c>
      <c r="G77" s="48" t="s">
        <v>441</v>
      </c>
      <c r="H77" s="47" t="s">
        <v>53</v>
      </c>
      <c r="I77" s="47" t="s">
        <v>194</v>
      </c>
      <c r="J77" s="47" t="s">
        <v>209</v>
      </c>
      <c r="K77" s="47"/>
      <c r="L77" s="47" t="s">
        <v>197</v>
      </c>
      <c r="M77" s="51"/>
      <c r="N77" s="51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</row>
    <row r="78">
      <c r="A78" s="47" t="s">
        <v>442</v>
      </c>
      <c r="B78" s="47" t="s">
        <v>119</v>
      </c>
      <c r="C78" s="52">
        <v>39708.0</v>
      </c>
      <c r="D78" s="48">
        <f t="shared" si="3"/>
        <v>17</v>
      </c>
      <c r="E78" s="48">
        <v>2.18007185E8</v>
      </c>
      <c r="F78" s="49" t="s">
        <v>443</v>
      </c>
      <c r="G78" s="48" t="s">
        <v>444</v>
      </c>
      <c r="H78" s="47" t="s">
        <v>53</v>
      </c>
      <c r="I78" s="47" t="s">
        <v>194</v>
      </c>
      <c r="J78" s="47" t="s">
        <v>209</v>
      </c>
      <c r="K78" s="47"/>
      <c r="L78" s="47" t="s">
        <v>197</v>
      </c>
      <c r="M78" s="51"/>
      <c r="N78" s="51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</row>
    <row r="79">
      <c r="A79" s="47" t="s">
        <v>445</v>
      </c>
      <c r="B79" s="47" t="s">
        <v>119</v>
      </c>
      <c r="C79" s="55">
        <v>39962.0</v>
      </c>
      <c r="D79" s="48">
        <f t="shared" si="3"/>
        <v>16</v>
      </c>
      <c r="E79" s="48">
        <v>2.18368108E8</v>
      </c>
      <c r="F79" s="48" t="s">
        <v>446</v>
      </c>
      <c r="G79" s="48" t="s">
        <v>447</v>
      </c>
      <c r="H79" s="47" t="s">
        <v>53</v>
      </c>
      <c r="I79" s="47" t="s">
        <v>141</v>
      </c>
      <c r="J79" s="50"/>
      <c r="K79" s="50"/>
      <c r="L79" s="47" t="s">
        <v>197</v>
      </c>
      <c r="M79" s="51"/>
      <c r="N79" s="51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</row>
    <row r="80" hidden="1">
      <c r="A80" s="47" t="s">
        <v>448</v>
      </c>
      <c r="B80" s="47" t="s">
        <v>119</v>
      </c>
      <c r="C80" s="55">
        <v>40192.0</v>
      </c>
      <c r="D80" s="48">
        <f t="shared" si="3"/>
        <v>15</v>
      </c>
      <c r="E80" s="48">
        <v>2.18685394E8</v>
      </c>
      <c r="F80" s="49" t="s">
        <v>449</v>
      </c>
      <c r="G80" s="48" t="s">
        <v>450</v>
      </c>
      <c r="H80" s="47" t="s">
        <v>451</v>
      </c>
      <c r="I80" s="47" t="s">
        <v>188</v>
      </c>
      <c r="J80" s="50"/>
      <c r="K80" s="50"/>
      <c r="L80" s="47" t="s">
        <v>189</v>
      </c>
      <c r="M80" s="51"/>
      <c r="N80" s="51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</row>
    <row r="81">
      <c r="A81" s="47" t="s">
        <v>452</v>
      </c>
      <c r="B81" s="47" t="s">
        <v>119</v>
      </c>
      <c r="C81" s="52">
        <v>39785.0</v>
      </c>
      <c r="D81" s="48">
        <f t="shared" si="3"/>
        <v>17</v>
      </c>
      <c r="E81" s="48">
        <v>3.32055755E8</v>
      </c>
      <c r="F81" s="49" t="s">
        <v>453</v>
      </c>
      <c r="G81" s="48" t="s">
        <v>454</v>
      </c>
      <c r="H81" s="47" t="s">
        <v>130</v>
      </c>
      <c r="I81" s="47" t="s">
        <v>194</v>
      </c>
      <c r="J81" s="47" t="s">
        <v>209</v>
      </c>
      <c r="K81" s="47"/>
      <c r="L81" s="47" t="s">
        <v>197</v>
      </c>
      <c r="M81" s="51"/>
      <c r="N81" s="51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</row>
    <row r="82">
      <c r="A82" s="47" t="s">
        <v>455</v>
      </c>
      <c r="B82" s="47" t="s">
        <v>119</v>
      </c>
      <c r="C82" s="52">
        <v>37885.0</v>
      </c>
      <c r="D82" s="48">
        <f t="shared" si="3"/>
        <v>22</v>
      </c>
      <c r="E82" s="48">
        <v>2.1414772E8</v>
      </c>
      <c r="F82" s="49" t="s">
        <v>456</v>
      </c>
      <c r="G82" s="48" t="s">
        <v>457</v>
      </c>
      <c r="H82" s="47" t="s">
        <v>130</v>
      </c>
      <c r="I82" s="47" t="s">
        <v>194</v>
      </c>
      <c r="J82" s="47" t="s">
        <v>209</v>
      </c>
      <c r="K82" s="47"/>
      <c r="L82" s="47" t="s">
        <v>197</v>
      </c>
      <c r="M82" s="51"/>
      <c r="N82" s="51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</row>
    <row r="83">
      <c r="A83" s="47" t="s">
        <v>458</v>
      </c>
      <c r="B83" s="47" t="s">
        <v>119</v>
      </c>
      <c r="C83" s="52">
        <v>39671.0</v>
      </c>
      <c r="D83" s="48">
        <f t="shared" si="3"/>
        <v>17</v>
      </c>
      <c r="E83" s="48">
        <v>2.18300903E8</v>
      </c>
      <c r="F83" s="49" t="s">
        <v>459</v>
      </c>
      <c r="G83" s="48" t="s">
        <v>460</v>
      </c>
      <c r="H83" s="47" t="s">
        <v>130</v>
      </c>
      <c r="I83" s="47" t="s">
        <v>194</v>
      </c>
      <c r="J83" s="47" t="s">
        <v>209</v>
      </c>
      <c r="K83" s="47"/>
      <c r="L83" s="47" t="s">
        <v>197</v>
      </c>
      <c r="M83" s="51"/>
      <c r="N83" s="51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</row>
    <row r="84">
      <c r="A84" s="47" t="s">
        <v>461</v>
      </c>
      <c r="B84" s="47" t="s">
        <v>119</v>
      </c>
      <c r="C84" s="55">
        <v>37293.0</v>
      </c>
      <c r="D84" s="48">
        <f t="shared" si="3"/>
        <v>23</v>
      </c>
      <c r="E84" s="48">
        <v>2.11437124E8</v>
      </c>
      <c r="F84" s="49" t="s">
        <v>462</v>
      </c>
      <c r="G84" s="48" t="s">
        <v>463</v>
      </c>
      <c r="H84" s="47" t="s">
        <v>464</v>
      </c>
      <c r="I84" s="47" t="s">
        <v>141</v>
      </c>
      <c r="J84" s="50"/>
      <c r="K84" s="50"/>
      <c r="L84" s="47" t="s">
        <v>197</v>
      </c>
      <c r="M84" s="65"/>
      <c r="N84" s="65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</row>
    <row r="85">
      <c r="A85" s="47" t="s">
        <v>465</v>
      </c>
      <c r="B85" s="47" t="s">
        <v>133</v>
      </c>
      <c r="C85" s="55">
        <v>38469.0</v>
      </c>
      <c r="D85" s="48">
        <f t="shared" si="3"/>
        <v>20</v>
      </c>
      <c r="E85" s="48">
        <v>2.1540332E8</v>
      </c>
      <c r="F85" s="49" t="s">
        <v>466</v>
      </c>
      <c r="G85" s="48" t="s">
        <v>467</v>
      </c>
      <c r="H85" s="47" t="s">
        <v>468</v>
      </c>
      <c r="I85" s="47" t="s">
        <v>141</v>
      </c>
      <c r="J85" s="50"/>
      <c r="K85" s="50"/>
      <c r="L85" s="47" t="s">
        <v>197</v>
      </c>
      <c r="M85" s="51"/>
      <c r="N85" s="51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</row>
    <row r="86">
      <c r="A86" s="47" t="s">
        <v>469</v>
      </c>
      <c r="B86" s="47" t="s">
        <v>119</v>
      </c>
      <c r="C86" s="52" t="s">
        <v>470</v>
      </c>
      <c r="D86" s="48">
        <f t="shared" si="3"/>
        <v>18</v>
      </c>
      <c r="E86" s="48">
        <v>3.3086122E8</v>
      </c>
      <c r="F86" s="48">
        <v>5.35286864E8</v>
      </c>
      <c r="G86" s="48" t="s">
        <v>471</v>
      </c>
      <c r="H86" s="47" t="s">
        <v>356</v>
      </c>
      <c r="I86" s="47" t="s">
        <v>141</v>
      </c>
      <c r="J86" s="47"/>
      <c r="K86" s="47"/>
      <c r="L86" s="47" t="s">
        <v>197</v>
      </c>
      <c r="M86" s="51"/>
      <c r="N86" s="51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>
      <c r="A87" s="47" t="s">
        <v>472</v>
      </c>
      <c r="B87" s="47" t="s">
        <v>119</v>
      </c>
      <c r="C87" s="64">
        <v>38713.0</v>
      </c>
      <c r="D87" s="48">
        <f t="shared" si="3"/>
        <v>20</v>
      </c>
      <c r="E87" s="66">
        <v>2.15890526E8</v>
      </c>
      <c r="F87" s="48">
        <v>5.87154244E8</v>
      </c>
      <c r="G87" s="66" t="s">
        <v>473</v>
      </c>
      <c r="H87" s="59" t="s">
        <v>474</v>
      </c>
      <c r="I87" s="47" t="s">
        <v>141</v>
      </c>
      <c r="J87" s="50"/>
      <c r="K87" s="50"/>
      <c r="L87" s="47" t="s">
        <v>197</v>
      </c>
      <c r="M87" s="59"/>
      <c r="N87" s="59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</row>
    <row r="88">
      <c r="A88" s="47" t="s">
        <v>475</v>
      </c>
      <c r="B88" s="47" t="s">
        <v>133</v>
      </c>
      <c r="C88" s="52">
        <v>38707.0</v>
      </c>
      <c r="D88" s="48">
        <f t="shared" si="3"/>
        <v>20</v>
      </c>
      <c r="E88" s="48">
        <v>2.16008458E8</v>
      </c>
      <c r="F88" s="49" t="s">
        <v>476</v>
      </c>
      <c r="G88" s="48" t="s">
        <v>477</v>
      </c>
      <c r="H88" s="47" t="s">
        <v>478</v>
      </c>
      <c r="I88" s="47" t="s">
        <v>194</v>
      </c>
      <c r="J88" s="47" t="s">
        <v>209</v>
      </c>
      <c r="K88" s="47"/>
      <c r="L88" s="47" t="s">
        <v>197</v>
      </c>
      <c r="M88" s="51" t="s">
        <v>479</v>
      </c>
      <c r="N88" s="51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</row>
    <row r="89" hidden="1">
      <c r="A89" s="47" t="s">
        <v>480</v>
      </c>
      <c r="B89" s="47" t="s">
        <v>133</v>
      </c>
      <c r="C89" s="52">
        <v>38691.0</v>
      </c>
      <c r="D89" s="48">
        <f t="shared" si="3"/>
        <v>20</v>
      </c>
      <c r="E89" s="48">
        <v>2.1570258E8</v>
      </c>
      <c r="F89" s="49" t="s">
        <v>481</v>
      </c>
      <c r="G89" s="48" t="s">
        <v>482</v>
      </c>
      <c r="H89" s="47" t="s">
        <v>483</v>
      </c>
      <c r="I89" s="47" t="s">
        <v>188</v>
      </c>
      <c r="J89" s="47"/>
      <c r="K89" s="47"/>
      <c r="L89" s="47" t="s">
        <v>189</v>
      </c>
      <c r="M89" s="51" t="s">
        <v>484</v>
      </c>
      <c r="N89" s="51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</row>
    <row r="90">
      <c r="A90" s="47" t="s">
        <v>485</v>
      </c>
      <c r="B90" s="47" t="s">
        <v>119</v>
      </c>
      <c r="C90" s="55">
        <v>38965.0</v>
      </c>
      <c r="D90" s="48">
        <f t="shared" si="3"/>
        <v>19</v>
      </c>
      <c r="E90" s="48">
        <v>2.16110858E8</v>
      </c>
      <c r="F90" s="49" t="s">
        <v>486</v>
      </c>
      <c r="G90" s="48" t="s">
        <v>487</v>
      </c>
      <c r="H90" s="47" t="s">
        <v>23</v>
      </c>
      <c r="I90" s="47" t="s">
        <v>194</v>
      </c>
      <c r="J90" s="47" t="s">
        <v>209</v>
      </c>
      <c r="K90" s="50"/>
      <c r="L90" s="47" t="s">
        <v>197</v>
      </c>
      <c r="M90" s="51" t="s">
        <v>488</v>
      </c>
      <c r="N90" s="51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</row>
    <row r="91" hidden="1">
      <c r="A91" s="47" t="s">
        <v>489</v>
      </c>
      <c r="B91" s="47" t="s">
        <v>119</v>
      </c>
      <c r="C91" s="55">
        <v>38998.0</v>
      </c>
      <c r="D91" s="48">
        <f t="shared" si="3"/>
        <v>19</v>
      </c>
      <c r="E91" s="48">
        <v>3.29499669E8</v>
      </c>
      <c r="F91" s="49" t="s">
        <v>490</v>
      </c>
      <c r="G91" s="48" t="s">
        <v>491</v>
      </c>
      <c r="H91" s="47" t="s">
        <v>130</v>
      </c>
      <c r="I91" s="47" t="s">
        <v>188</v>
      </c>
      <c r="J91" s="47"/>
      <c r="K91" s="47"/>
      <c r="L91" s="47" t="s">
        <v>189</v>
      </c>
      <c r="M91" s="51"/>
      <c r="N91" s="51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</row>
    <row r="92">
      <c r="A92" s="47" t="s">
        <v>492</v>
      </c>
      <c r="B92" s="47" t="s">
        <v>119</v>
      </c>
      <c r="C92" s="55">
        <v>39905.0</v>
      </c>
      <c r="D92" s="48">
        <f t="shared" si="3"/>
        <v>16</v>
      </c>
      <c r="E92" s="48">
        <v>3.33123123E8</v>
      </c>
      <c r="F92" s="49" t="s">
        <v>493</v>
      </c>
      <c r="G92" s="48" t="s">
        <v>494</v>
      </c>
      <c r="H92" s="47" t="s">
        <v>53</v>
      </c>
      <c r="I92" s="47" t="s">
        <v>141</v>
      </c>
      <c r="J92" s="50"/>
      <c r="K92" s="50"/>
      <c r="L92" s="47" t="s">
        <v>197</v>
      </c>
      <c r="M92" s="51"/>
      <c r="N92" s="51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</row>
    <row r="93">
      <c r="A93" s="47" t="s">
        <v>495</v>
      </c>
      <c r="B93" s="47" t="s">
        <v>119</v>
      </c>
      <c r="C93" s="55">
        <v>39156.0</v>
      </c>
      <c r="D93" s="48">
        <f t="shared" si="3"/>
        <v>18</v>
      </c>
      <c r="E93" s="48">
        <v>3.30849548E8</v>
      </c>
      <c r="F93" s="49" t="s">
        <v>496</v>
      </c>
      <c r="G93" s="48" t="s">
        <v>497</v>
      </c>
      <c r="H93" s="47" t="s">
        <v>23</v>
      </c>
      <c r="I93" s="47" t="s">
        <v>194</v>
      </c>
      <c r="J93" s="47" t="s">
        <v>218</v>
      </c>
      <c r="K93" s="47"/>
      <c r="L93" s="47" t="s">
        <v>197</v>
      </c>
      <c r="M93" s="51"/>
      <c r="N93" s="51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</row>
    <row r="94">
      <c r="A94" s="47" t="s">
        <v>498</v>
      </c>
      <c r="B94" s="47" t="s">
        <v>119</v>
      </c>
      <c r="C94" s="55">
        <v>39855.0</v>
      </c>
      <c r="D94" s="48">
        <f t="shared" si="3"/>
        <v>16</v>
      </c>
      <c r="E94" s="48">
        <v>3.33230464E8</v>
      </c>
      <c r="F94" s="49" t="s">
        <v>499</v>
      </c>
      <c r="G94" s="48" t="s">
        <v>500</v>
      </c>
      <c r="H94" s="47" t="s">
        <v>53</v>
      </c>
      <c r="I94" s="47" t="s">
        <v>141</v>
      </c>
      <c r="J94" s="50"/>
      <c r="K94" s="50"/>
      <c r="L94" s="47" t="s">
        <v>197</v>
      </c>
      <c r="M94" s="51"/>
      <c r="N94" s="51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>
      <c r="A95" s="47" t="s">
        <v>501</v>
      </c>
      <c r="B95" s="47" t="s">
        <v>119</v>
      </c>
      <c r="C95" s="55">
        <v>39892.0</v>
      </c>
      <c r="D95" s="48">
        <f t="shared" si="3"/>
        <v>16</v>
      </c>
      <c r="E95" s="48">
        <v>2.14186579E8</v>
      </c>
      <c r="F95" s="49" t="s">
        <v>502</v>
      </c>
      <c r="G95" s="48" t="s">
        <v>503</v>
      </c>
      <c r="H95" s="47" t="s">
        <v>34</v>
      </c>
      <c r="I95" s="47" t="s">
        <v>141</v>
      </c>
      <c r="J95" s="47"/>
      <c r="K95" s="47"/>
      <c r="L95" s="47" t="s">
        <v>197</v>
      </c>
      <c r="M95" s="51"/>
      <c r="N95" s="51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</row>
    <row r="96">
      <c r="A96" s="47" t="s">
        <v>504</v>
      </c>
      <c r="B96" s="47" t="s">
        <v>119</v>
      </c>
      <c r="C96" s="69">
        <v>38601.0</v>
      </c>
      <c r="D96" s="48">
        <f t="shared" si="3"/>
        <v>20</v>
      </c>
      <c r="E96" s="66">
        <v>2.15580945E8</v>
      </c>
      <c r="F96" s="48">
        <v>5.46258622E8</v>
      </c>
      <c r="G96" s="66" t="s">
        <v>505</v>
      </c>
      <c r="H96" s="59" t="s">
        <v>506</v>
      </c>
      <c r="I96" s="47" t="s">
        <v>141</v>
      </c>
      <c r="J96" s="50"/>
      <c r="K96" s="50"/>
      <c r="L96" s="47" t="s">
        <v>197</v>
      </c>
      <c r="M96" s="59"/>
      <c r="N96" s="59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</row>
    <row r="97">
      <c r="A97" s="47" t="s">
        <v>507</v>
      </c>
      <c r="B97" s="47" t="s">
        <v>119</v>
      </c>
      <c r="C97" s="55">
        <v>38989.0</v>
      </c>
      <c r="D97" s="48">
        <f t="shared" si="3"/>
        <v>19</v>
      </c>
      <c r="E97" s="48">
        <v>2.16301549E8</v>
      </c>
      <c r="F97" s="49" t="s">
        <v>508</v>
      </c>
      <c r="G97" s="48" t="s">
        <v>509</v>
      </c>
      <c r="H97" s="47" t="s">
        <v>148</v>
      </c>
      <c r="I97" s="47" t="s">
        <v>141</v>
      </c>
      <c r="J97" s="47"/>
      <c r="K97" s="47"/>
      <c r="L97" s="47" t="s">
        <v>197</v>
      </c>
      <c r="M97" s="51"/>
      <c r="N97" s="51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</row>
    <row r="98">
      <c r="A98" s="47" t="s">
        <v>510</v>
      </c>
      <c r="B98" s="47" t="s">
        <v>133</v>
      </c>
      <c r="C98" s="69">
        <v>36137.0</v>
      </c>
      <c r="D98" s="48">
        <f t="shared" si="3"/>
        <v>27</v>
      </c>
      <c r="E98" s="66">
        <v>2.09160852E8</v>
      </c>
      <c r="F98" s="48">
        <v>5.064041E8</v>
      </c>
      <c r="G98" s="66" t="s">
        <v>511</v>
      </c>
      <c r="H98" s="59" t="s">
        <v>201</v>
      </c>
      <c r="I98" s="47" t="s">
        <v>141</v>
      </c>
      <c r="J98" s="50"/>
      <c r="K98" s="50"/>
      <c r="L98" s="47" t="s">
        <v>197</v>
      </c>
      <c r="M98" s="65"/>
      <c r="N98" s="65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</row>
    <row r="99" hidden="1">
      <c r="A99" s="59" t="s">
        <v>512</v>
      </c>
      <c r="B99" s="47" t="s">
        <v>133</v>
      </c>
      <c r="C99" s="48">
        <v>17.8</v>
      </c>
      <c r="D99" s="48">
        <f t="shared" si="3"/>
        <v>125</v>
      </c>
      <c r="E99" s="48">
        <v>3.3098422E8</v>
      </c>
      <c r="F99" s="49" t="s">
        <v>513</v>
      </c>
      <c r="G99" s="48" t="s">
        <v>514</v>
      </c>
      <c r="H99" s="47" t="s">
        <v>53</v>
      </c>
      <c r="I99" s="47" t="s">
        <v>188</v>
      </c>
      <c r="J99" s="50"/>
      <c r="K99" s="50"/>
      <c r="L99" s="47" t="s">
        <v>189</v>
      </c>
      <c r="M99" s="51"/>
      <c r="N99" s="51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</row>
    <row r="100">
      <c r="A100" s="47" t="s">
        <v>515</v>
      </c>
      <c r="B100" s="47" t="s">
        <v>133</v>
      </c>
      <c r="C100" s="55">
        <v>35008.0</v>
      </c>
      <c r="D100" s="48">
        <f t="shared" si="3"/>
        <v>30</v>
      </c>
      <c r="E100" s="48">
        <v>3.14766197E8</v>
      </c>
      <c r="F100" s="49" t="s">
        <v>516</v>
      </c>
      <c r="G100" s="48" t="s">
        <v>517</v>
      </c>
      <c r="H100" s="47" t="s">
        <v>518</v>
      </c>
      <c r="I100" s="47" t="s">
        <v>141</v>
      </c>
      <c r="J100" s="50"/>
      <c r="K100" s="50"/>
      <c r="L100" s="47" t="s">
        <v>197</v>
      </c>
      <c r="M100" s="51"/>
      <c r="N100" s="51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</row>
    <row r="101">
      <c r="A101" s="47" t="s">
        <v>519</v>
      </c>
      <c r="B101" s="47" t="s">
        <v>119</v>
      </c>
      <c r="C101" s="52">
        <v>39075.0</v>
      </c>
      <c r="D101" s="48">
        <f t="shared" si="3"/>
        <v>19</v>
      </c>
      <c r="E101" s="48">
        <v>2.14805137E8</v>
      </c>
      <c r="F101" s="49" t="s">
        <v>520</v>
      </c>
      <c r="G101" s="48" t="s">
        <v>521</v>
      </c>
      <c r="H101" s="47" t="s">
        <v>522</v>
      </c>
      <c r="I101" s="47" t="s">
        <v>141</v>
      </c>
      <c r="J101" s="47"/>
      <c r="K101" s="47"/>
      <c r="L101" s="47" t="s">
        <v>197</v>
      </c>
      <c r="M101" s="51"/>
      <c r="N101" s="51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</row>
    <row r="102">
      <c r="A102" s="47" t="s">
        <v>523</v>
      </c>
      <c r="B102" s="47" t="s">
        <v>133</v>
      </c>
      <c r="C102" s="52">
        <v>38657.0</v>
      </c>
      <c r="D102" s="48">
        <f t="shared" si="3"/>
        <v>20</v>
      </c>
      <c r="E102" s="48" t="s">
        <v>524</v>
      </c>
      <c r="F102" s="49" t="s">
        <v>525</v>
      </c>
      <c r="G102" s="48" t="s">
        <v>526</v>
      </c>
      <c r="H102" s="47" t="s">
        <v>53</v>
      </c>
      <c r="I102" s="47" t="s">
        <v>141</v>
      </c>
      <c r="J102" s="47"/>
      <c r="K102" s="47"/>
      <c r="L102" s="47" t="s">
        <v>197</v>
      </c>
      <c r="M102" s="51"/>
      <c r="N102" s="51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</row>
    <row r="103" hidden="1">
      <c r="A103" s="47" t="s">
        <v>527</v>
      </c>
      <c r="B103" s="47" t="s">
        <v>119</v>
      </c>
      <c r="C103" s="48">
        <v>24.0</v>
      </c>
      <c r="D103" s="48">
        <f t="shared" si="3"/>
        <v>125</v>
      </c>
      <c r="E103" s="48">
        <v>3.2233077E8</v>
      </c>
      <c r="F103" s="48" t="s">
        <v>528</v>
      </c>
      <c r="G103" s="48" t="s">
        <v>529</v>
      </c>
      <c r="H103" s="47" t="s">
        <v>229</v>
      </c>
      <c r="I103" s="47" t="s">
        <v>188</v>
      </c>
      <c r="J103" s="50"/>
      <c r="K103" s="50"/>
      <c r="L103" s="47" t="s">
        <v>189</v>
      </c>
      <c r="M103" s="51"/>
      <c r="N103" s="51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</row>
    <row r="104">
      <c r="A104" s="47" t="s">
        <v>530</v>
      </c>
      <c r="B104" s="47" t="s">
        <v>133</v>
      </c>
      <c r="C104" s="52">
        <v>36261.0</v>
      </c>
      <c r="D104" s="48">
        <f t="shared" si="3"/>
        <v>26</v>
      </c>
      <c r="E104" s="48">
        <v>2.06504706E8</v>
      </c>
      <c r="F104" s="48">
        <v>5.35450555E8</v>
      </c>
      <c r="G104" s="48" t="s">
        <v>531</v>
      </c>
      <c r="H104" s="47" t="s">
        <v>532</v>
      </c>
      <c r="I104" s="47" t="s">
        <v>141</v>
      </c>
      <c r="J104" s="47"/>
      <c r="K104" s="47"/>
      <c r="L104" s="47" t="s">
        <v>197</v>
      </c>
      <c r="M104" s="51"/>
      <c r="N104" s="51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</row>
    <row r="105">
      <c r="A105" s="47" t="s">
        <v>533</v>
      </c>
      <c r="B105" s="47" t="s">
        <v>119</v>
      </c>
      <c r="C105" s="52">
        <v>39602.0</v>
      </c>
      <c r="D105" s="48">
        <f t="shared" si="3"/>
        <v>17</v>
      </c>
      <c r="E105" s="48">
        <v>3.32201359E8</v>
      </c>
      <c r="F105" s="49" t="s">
        <v>534</v>
      </c>
      <c r="G105" s="48" t="s">
        <v>535</v>
      </c>
      <c r="H105" s="47" t="s">
        <v>536</v>
      </c>
      <c r="I105" s="47" t="s">
        <v>194</v>
      </c>
      <c r="J105" s="47" t="s">
        <v>209</v>
      </c>
      <c r="K105" s="47"/>
      <c r="L105" s="47" t="s">
        <v>197</v>
      </c>
      <c r="M105" s="51"/>
      <c r="N105" s="51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</row>
    <row r="106" hidden="1">
      <c r="A106" s="47" t="s">
        <v>537</v>
      </c>
      <c r="B106" s="47" t="s">
        <v>133</v>
      </c>
      <c r="C106" s="52">
        <v>36247.0</v>
      </c>
      <c r="D106" s="48">
        <f t="shared" si="3"/>
        <v>26</v>
      </c>
      <c r="E106" s="48">
        <v>2.08181933E8</v>
      </c>
      <c r="F106" s="49" t="s">
        <v>538</v>
      </c>
      <c r="G106" s="48" t="s">
        <v>539</v>
      </c>
      <c r="H106" s="47" t="s">
        <v>540</v>
      </c>
      <c r="I106" s="47" t="s">
        <v>188</v>
      </c>
      <c r="J106" s="47"/>
      <c r="K106" s="47"/>
      <c r="L106" s="47" t="s">
        <v>189</v>
      </c>
      <c r="M106" s="51"/>
      <c r="N106" s="51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</row>
    <row r="107">
      <c r="A107" s="47" t="s">
        <v>541</v>
      </c>
      <c r="B107" s="47" t="s">
        <v>119</v>
      </c>
      <c r="C107" s="69">
        <v>35873.0</v>
      </c>
      <c r="D107" s="48">
        <f t="shared" si="3"/>
        <v>27</v>
      </c>
      <c r="E107" s="66">
        <v>2.07706789E8</v>
      </c>
      <c r="F107" s="48">
        <v>5.44402908E8</v>
      </c>
      <c r="G107" s="66" t="s">
        <v>542</v>
      </c>
      <c r="H107" s="59" t="s">
        <v>161</v>
      </c>
      <c r="I107" s="47" t="s">
        <v>141</v>
      </c>
      <c r="J107" s="50"/>
      <c r="K107" s="50"/>
      <c r="L107" s="47" t="s">
        <v>197</v>
      </c>
      <c r="M107" s="59"/>
      <c r="N107" s="59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</row>
    <row r="108" hidden="1">
      <c r="A108" s="59" t="s">
        <v>543</v>
      </c>
      <c r="B108" s="47" t="s">
        <v>119</v>
      </c>
      <c r="C108" s="48">
        <v>15.0</v>
      </c>
      <c r="D108" s="48">
        <f t="shared" si="3"/>
        <v>125</v>
      </c>
      <c r="E108" s="48">
        <v>3.32671841E8</v>
      </c>
      <c r="F108" s="49" t="s">
        <v>544</v>
      </c>
      <c r="G108" s="48" t="s">
        <v>545</v>
      </c>
      <c r="H108" s="47" t="s">
        <v>34</v>
      </c>
      <c r="I108" s="47" t="s">
        <v>188</v>
      </c>
      <c r="J108" s="47"/>
      <c r="K108" s="47"/>
      <c r="L108" s="47" t="s">
        <v>189</v>
      </c>
      <c r="M108" s="51"/>
      <c r="N108" s="51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</row>
    <row r="109" hidden="1">
      <c r="A109" s="59" t="s">
        <v>546</v>
      </c>
      <c r="B109" s="47" t="s">
        <v>119</v>
      </c>
      <c r="C109" s="48">
        <v>18.0</v>
      </c>
      <c r="D109" s="48">
        <f t="shared" si="3"/>
        <v>125</v>
      </c>
      <c r="E109" s="48"/>
      <c r="F109" s="49" t="s">
        <v>547</v>
      </c>
      <c r="G109" s="48"/>
      <c r="H109" s="47" t="s">
        <v>130</v>
      </c>
      <c r="I109" s="47" t="s">
        <v>188</v>
      </c>
      <c r="J109" s="47"/>
      <c r="K109" s="50"/>
      <c r="L109" s="47" t="s">
        <v>189</v>
      </c>
      <c r="M109" s="51"/>
      <c r="N109" s="51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</row>
    <row r="110" hidden="1">
      <c r="A110" s="59" t="s">
        <v>548</v>
      </c>
      <c r="B110" s="47" t="s">
        <v>133</v>
      </c>
      <c r="C110" s="48">
        <v>21.0</v>
      </c>
      <c r="D110" s="48">
        <f t="shared" si="3"/>
        <v>125</v>
      </c>
      <c r="E110" s="48">
        <v>3.22903519E8</v>
      </c>
      <c r="F110" s="49" t="s">
        <v>549</v>
      </c>
      <c r="G110" s="48" t="s">
        <v>550</v>
      </c>
      <c r="H110" s="47" t="s">
        <v>551</v>
      </c>
      <c r="I110" s="47" t="s">
        <v>188</v>
      </c>
      <c r="J110" s="47"/>
      <c r="K110" s="47"/>
      <c r="L110" s="47" t="s">
        <v>189</v>
      </c>
      <c r="M110" s="67"/>
      <c r="N110" s="67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</row>
    <row r="111">
      <c r="A111" s="47" t="s">
        <v>552</v>
      </c>
      <c r="B111" s="47" t="s">
        <v>133</v>
      </c>
      <c r="C111" s="52">
        <v>39399.0</v>
      </c>
      <c r="D111" s="48">
        <f t="shared" si="3"/>
        <v>18</v>
      </c>
      <c r="E111" s="48">
        <v>2.17261965E8</v>
      </c>
      <c r="F111" s="49" t="s">
        <v>553</v>
      </c>
      <c r="G111" s="48" t="s">
        <v>554</v>
      </c>
      <c r="H111" s="47" t="s">
        <v>551</v>
      </c>
      <c r="I111" s="47" t="s">
        <v>194</v>
      </c>
      <c r="J111" s="47" t="s">
        <v>209</v>
      </c>
      <c r="K111" s="47"/>
      <c r="L111" s="47" t="s">
        <v>197</v>
      </c>
      <c r="M111" s="51"/>
      <c r="N111" s="51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</row>
    <row r="112" hidden="1">
      <c r="A112" s="59" t="s">
        <v>555</v>
      </c>
      <c r="B112" s="47" t="s">
        <v>119</v>
      </c>
      <c r="C112" s="66">
        <v>30.0</v>
      </c>
      <c r="D112" s="48">
        <f t="shared" si="3"/>
        <v>125</v>
      </c>
      <c r="E112" s="65"/>
      <c r="F112" s="48">
        <v>5.08244699E8</v>
      </c>
      <c r="G112" s="65"/>
      <c r="H112" s="59" t="s">
        <v>556</v>
      </c>
      <c r="I112" s="47" t="s">
        <v>188</v>
      </c>
      <c r="J112" s="50"/>
      <c r="K112" s="50"/>
      <c r="L112" s="47" t="s">
        <v>189</v>
      </c>
      <c r="M112" s="59"/>
      <c r="N112" s="59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</row>
    <row r="113" hidden="1">
      <c r="A113" s="47" t="s">
        <v>557</v>
      </c>
      <c r="B113" s="47" t="s">
        <v>133</v>
      </c>
      <c r="C113" s="52">
        <v>38816.0</v>
      </c>
      <c r="D113" s="48">
        <f t="shared" si="3"/>
        <v>19</v>
      </c>
      <c r="E113" s="48">
        <v>3.29377493E8</v>
      </c>
      <c r="F113" s="49" t="s">
        <v>558</v>
      </c>
      <c r="G113" s="48" t="s">
        <v>559</v>
      </c>
      <c r="H113" s="47" t="s">
        <v>560</v>
      </c>
      <c r="I113" s="47" t="s">
        <v>188</v>
      </c>
      <c r="J113" s="47"/>
      <c r="K113" s="47"/>
      <c r="L113" s="47" t="s">
        <v>189</v>
      </c>
      <c r="M113" s="51"/>
      <c r="N113" s="51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</row>
    <row r="114" hidden="1">
      <c r="A114" s="47" t="s">
        <v>561</v>
      </c>
      <c r="B114" s="47" t="s">
        <v>119</v>
      </c>
      <c r="C114" s="55">
        <v>38378.0</v>
      </c>
      <c r="D114" s="48">
        <f t="shared" si="3"/>
        <v>20</v>
      </c>
      <c r="E114" s="48">
        <v>2.07032145E8</v>
      </c>
      <c r="F114" s="49" t="s">
        <v>562</v>
      </c>
      <c r="G114" s="48" t="s">
        <v>563</v>
      </c>
      <c r="H114" s="47" t="s">
        <v>564</v>
      </c>
      <c r="I114" s="47" t="s">
        <v>188</v>
      </c>
      <c r="J114" s="47"/>
      <c r="K114" s="50"/>
      <c r="L114" s="47" t="s">
        <v>189</v>
      </c>
      <c r="M114" s="51"/>
      <c r="N114" s="51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</row>
    <row r="115">
      <c r="A115" s="47" t="s">
        <v>565</v>
      </c>
      <c r="B115" s="47" t="s">
        <v>119</v>
      </c>
      <c r="C115" s="55">
        <v>39586.0</v>
      </c>
      <c r="D115" s="48">
        <f t="shared" si="3"/>
        <v>17</v>
      </c>
      <c r="E115" s="48">
        <v>2.17431006E8</v>
      </c>
      <c r="F115" s="49" t="s">
        <v>566</v>
      </c>
      <c r="G115" s="48" t="s">
        <v>567</v>
      </c>
      <c r="H115" s="47" t="s">
        <v>568</v>
      </c>
      <c r="I115" s="47" t="s">
        <v>194</v>
      </c>
      <c r="J115" s="47" t="s">
        <v>209</v>
      </c>
      <c r="K115" s="50"/>
      <c r="L115" s="47" t="s">
        <v>197</v>
      </c>
      <c r="M115" s="51"/>
      <c r="N115" s="51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</row>
    <row r="116">
      <c r="A116" s="47" t="s">
        <v>569</v>
      </c>
      <c r="B116" s="47" t="s">
        <v>133</v>
      </c>
      <c r="C116" s="52" t="s">
        <v>570</v>
      </c>
      <c r="D116" s="48">
        <f t="shared" si="3"/>
        <v>24</v>
      </c>
      <c r="E116" s="48" t="s">
        <v>571</v>
      </c>
      <c r="F116" s="48">
        <v>5.28793222E8</v>
      </c>
      <c r="G116" s="48" t="s">
        <v>572</v>
      </c>
      <c r="H116" s="47" t="s">
        <v>53</v>
      </c>
      <c r="I116" s="47" t="s">
        <v>141</v>
      </c>
      <c r="J116" s="47"/>
      <c r="K116" s="47"/>
      <c r="L116" s="47" t="s">
        <v>197</v>
      </c>
      <c r="M116" s="51"/>
      <c r="N116" s="51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</row>
    <row r="117" hidden="1">
      <c r="A117" s="59" t="s">
        <v>573</v>
      </c>
      <c r="B117" s="47" t="s">
        <v>119</v>
      </c>
      <c r="C117" s="48">
        <v>16.5</v>
      </c>
      <c r="D117" s="48">
        <f t="shared" si="3"/>
        <v>125</v>
      </c>
      <c r="E117" s="48">
        <v>2.16348466E8</v>
      </c>
      <c r="F117" s="49" t="s">
        <v>574</v>
      </c>
      <c r="G117" s="48" t="s">
        <v>575</v>
      </c>
      <c r="H117" s="47" t="s">
        <v>576</v>
      </c>
      <c r="I117" s="47" t="s">
        <v>188</v>
      </c>
      <c r="J117" s="47"/>
      <c r="K117" s="50"/>
      <c r="L117" s="47" t="s">
        <v>189</v>
      </c>
      <c r="M117" s="51"/>
      <c r="N117" s="51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</row>
    <row r="118">
      <c r="A118" s="47" t="s">
        <v>577</v>
      </c>
      <c r="B118" s="47" t="s">
        <v>119</v>
      </c>
      <c r="C118" s="55">
        <v>38858.0</v>
      </c>
      <c r="D118" s="48">
        <f t="shared" si="3"/>
        <v>19</v>
      </c>
      <c r="E118" s="48">
        <v>3.29549539E8</v>
      </c>
      <c r="F118" s="48">
        <v>5.47278172E8</v>
      </c>
      <c r="G118" s="48" t="s">
        <v>578</v>
      </c>
      <c r="H118" s="47" t="s">
        <v>579</v>
      </c>
      <c r="I118" s="47" t="s">
        <v>141</v>
      </c>
      <c r="J118" s="47"/>
      <c r="K118" s="47"/>
      <c r="L118" s="47" t="s">
        <v>197</v>
      </c>
      <c r="M118" s="51"/>
      <c r="N118" s="51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</row>
    <row r="119">
      <c r="A119" s="47" t="s">
        <v>580</v>
      </c>
      <c r="B119" s="47" t="s">
        <v>119</v>
      </c>
      <c r="C119" s="55">
        <v>36413.0</v>
      </c>
      <c r="D119" s="48">
        <f t="shared" si="3"/>
        <v>26</v>
      </c>
      <c r="E119" s="48">
        <v>2.07344672E8</v>
      </c>
      <c r="F119" s="49" t="s">
        <v>581</v>
      </c>
      <c r="G119" s="48" t="s">
        <v>582</v>
      </c>
      <c r="H119" s="47" t="s">
        <v>583</v>
      </c>
      <c r="I119" s="47" t="s">
        <v>141</v>
      </c>
      <c r="J119" s="47"/>
      <c r="K119" s="47"/>
      <c r="L119" s="47" t="s">
        <v>197</v>
      </c>
      <c r="M119" s="51"/>
      <c r="N119" s="51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</row>
    <row r="120" hidden="1">
      <c r="A120" s="47" t="s">
        <v>584</v>
      </c>
      <c r="B120" s="48"/>
      <c r="C120" s="55">
        <v>39185.0</v>
      </c>
      <c r="D120" s="48">
        <f t="shared" si="3"/>
        <v>18</v>
      </c>
      <c r="E120" s="48">
        <v>2.16687806E8</v>
      </c>
      <c r="F120" s="49" t="s">
        <v>585</v>
      </c>
      <c r="G120" s="48" t="s">
        <v>586</v>
      </c>
      <c r="H120" s="47" t="s">
        <v>587</v>
      </c>
      <c r="I120" s="47" t="s">
        <v>188</v>
      </c>
      <c r="J120" s="47"/>
      <c r="K120" s="47"/>
      <c r="L120" s="47" t="s">
        <v>189</v>
      </c>
      <c r="M120" s="51"/>
      <c r="N120" s="51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</row>
    <row r="121">
      <c r="A121" s="47" t="s">
        <v>588</v>
      </c>
      <c r="B121" s="47" t="s">
        <v>119</v>
      </c>
      <c r="C121" s="54">
        <v>37601.0</v>
      </c>
      <c r="D121" s="48">
        <f t="shared" si="3"/>
        <v>23</v>
      </c>
      <c r="E121" s="48">
        <v>2.12621387E8</v>
      </c>
      <c r="F121" s="49" t="s">
        <v>589</v>
      </c>
      <c r="G121" s="48"/>
      <c r="H121" s="47" t="s">
        <v>583</v>
      </c>
      <c r="I121" s="47" t="s">
        <v>141</v>
      </c>
      <c r="J121" s="47"/>
      <c r="K121" s="47"/>
      <c r="L121" s="47" t="s">
        <v>197</v>
      </c>
      <c r="M121" s="51"/>
      <c r="N121" s="51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</row>
    <row r="122">
      <c r="A122" s="47" t="s">
        <v>590</v>
      </c>
      <c r="B122" s="47" t="s">
        <v>119</v>
      </c>
      <c r="C122" s="54">
        <v>39048.0</v>
      </c>
      <c r="D122" s="48">
        <f t="shared" si="3"/>
        <v>19</v>
      </c>
      <c r="E122" s="48">
        <v>2.12490395E8</v>
      </c>
      <c r="F122" s="49" t="s">
        <v>591</v>
      </c>
      <c r="G122" s="48" t="s">
        <v>592</v>
      </c>
      <c r="H122" s="47" t="s">
        <v>28</v>
      </c>
      <c r="I122" s="47" t="s">
        <v>141</v>
      </c>
      <c r="J122" s="47"/>
      <c r="K122" s="47"/>
      <c r="L122" s="47" t="s">
        <v>197</v>
      </c>
      <c r="M122" s="51"/>
      <c r="N122" s="51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</row>
    <row r="123" hidden="1">
      <c r="A123" s="47" t="s">
        <v>593</v>
      </c>
      <c r="B123" s="47" t="s">
        <v>119</v>
      </c>
      <c r="C123" s="54">
        <v>40113.0</v>
      </c>
      <c r="D123" s="48">
        <f t="shared" si="3"/>
        <v>16</v>
      </c>
      <c r="E123" s="48">
        <v>2.18789543E8</v>
      </c>
      <c r="F123" s="49" t="s">
        <v>594</v>
      </c>
      <c r="G123" s="48" t="s">
        <v>595</v>
      </c>
      <c r="H123" s="47" t="s">
        <v>596</v>
      </c>
      <c r="I123" s="47" t="s">
        <v>188</v>
      </c>
      <c r="J123" s="47"/>
      <c r="K123" s="50"/>
      <c r="L123" s="47" t="s">
        <v>189</v>
      </c>
      <c r="M123" s="51"/>
      <c r="N123" s="51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</row>
    <row r="124" hidden="1">
      <c r="A124" s="47" t="s">
        <v>597</v>
      </c>
      <c r="B124" s="47" t="s">
        <v>119</v>
      </c>
      <c r="C124" s="55">
        <v>39679.0</v>
      </c>
      <c r="D124" s="48">
        <f t="shared" si="3"/>
        <v>17</v>
      </c>
      <c r="E124" s="48"/>
      <c r="F124" s="48">
        <v>5.48018907E8</v>
      </c>
      <c r="G124" s="48"/>
      <c r="H124" s="47" t="s">
        <v>34</v>
      </c>
      <c r="I124" s="47" t="s">
        <v>188</v>
      </c>
      <c r="J124" s="47"/>
      <c r="K124" s="47"/>
      <c r="L124" s="47" t="s">
        <v>189</v>
      </c>
      <c r="M124" s="51"/>
      <c r="N124" s="51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</row>
    <row r="125">
      <c r="A125" s="47" t="s">
        <v>598</v>
      </c>
      <c r="B125" s="47" t="s">
        <v>119</v>
      </c>
      <c r="C125" s="55">
        <v>39854.0</v>
      </c>
      <c r="D125" s="48">
        <f t="shared" si="3"/>
        <v>16</v>
      </c>
      <c r="E125" s="48">
        <v>3.33307858E8</v>
      </c>
      <c r="F125" s="49" t="s">
        <v>599</v>
      </c>
      <c r="G125" s="48" t="s">
        <v>600</v>
      </c>
      <c r="H125" s="47" t="s">
        <v>53</v>
      </c>
      <c r="I125" s="47" t="s">
        <v>141</v>
      </c>
      <c r="J125" s="50"/>
      <c r="K125" s="50"/>
      <c r="L125" s="47" t="s">
        <v>197</v>
      </c>
      <c r="M125" s="51"/>
      <c r="N125" s="51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</row>
    <row r="126">
      <c r="A126" s="47" t="s">
        <v>601</v>
      </c>
      <c r="B126" s="47" t="s">
        <v>119</v>
      </c>
      <c r="C126" s="55">
        <v>36442.0</v>
      </c>
      <c r="D126" s="48">
        <f t="shared" si="3"/>
        <v>26</v>
      </c>
      <c r="E126" s="48">
        <v>2.07873886E8</v>
      </c>
      <c r="F126" s="49" t="s">
        <v>602</v>
      </c>
      <c r="G126" s="48" t="s">
        <v>293</v>
      </c>
      <c r="H126" s="47" t="s">
        <v>603</v>
      </c>
      <c r="I126" s="47" t="s">
        <v>194</v>
      </c>
      <c r="J126" s="47" t="s">
        <v>218</v>
      </c>
      <c r="K126" s="47"/>
      <c r="L126" s="47" t="s">
        <v>197</v>
      </c>
      <c r="M126" s="51"/>
      <c r="N126" s="51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</row>
    <row r="127" hidden="1">
      <c r="A127" s="47" t="s">
        <v>604</v>
      </c>
      <c r="B127" s="47" t="s">
        <v>119</v>
      </c>
      <c r="C127" s="48">
        <v>17.0</v>
      </c>
      <c r="D127" s="48">
        <f t="shared" si="3"/>
        <v>125</v>
      </c>
      <c r="E127" s="48">
        <v>2.18046498E8</v>
      </c>
      <c r="F127" s="49" t="s">
        <v>605</v>
      </c>
      <c r="G127" s="48" t="s">
        <v>606</v>
      </c>
      <c r="H127" s="47" t="s">
        <v>607</v>
      </c>
      <c r="I127" s="47" t="s">
        <v>188</v>
      </c>
      <c r="J127" s="47"/>
      <c r="K127" s="50"/>
      <c r="L127" s="47" t="s">
        <v>189</v>
      </c>
      <c r="M127" s="51"/>
      <c r="N127" s="51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</row>
    <row r="128" hidden="1">
      <c r="A128" s="47" t="s">
        <v>608</v>
      </c>
      <c r="B128" s="47" t="s">
        <v>133</v>
      </c>
      <c r="C128" s="48">
        <v>20.0</v>
      </c>
      <c r="D128" s="48">
        <f t="shared" si="3"/>
        <v>125</v>
      </c>
      <c r="E128" s="48">
        <v>3.25316941E8</v>
      </c>
      <c r="F128" s="49" t="s">
        <v>609</v>
      </c>
      <c r="G128" s="48" t="s">
        <v>610</v>
      </c>
      <c r="H128" s="47" t="s">
        <v>611</v>
      </c>
      <c r="I128" s="47" t="s">
        <v>188</v>
      </c>
      <c r="J128" s="50"/>
      <c r="K128" s="50"/>
      <c r="L128" s="47" t="s">
        <v>189</v>
      </c>
      <c r="M128" s="51"/>
      <c r="N128" s="51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</row>
    <row r="129" hidden="1">
      <c r="A129" s="59" t="s">
        <v>612</v>
      </c>
      <c r="B129" s="47" t="s">
        <v>119</v>
      </c>
      <c r="C129" s="48">
        <v>17.0</v>
      </c>
      <c r="D129" s="48">
        <f t="shared" si="3"/>
        <v>125</v>
      </c>
      <c r="E129" s="48">
        <v>3.30955907E8</v>
      </c>
      <c r="F129" s="49" t="s">
        <v>613</v>
      </c>
      <c r="G129" s="48" t="s">
        <v>614</v>
      </c>
      <c r="H129" s="47" t="s">
        <v>587</v>
      </c>
      <c r="I129" s="47" t="s">
        <v>188</v>
      </c>
      <c r="J129" s="47"/>
      <c r="K129" s="47"/>
      <c r="L129" s="47" t="s">
        <v>189</v>
      </c>
      <c r="M129" s="51"/>
      <c r="N129" s="51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</row>
    <row r="130" hidden="1">
      <c r="A130" s="47" t="s">
        <v>615</v>
      </c>
      <c r="B130" s="47" t="s">
        <v>119</v>
      </c>
      <c r="C130" s="54">
        <v>37239.0</v>
      </c>
      <c r="D130" s="48">
        <f t="shared" si="3"/>
        <v>24</v>
      </c>
      <c r="E130" s="48">
        <v>2.12074959E8</v>
      </c>
      <c r="F130" s="49" t="s">
        <v>616</v>
      </c>
      <c r="G130" s="48" t="s">
        <v>617</v>
      </c>
      <c r="H130" s="47" t="s">
        <v>618</v>
      </c>
      <c r="I130" s="47" t="s">
        <v>188</v>
      </c>
      <c r="J130" s="50"/>
      <c r="K130" s="50"/>
      <c r="L130" s="47" t="s">
        <v>189</v>
      </c>
      <c r="M130" s="51"/>
      <c r="N130" s="51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</row>
    <row r="131" hidden="1">
      <c r="A131" s="47" t="s">
        <v>619</v>
      </c>
      <c r="B131" s="47" t="s">
        <v>119</v>
      </c>
      <c r="C131" s="55">
        <v>38399.0</v>
      </c>
      <c r="D131" s="48">
        <f t="shared" si="3"/>
        <v>20</v>
      </c>
      <c r="E131" s="48">
        <v>3.28176607E8</v>
      </c>
      <c r="F131" s="49" t="s">
        <v>620</v>
      </c>
      <c r="G131" s="48" t="s">
        <v>621</v>
      </c>
      <c r="H131" s="47" t="s">
        <v>583</v>
      </c>
      <c r="I131" s="47" t="s">
        <v>188</v>
      </c>
      <c r="J131" s="47"/>
      <c r="K131" s="50"/>
      <c r="L131" s="47" t="s">
        <v>189</v>
      </c>
      <c r="M131" s="51"/>
      <c r="N131" s="51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</row>
    <row r="132">
      <c r="A132" s="47" t="s">
        <v>622</v>
      </c>
      <c r="B132" s="47" t="s">
        <v>119</v>
      </c>
      <c r="C132" s="55">
        <v>39347.0</v>
      </c>
      <c r="D132" s="48">
        <f t="shared" si="3"/>
        <v>18</v>
      </c>
      <c r="E132" s="48">
        <v>2.1681732E8</v>
      </c>
      <c r="F132" s="49" t="s">
        <v>623</v>
      </c>
      <c r="G132" s="48" t="s">
        <v>624</v>
      </c>
      <c r="H132" s="47" t="s">
        <v>161</v>
      </c>
      <c r="I132" s="47" t="s">
        <v>141</v>
      </c>
      <c r="J132" s="47"/>
      <c r="K132" s="47"/>
      <c r="L132" s="47" t="s">
        <v>197</v>
      </c>
      <c r="M132" s="51"/>
      <c r="N132" s="51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</row>
    <row r="133">
      <c r="A133" s="47" t="s">
        <v>625</v>
      </c>
      <c r="B133" s="47" t="s">
        <v>119</v>
      </c>
      <c r="C133" s="55">
        <v>38473.0</v>
      </c>
      <c r="D133" s="48">
        <f t="shared" si="3"/>
        <v>20</v>
      </c>
      <c r="E133" s="48">
        <v>3.26580313E8</v>
      </c>
      <c r="F133" s="49" t="s">
        <v>626</v>
      </c>
      <c r="G133" s="48" t="s">
        <v>627</v>
      </c>
      <c r="H133" s="47" t="s">
        <v>628</v>
      </c>
      <c r="I133" s="47" t="s">
        <v>141</v>
      </c>
      <c r="J133" s="50"/>
      <c r="K133" s="50"/>
      <c r="L133" s="47" t="s">
        <v>197</v>
      </c>
      <c r="M133" s="51"/>
      <c r="N133" s="51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</row>
    <row r="134">
      <c r="A134" s="47" t="s">
        <v>629</v>
      </c>
      <c r="B134" s="47" t="s">
        <v>119</v>
      </c>
      <c r="C134" s="69">
        <v>39703.0</v>
      </c>
      <c r="D134" s="48">
        <f t="shared" si="3"/>
        <v>17</v>
      </c>
      <c r="E134" s="66">
        <v>2.18028876E8</v>
      </c>
      <c r="F134" s="49" t="s">
        <v>630</v>
      </c>
      <c r="G134" s="66" t="s">
        <v>631</v>
      </c>
      <c r="H134" s="59" t="s">
        <v>136</v>
      </c>
      <c r="I134" s="47" t="s">
        <v>141</v>
      </c>
      <c r="J134" s="50"/>
      <c r="K134" s="50"/>
      <c r="L134" s="47" t="s">
        <v>197</v>
      </c>
      <c r="M134" s="59"/>
      <c r="N134" s="59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</row>
    <row r="135" hidden="1">
      <c r="A135" s="47" t="s">
        <v>632</v>
      </c>
      <c r="B135" s="47" t="s">
        <v>119</v>
      </c>
      <c r="C135" s="55">
        <v>39223.0</v>
      </c>
      <c r="D135" s="48">
        <f t="shared" si="3"/>
        <v>18</v>
      </c>
      <c r="E135" s="48">
        <v>3.30676594E8</v>
      </c>
      <c r="F135" s="49" t="s">
        <v>633</v>
      </c>
      <c r="G135" s="48" t="s">
        <v>634</v>
      </c>
      <c r="H135" s="47" t="s">
        <v>635</v>
      </c>
      <c r="I135" s="47" t="s">
        <v>188</v>
      </c>
      <c r="J135" s="47"/>
      <c r="K135" s="47"/>
      <c r="L135" s="47" t="s">
        <v>189</v>
      </c>
      <c r="M135" s="51"/>
      <c r="N135" s="51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</row>
    <row r="136" hidden="1">
      <c r="A136" s="59" t="s">
        <v>636</v>
      </c>
      <c r="B136" s="47" t="s">
        <v>133</v>
      </c>
      <c r="C136" s="66">
        <v>19.0</v>
      </c>
      <c r="D136" s="48">
        <f t="shared" si="3"/>
        <v>125</v>
      </c>
      <c r="E136" s="65"/>
      <c r="F136" s="48">
        <v>5.34733685E8</v>
      </c>
      <c r="G136" s="66" t="s">
        <v>637</v>
      </c>
      <c r="H136" s="59" t="s">
        <v>12</v>
      </c>
      <c r="I136" s="47" t="s">
        <v>188</v>
      </c>
      <c r="J136" s="50"/>
      <c r="K136" s="50"/>
      <c r="L136" s="47" t="s">
        <v>189</v>
      </c>
      <c r="M136" s="65"/>
      <c r="N136" s="65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</row>
    <row r="137">
      <c r="A137" s="47" t="s">
        <v>638</v>
      </c>
      <c r="B137" s="47" t="s">
        <v>119</v>
      </c>
      <c r="C137" s="55">
        <v>37725.0</v>
      </c>
      <c r="D137" s="48">
        <f t="shared" si="3"/>
        <v>22</v>
      </c>
      <c r="E137" s="48">
        <v>2.14033482E8</v>
      </c>
      <c r="F137" s="48">
        <v>5.24859882E8</v>
      </c>
      <c r="G137" s="48" t="s">
        <v>639</v>
      </c>
      <c r="H137" s="47" t="s">
        <v>583</v>
      </c>
      <c r="I137" s="47" t="s">
        <v>194</v>
      </c>
      <c r="J137" s="47" t="s">
        <v>218</v>
      </c>
      <c r="K137" s="47"/>
      <c r="L137" s="47" t="s">
        <v>197</v>
      </c>
      <c r="M137" s="67" t="s">
        <v>640</v>
      </c>
      <c r="N137" s="51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</row>
    <row r="138">
      <c r="A138" s="47" t="s">
        <v>641</v>
      </c>
      <c r="B138" s="47" t="s">
        <v>119</v>
      </c>
      <c r="C138" s="55">
        <v>39251.0</v>
      </c>
      <c r="D138" s="48">
        <f t="shared" si="3"/>
        <v>18</v>
      </c>
      <c r="E138" s="48">
        <v>2.16846915E8</v>
      </c>
      <c r="F138" s="49" t="s">
        <v>642</v>
      </c>
      <c r="G138" s="48" t="s">
        <v>643</v>
      </c>
      <c r="H138" s="47" t="s">
        <v>201</v>
      </c>
      <c r="I138" s="47" t="s">
        <v>141</v>
      </c>
      <c r="J138" s="47"/>
      <c r="K138" s="47"/>
      <c r="L138" s="47" t="s">
        <v>197</v>
      </c>
      <c r="M138" s="51"/>
      <c r="N138" s="51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</row>
    <row r="139">
      <c r="A139" s="47" t="s">
        <v>644</v>
      </c>
      <c r="B139" s="47" t="s">
        <v>133</v>
      </c>
      <c r="C139" s="54">
        <v>39044.0</v>
      </c>
      <c r="D139" s="48">
        <f t="shared" si="3"/>
        <v>19</v>
      </c>
      <c r="E139" s="48">
        <v>2.16227033E8</v>
      </c>
      <c r="F139" s="49" t="s">
        <v>645</v>
      </c>
      <c r="G139" s="48" t="s">
        <v>646</v>
      </c>
      <c r="H139" s="47" t="s">
        <v>647</v>
      </c>
      <c r="I139" s="47" t="s">
        <v>141</v>
      </c>
      <c r="J139" s="50"/>
      <c r="K139" s="50"/>
      <c r="L139" s="47" t="s">
        <v>197</v>
      </c>
      <c r="M139" s="51" t="s">
        <v>648</v>
      </c>
      <c r="N139" s="51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</row>
    <row r="140" hidden="1">
      <c r="A140" s="47" t="s">
        <v>649</v>
      </c>
      <c r="B140" s="47" t="s">
        <v>119</v>
      </c>
      <c r="C140" s="52">
        <v>39869.0</v>
      </c>
      <c r="D140" s="48">
        <f t="shared" si="3"/>
        <v>16</v>
      </c>
      <c r="E140" s="48">
        <v>2.18200467E8</v>
      </c>
      <c r="F140" s="49" t="s">
        <v>650</v>
      </c>
      <c r="G140" s="48" t="s">
        <v>651</v>
      </c>
      <c r="H140" s="47" t="s">
        <v>583</v>
      </c>
      <c r="I140" s="47" t="s">
        <v>188</v>
      </c>
      <c r="J140" s="47"/>
      <c r="K140" s="47"/>
      <c r="L140" s="47" t="s">
        <v>189</v>
      </c>
      <c r="M140" s="51"/>
      <c r="N140" s="51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</row>
    <row r="141">
      <c r="A141" s="47" t="s">
        <v>652</v>
      </c>
      <c r="B141" s="47" t="s">
        <v>119</v>
      </c>
      <c r="C141" s="52">
        <v>39463.0</v>
      </c>
      <c r="D141" s="48">
        <f t="shared" si="3"/>
        <v>17</v>
      </c>
      <c r="E141" s="48">
        <v>3.3167104E8</v>
      </c>
      <c r="F141" s="49" t="s">
        <v>653</v>
      </c>
      <c r="G141" s="48" t="s">
        <v>654</v>
      </c>
      <c r="H141" s="47" t="s">
        <v>34</v>
      </c>
      <c r="I141" s="47" t="s">
        <v>194</v>
      </c>
      <c r="J141" s="47" t="s">
        <v>195</v>
      </c>
      <c r="K141" s="47" t="s">
        <v>655</v>
      </c>
      <c r="L141" s="47" t="s">
        <v>197</v>
      </c>
      <c r="M141" s="51"/>
      <c r="N141" s="51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</row>
    <row r="142">
      <c r="A142" s="47" t="s">
        <v>656</v>
      </c>
      <c r="B142" s="47" t="s">
        <v>119</v>
      </c>
      <c r="C142" s="55">
        <v>39875.0</v>
      </c>
      <c r="D142" s="48">
        <f t="shared" si="3"/>
        <v>16</v>
      </c>
      <c r="E142" s="48">
        <v>2.17808922E8</v>
      </c>
      <c r="F142" s="49" t="s">
        <v>657</v>
      </c>
      <c r="G142" s="48" t="s">
        <v>658</v>
      </c>
      <c r="H142" s="47" t="s">
        <v>659</v>
      </c>
      <c r="I142" s="47" t="s">
        <v>141</v>
      </c>
      <c r="J142" s="47"/>
      <c r="K142" s="50"/>
      <c r="L142" s="47" t="s">
        <v>197</v>
      </c>
      <c r="M142" s="51"/>
      <c r="N142" s="51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</row>
    <row r="143">
      <c r="A143" s="47" t="s">
        <v>660</v>
      </c>
      <c r="B143" s="47" t="s">
        <v>133</v>
      </c>
      <c r="C143" s="52">
        <v>36386.0</v>
      </c>
      <c r="D143" s="48">
        <f t="shared" si="3"/>
        <v>26</v>
      </c>
      <c r="E143" s="48">
        <v>3.18831773E8</v>
      </c>
      <c r="F143" s="49" t="s">
        <v>661</v>
      </c>
      <c r="G143" s="48" t="s">
        <v>662</v>
      </c>
      <c r="H143" s="47" t="s">
        <v>12</v>
      </c>
      <c r="I143" s="47" t="s">
        <v>194</v>
      </c>
      <c r="J143" s="47" t="s">
        <v>209</v>
      </c>
      <c r="K143" s="47"/>
      <c r="L143" s="47" t="s">
        <v>663</v>
      </c>
      <c r="M143" s="51"/>
      <c r="N143" s="51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</row>
    <row r="144">
      <c r="A144" s="47" t="s">
        <v>11</v>
      </c>
      <c r="B144" s="47" t="s">
        <v>119</v>
      </c>
      <c r="C144" s="52">
        <v>39731.0</v>
      </c>
      <c r="D144" s="48">
        <f t="shared" si="3"/>
        <v>17</v>
      </c>
      <c r="E144" s="48">
        <v>3.33057446E8</v>
      </c>
      <c r="F144" s="49" t="s">
        <v>664</v>
      </c>
      <c r="G144" s="48" t="s">
        <v>665</v>
      </c>
      <c r="H144" s="47" t="s">
        <v>12</v>
      </c>
      <c r="I144" s="47" t="s">
        <v>194</v>
      </c>
      <c r="J144" s="47" t="s">
        <v>209</v>
      </c>
      <c r="K144" s="47"/>
      <c r="L144" s="47" t="s">
        <v>197</v>
      </c>
      <c r="M144" s="51"/>
      <c r="N144" s="51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</row>
    <row r="145">
      <c r="A145" s="47" t="s">
        <v>666</v>
      </c>
      <c r="B145" s="47" t="s">
        <v>119</v>
      </c>
      <c r="C145" s="55">
        <v>39282.0</v>
      </c>
      <c r="D145" s="48">
        <f t="shared" si="3"/>
        <v>18</v>
      </c>
      <c r="E145" s="48">
        <v>2.17375187E8</v>
      </c>
      <c r="F145" s="49" t="s">
        <v>667</v>
      </c>
      <c r="G145" s="48" t="s">
        <v>668</v>
      </c>
      <c r="H145" s="47" t="s">
        <v>130</v>
      </c>
      <c r="I145" s="47" t="s">
        <v>141</v>
      </c>
      <c r="J145" s="47"/>
      <c r="K145" s="47"/>
      <c r="L145" s="47" t="s">
        <v>197</v>
      </c>
      <c r="M145" s="51"/>
      <c r="N145" s="51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</row>
    <row r="146" hidden="1">
      <c r="A146" s="59" t="s">
        <v>669</v>
      </c>
      <c r="B146" s="47" t="s">
        <v>119</v>
      </c>
      <c r="C146" s="66">
        <v>21.0</v>
      </c>
      <c r="D146" s="48">
        <f t="shared" si="3"/>
        <v>125</v>
      </c>
      <c r="E146" s="65"/>
      <c r="F146" s="48">
        <v>5.07255534E8</v>
      </c>
      <c r="G146" s="72" t="s">
        <v>670</v>
      </c>
      <c r="H146" s="59" t="s">
        <v>161</v>
      </c>
      <c r="I146" s="47" t="s">
        <v>188</v>
      </c>
      <c r="J146" s="50"/>
      <c r="K146" s="50"/>
      <c r="L146" s="47" t="s">
        <v>189</v>
      </c>
      <c r="M146" s="59"/>
      <c r="N146" s="59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</row>
    <row r="147">
      <c r="A147" s="47" t="s">
        <v>671</v>
      </c>
      <c r="B147" s="47" t="s">
        <v>119</v>
      </c>
      <c r="C147" s="48">
        <v>2001.0</v>
      </c>
      <c r="D147" s="48">
        <f>YEAR(TODAY()) - C147</f>
        <v>25</v>
      </c>
      <c r="E147" s="48" t="s">
        <v>372</v>
      </c>
      <c r="F147" s="48">
        <v>5.02925274E8</v>
      </c>
      <c r="G147" s="48" t="s">
        <v>372</v>
      </c>
      <c r="H147" s="48" t="s">
        <v>372</v>
      </c>
      <c r="I147" s="47" t="s">
        <v>141</v>
      </c>
      <c r="J147" s="47"/>
      <c r="K147" s="47"/>
      <c r="L147" s="47" t="s">
        <v>197</v>
      </c>
      <c r="M147" s="51"/>
      <c r="N147" s="51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</row>
    <row r="148">
      <c r="A148" s="47" t="s">
        <v>672</v>
      </c>
      <c r="B148" s="47" t="s">
        <v>119</v>
      </c>
      <c r="C148" s="55">
        <v>39509.0</v>
      </c>
      <c r="D148" s="48">
        <f t="shared" ref="D148:D177" si="4">DATEDIF(C148, TODAY(), "Y")</f>
        <v>17</v>
      </c>
      <c r="E148" s="48">
        <v>3.31557769E8</v>
      </c>
      <c r="F148" s="49" t="s">
        <v>673</v>
      </c>
      <c r="G148" s="48" t="s">
        <v>674</v>
      </c>
      <c r="H148" s="47" t="s">
        <v>201</v>
      </c>
      <c r="I148" s="47" t="s">
        <v>141</v>
      </c>
      <c r="J148" s="50"/>
      <c r="K148" s="50"/>
      <c r="L148" s="47" t="s">
        <v>197</v>
      </c>
      <c r="M148" s="51"/>
      <c r="N148" s="51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</row>
    <row r="149" hidden="1">
      <c r="A149" s="59" t="s">
        <v>675</v>
      </c>
      <c r="B149" s="47" t="s">
        <v>133</v>
      </c>
      <c r="C149" s="48">
        <v>18.0</v>
      </c>
      <c r="D149" s="48">
        <f t="shared" si="4"/>
        <v>125</v>
      </c>
      <c r="E149" s="48">
        <v>2.16487116E8</v>
      </c>
      <c r="F149" s="49" t="s">
        <v>676</v>
      </c>
      <c r="G149" s="48" t="s">
        <v>677</v>
      </c>
      <c r="H149" s="47" t="s">
        <v>678</v>
      </c>
      <c r="I149" s="47" t="s">
        <v>188</v>
      </c>
      <c r="J149" s="47"/>
      <c r="K149" s="47"/>
      <c r="L149" s="47" t="s">
        <v>189</v>
      </c>
      <c r="M149" s="51"/>
      <c r="N149" s="51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</row>
    <row r="150">
      <c r="A150" s="47" t="s">
        <v>679</v>
      </c>
      <c r="B150" s="47" t="s">
        <v>133</v>
      </c>
      <c r="C150" s="55">
        <v>40009.0</v>
      </c>
      <c r="D150" s="48">
        <f t="shared" si="4"/>
        <v>16</v>
      </c>
      <c r="E150" s="48">
        <v>2.18260628E8</v>
      </c>
      <c r="F150" s="49" t="s">
        <v>680</v>
      </c>
      <c r="G150" s="48" t="s">
        <v>681</v>
      </c>
      <c r="H150" s="47" t="s">
        <v>16</v>
      </c>
      <c r="I150" s="47" t="s">
        <v>194</v>
      </c>
      <c r="J150" s="47" t="s">
        <v>209</v>
      </c>
      <c r="K150" s="50"/>
      <c r="L150" s="47" t="s">
        <v>197</v>
      </c>
      <c r="M150" s="51"/>
      <c r="N150" s="51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</row>
    <row r="151">
      <c r="A151" s="51" t="s">
        <v>682</v>
      </c>
      <c r="B151" s="47" t="s">
        <v>119</v>
      </c>
      <c r="C151" s="70">
        <v>38910.0</v>
      </c>
      <c r="D151" s="48">
        <f t="shared" si="4"/>
        <v>19</v>
      </c>
      <c r="E151" s="73">
        <v>3.29464226E8</v>
      </c>
      <c r="F151" s="51">
        <v>5.46547334E8</v>
      </c>
      <c r="G151" s="73" t="s">
        <v>683</v>
      </c>
      <c r="H151" s="51" t="s">
        <v>587</v>
      </c>
      <c r="I151" s="47" t="s">
        <v>141</v>
      </c>
      <c r="J151" s="50"/>
      <c r="K151" s="50"/>
      <c r="L151" s="47" t="s">
        <v>197</v>
      </c>
      <c r="M151" s="51"/>
      <c r="N151" s="51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</row>
    <row r="152" hidden="1">
      <c r="A152" s="59" t="s">
        <v>684</v>
      </c>
      <c r="B152" s="47" t="s">
        <v>119</v>
      </c>
      <c r="C152" s="51">
        <v>20.0</v>
      </c>
      <c r="D152" s="48">
        <f t="shared" si="4"/>
        <v>125</v>
      </c>
      <c r="E152" s="51">
        <v>3.26911245E8</v>
      </c>
      <c r="F152" s="71" t="s">
        <v>685</v>
      </c>
      <c r="G152" s="51" t="s">
        <v>686</v>
      </c>
      <c r="H152" s="51" t="s">
        <v>376</v>
      </c>
      <c r="I152" s="47" t="s">
        <v>188</v>
      </c>
      <c r="J152" s="47"/>
      <c r="K152" s="47"/>
      <c r="L152" s="47" t="s">
        <v>189</v>
      </c>
      <c r="M152" s="51"/>
      <c r="N152" s="51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</row>
    <row r="153">
      <c r="A153" s="47" t="s">
        <v>687</v>
      </c>
      <c r="B153" s="47" t="s">
        <v>119</v>
      </c>
      <c r="C153" s="55">
        <v>37035.0</v>
      </c>
      <c r="D153" s="48">
        <f t="shared" si="4"/>
        <v>24</v>
      </c>
      <c r="E153" s="48">
        <v>3.23083865E8</v>
      </c>
      <c r="F153" s="49" t="s">
        <v>688</v>
      </c>
      <c r="G153" s="48" t="s">
        <v>689</v>
      </c>
      <c r="H153" s="47" t="s">
        <v>201</v>
      </c>
      <c r="I153" s="47" t="s">
        <v>194</v>
      </c>
      <c r="J153" s="47" t="s">
        <v>195</v>
      </c>
      <c r="K153" s="47" t="s">
        <v>397</v>
      </c>
      <c r="L153" s="47" t="s">
        <v>197</v>
      </c>
      <c r="M153" s="67"/>
      <c r="N153" s="67" t="s">
        <v>690</v>
      </c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</row>
    <row r="154">
      <c r="A154" s="47" t="s">
        <v>691</v>
      </c>
      <c r="B154" s="47" t="s">
        <v>119</v>
      </c>
      <c r="C154" s="55">
        <v>38825.0</v>
      </c>
      <c r="D154" s="48">
        <f t="shared" si="4"/>
        <v>19</v>
      </c>
      <c r="E154" s="48">
        <v>3.29452577E8</v>
      </c>
      <c r="F154" s="49" t="s">
        <v>692</v>
      </c>
      <c r="G154" s="48" t="s">
        <v>693</v>
      </c>
      <c r="H154" s="47" t="s">
        <v>694</v>
      </c>
      <c r="I154" s="47" t="s">
        <v>141</v>
      </c>
      <c r="J154" s="50"/>
      <c r="K154" s="50"/>
      <c r="L154" s="47" t="s">
        <v>197</v>
      </c>
      <c r="M154" s="51"/>
      <c r="N154" s="51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</row>
    <row r="155">
      <c r="A155" s="47" t="s">
        <v>695</v>
      </c>
      <c r="B155" s="47" t="s">
        <v>119</v>
      </c>
      <c r="C155" s="55">
        <v>39692.0</v>
      </c>
      <c r="D155" s="48">
        <f t="shared" si="4"/>
        <v>17</v>
      </c>
      <c r="E155" s="48">
        <v>2.18047769E8</v>
      </c>
      <c r="F155" s="49" t="s">
        <v>696</v>
      </c>
      <c r="G155" s="48" t="s">
        <v>697</v>
      </c>
      <c r="H155" s="47" t="s">
        <v>201</v>
      </c>
      <c r="I155" s="47" t="s">
        <v>141</v>
      </c>
      <c r="J155" s="50"/>
      <c r="K155" s="50"/>
      <c r="L155" s="47" t="s">
        <v>197</v>
      </c>
      <c r="M155" s="51"/>
      <c r="N155" s="51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</row>
    <row r="156">
      <c r="A156" s="47" t="s">
        <v>698</v>
      </c>
      <c r="B156" s="47" t="s">
        <v>133</v>
      </c>
      <c r="C156" s="55">
        <v>37651.0</v>
      </c>
      <c r="D156" s="48">
        <f t="shared" si="4"/>
        <v>22</v>
      </c>
      <c r="E156" s="48">
        <v>2.13418098E8</v>
      </c>
      <c r="F156" s="49" t="s">
        <v>699</v>
      </c>
      <c r="G156" s="48" t="s">
        <v>700</v>
      </c>
      <c r="H156" s="47" t="s">
        <v>701</v>
      </c>
      <c r="I156" s="47" t="s">
        <v>141</v>
      </c>
      <c r="J156" s="47"/>
      <c r="K156" s="47"/>
      <c r="L156" s="47" t="s">
        <v>197</v>
      </c>
      <c r="M156" s="51"/>
      <c r="N156" s="51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</row>
    <row r="157">
      <c r="A157" s="47" t="s">
        <v>702</v>
      </c>
      <c r="B157" s="47" t="s">
        <v>119</v>
      </c>
      <c r="C157" s="55">
        <v>39349.0</v>
      </c>
      <c r="D157" s="48">
        <f t="shared" si="4"/>
        <v>18</v>
      </c>
      <c r="E157" s="48">
        <v>2.17398569E8</v>
      </c>
      <c r="F157" s="49" t="s">
        <v>703</v>
      </c>
      <c r="G157" s="48" t="s">
        <v>704</v>
      </c>
      <c r="H157" s="47" t="s">
        <v>705</v>
      </c>
      <c r="I157" s="47" t="s">
        <v>141</v>
      </c>
      <c r="J157" s="47"/>
      <c r="K157" s="47"/>
      <c r="L157" s="47" t="s">
        <v>197</v>
      </c>
      <c r="M157" s="51"/>
      <c r="N157" s="51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</row>
    <row r="158">
      <c r="A158" s="47" t="s">
        <v>15</v>
      </c>
      <c r="B158" s="47" t="s">
        <v>119</v>
      </c>
      <c r="C158" s="55">
        <v>39915.0</v>
      </c>
      <c r="D158" s="48">
        <f t="shared" si="4"/>
        <v>16</v>
      </c>
      <c r="E158" s="48">
        <v>2.17885292E8</v>
      </c>
      <c r="F158" s="49" t="s">
        <v>706</v>
      </c>
      <c r="G158" s="48" t="s">
        <v>707</v>
      </c>
      <c r="H158" s="47" t="s">
        <v>16</v>
      </c>
      <c r="I158" s="47" t="s">
        <v>194</v>
      </c>
      <c r="J158" s="47" t="s">
        <v>209</v>
      </c>
      <c r="K158" s="50"/>
      <c r="L158" s="47" t="s">
        <v>197</v>
      </c>
      <c r="M158" s="51"/>
      <c r="N158" s="51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</row>
    <row r="159">
      <c r="A159" s="47" t="s">
        <v>708</v>
      </c>
      <c r="B159" s="48"/>
      <c r="C159" s="55">
        <v>35666.0</v>
      </c>
      <c r="D159" s="48">
        <f t="shared" si="4"/>
        <v>28</v>
      </c>
      <c r="E159" s="48">
        <v>3.18189461E8</v>
      </c>
      <c r="F159" s="49" t="s">
        <v>709</v>
      </c>
      <c r="G159" s="48" t="s">
        <v>710</v>
      </c>
      <c r="H159" s="47" t="s">
        <v>564</v>
      </c>
      <c r="I159" s="47" t="s">
        <v>141</v>
      </c>
      <c r="J159" s="50"/>
      <c r="K159" s="50"/>
      <c r="L159" s="47" t="s">
        <v>197</v>
      </c>
      <c r="M159" s="51"/>
      <c r="N159" s="51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</row>
    <row r="160">
      <c r="A160" s="47" t="s">
        <v>711</v>
      </c>
      <c r="B160" s="47" t="s">
        <v>119</v>
      </c>
      <c r="C160" s="55">
        <v>39214.0</v>
      </c>
      <c r="D160" s="48">
        <f t="shared" si="4"/>
        <v>18</v>
      </c>
      <c r="E160" s="48">
        <v>2.16700856E8</v>
      </c>
      <c r="F160" s="48">
        <v>5.25668683E8</v>
      </c>
      <c r="G160" s="48" t="s">
        <v>712</v>
      </c>
      <c r="H160" s="47" t="s">
        <v>161</v>
      </c>
      <c r="I160" s="47" t="s">
        <v>194</v>
      </c>
      <c r="J160" s="47" t="s">
        <v>218</v>
      </c>
      <c r="K160" s="47"/>
      <c r="L160" s="47" t="s">
        <v>197</v>
      </c>
      <c r="M160" s="51"/>
      <c r="N160" s="51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</row>
    <row r="161">
      <c r="A161" s="47" t="s">
        <v>713</v>
      </c>
      <c r="B161" s="47" t="s">
        <v>119</v>
      </c>
      <c r="C161" s="55">
        <v>39924.0</v>
      </c>
      <c r="D161" s="48">
        <f t="shared" si="4"/>
        <v>16</v>
      </c>
      <c r="E161" s="48">
        <v>3.33069599E8</v>
      </c>
      <c r="F161" s="49" t="s">
        <v>714</v>
      </c>
      <c r="G161" s="48" t="s">
        <v>715</v>
      </c>
      <c r="H161" s="47" t="s">
        <v>716</v>
      </c>
      <c r="I161" s="47" t="s">
        <v>141</v>
      </c>
      <c r="J161" s="50"/>
      <c r="K161" s="50"/>
      <c r="L161" s="47" t="s">
        <v>197</v>
      </c>
      <c r="M161" s="51"/>
      <c r="N161" s="51"/>
      <c r="O161" s="46"/>
      <c r="P161" s="46"/>
      <c r="Q161" s="46"/>
      <c r="R161" s="46"/>
      <c r="S161" s="53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</row>
    <row r="162" hidden="1">
      <c r="A162" s="47" t="s">
        <v>65</v>
      </c>
      <c r="B162" s="47" t="s">
        <v>119</v>
      </c>
      <c r="C162" s="55">
        <v>39592.0</v>
      </c>
      <c r="D162" s="48">
        <f t="shared" si="4"/>
        <v>17</v>
      </c>
      <c r="E162" s="48">
        <v>3.32016302E8</v>
      </c>
      <c r="F162" s="49" t="s">
        <v>717</v>
      </c>
      <c r="G162" s="48" t="s">
        <v>718</v>
      </c>
      <c r="H162" s="47" t="s">
        <v>16</v>
      </c>
      <c r="I162" s="47" t="s">
        <v>188</v>
      </c>
      <c r="J162" s="47"/>
      <c r="K162" s="50"/>
      <c r="L162" s="47" t="s">
        <v>189</v>
      </c>
      <c r="M162" s="51"/>
      <c r="N162" s="51"/>
      <c r="O162" s="46"/>
      <c r="P162" s="46"/>
      <c r="Q162" s="46"/>
      <c r="R162" s="46"/>
      <c r="S162" s="46"/>
      <c r="T162" s="53"/>
      <c r="U162" s="53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</row>
    <row r="163">
      <c r="A163" s="47" t="s">
        <v>719</v>
      </c>
      <c r="B163" s="47" t="s">
        <v>133</v>
      </c>
      <c r="C163" s="55">
        <v>38456.0</v>
      </c>
      <c r="D163" s="48">
        <f t="shared" si="4"/>
        <v>20</v>
      </c>
      <c r="E163" s="48">
        <v>2.15401829E8</v>
      </c>
      <c r="F163" s="48">
        <v>5.22796718E8</v>
      </c>
      <c r="G163" s="48" t="s">
        <v>720</v>
      </c>
      <c r="H163" s="47" t="s">
        <v>551</v>
      </c>
      <c r="I163" s="47" t="s">
        <v>141</v>
      </c>
      <c r="J163" s="47"/>
      <c r="K163" s="47"/>
      <c r="L163" s="47" t="s">
        <v>197</v>
      </c>
      <c r="M163" s="51"/>
      <c r="N163" s="51"/>
      <c r="O163" s="46"/>
      <c r="P163" s="46"/>
      <c r="Q163" s="46"/>
      <c r="R163" s="46"/>
      <c r="S163" s="53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 hidden="1">
      <c r="A164" s="59" t="s">
        <v>721</v>
      </c>
      <c r="B164" s="47" t="s">
        <v>119</v>
      </c>
      <c r="C164" s="48">
        <v>16.9</v>
      </c>
      <c r="D164" s="48">
        <f t="shared" si="4"/>
        <v>125</v>
      </c>
      <c r="E164" s="48">
        <v>3.31966655E8</v>
      </c>
      <c r="F164" s="49" t="s">
        <v>722</v>
      </c>
      <c r="G164" s="48" t="s">
        <v>723</v>
      </c>
      <c r="H164" s="47" t="s">
        <v>140</v>
      </c>
      <c r="I164" s="47" t="s">
        <v>188</v>
      </c>
      <c r="J164" s="47"/>
      <c r="K164" s="47"/>
      <c r="L164" s="47" t="s">
        <v>189</v>
      </c>
      <c r="M164" s="51"/>
      <c r="N164" s="51"/>
      <c r="O164" s="46"/>
      <c r="P164" s="46"/>
      <c r="Q164" s="46"/>
      <c r="R164" s="46"/>
      <c r="S164" s="53"/>
      <c r="T164" s="53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</row>
    <row r="165">
      <c r="A165" s="47" t="s">
        <v>724</v>
      </c>
      <c r="B165" s="47" t="s">
        <v>119</v>
      </c>
      <c r="C165" s="52">
        <v>37005.0</v>
      </c>
      <c r="D165" s="48">
        <f t="shared" si="4"/>
        <v>24</v>
      </c>
      <c r="E165" s="48">
        <v>2.12156053E8</v>
      </c>
      <c r="F165" s="49" t="s">
        <v>725</v>
      </c>
      <c r="G165" s="48" t="s">
        <v>726</v>
      </c>
      <c r="H165" s="47" t="s">
        <v>140</v>
      </c>
      <c r="I165" s="47" t="s">
        <v>194</v>
      </c>
      <c r="J165" s="47" t="s">
        <v>209</v>
      </c>
      <c r="K165" s="47"/>
      <c r="L165" s="47" t="s">
        <v>197</v>
      </c>
      <c r="M165" s="51"/>
      <c r="N165" s="51"/>
      <c r="O165" s="46"/>
      <c r="P165" s="46"/>
      <c r="Q165" s="46"/>
      <c r="R165" s="46"/>
      <c r="S165" s="46"/>
      <c r="T165" s="53"/>
      <c r="U165" s="53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</row>
    <row r="166">
      <c r="A166" s="47" t="s">
        <v>727</v>
      </c>
      <c r="B166" s="47" t="s">
        <v>119</v>
      </c>
      <c r="C166" s="52">
        <v>39614.0</v>
      </c>
      <c r="D166" s="48">
        <f t="shared" si="4"/>
        <v>17</v>
      </c>
      <c r="E166" s="48">
        <v>2.17697432E8</v>
      </c>
      <c r="F166" s="49" t="s">
        <v>728</v>
      </c>
      <c r="G166" s="48" t="s">
        <v>729</v>
      </c>
      <c r="H166" s="47" t="s">
        <v>730</v>
      </c>
      <c r="I166" s="47" t="s">
        <v>141</v>
      </c>
      <c r="J166" s="47"/>
      <c r="K166" s="47"/>
      <c r="L166" s="47" t="s">
        <v>197</v>
      </c>
      <c r="M166" s="51"/>
      <c r="N166" s="51"/>
      <c r="O166" s="46"/>
      <c r="P166" s="46"/>
      <c r="Q166" s="46"/>
      <c r="R166" s="46"/>
      <c r="S166" s="53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</row>
    <row r="167">
      <c r="A167" s="47" t="s">
        <v>731</v>
      </c>
      <c r="B167" s="47" t="s">
        <v>119</v>
      </c>
      <c r="C167" s="52">
        <v>38658.0</v>
      </c>
      <c r="D167" s="48">
        <f t="shared" si="4"/>
        <v>20</v>
      </c>
      <c r="E167" s="48">
        <v>3.29142665E8</v>
      </c>
      <c r="F167" s="49" t="s">
        <v>732</v>
      </c>
      <c r="G167" s="48" t="s">
        <v>733</v>
      </c>
      <c r="H167" s="47" t="s">
        <v>734</v>
      </c>
      <c r="I167" s="47" t="s">
        <v>194</v>
      </c>
      <c r="J167" s="47" t="s">
        <v>209</v>
      </c>
      <c r="K167" s="47"/>
      <c r="L167" s="47" t="s">
        <v>197</v>
      </c>
      <c r="M167" s="51"/>
      <c r="N167" s="51"/>
      <c r="O167" s="46"/>
      <c r="P167" s="46"/>
      <c r="Q167" s="46"/>
      <c r="R167" s="46"/>
      <c r="S167" s="46"/>
      <c r="T167" s="53"/>
      <c r="U167" s="53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</row>
    <row r="168">
      <c r="A168" s="47" t="s">
        <v>735</v>
      </c>
      <c r="B168" s="47" t="s">
        <v>133</v>
      </c>
      <c r="C168" s="55">
        <v>39664.0</v>
      </c>
      <c r="D168" s="48">
        <f t="shared" si="4"/>
        <v>17</v>
      </c>
      <c r="E168" s="48">
        <v>3.31671685E8</v>
      </c>
      <c r="F168" s="49" t="s">
        <v>736</v>
      </c>
      <c r="G168" s="48" t="s">
        <v>737</v>
      </c>
      <c r="H168" s="47" t="s">
        <v>130</v>
      </c>
      <c r="I168" s="47" t="s">
        <v>141</v>
      </c>
      <c r="J168" s="47"/>
      <c r="K168" s="47"/>
      <c r="L168" s="47" t="s">
        <v>197</v>
      </c>
      <c r="M168" s="51"/>
      <c r="N168" s="51"/>
      <c r="O168" s="46"/>
      <c r="P168" s="46"/>
      <c r="Q168" s="46"/>
      <c r="R168" s="46"/>
      <c r="S168" s="53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</row>
    <row r="169">
      <c r="A169" s="47" t="s">
        <v>738</v>
      </c>
      <c r="B169" s="47" t="s">
        <v>119</v>
      </c>
      <c r="C169" s="52">
        <v>40275.0</v>
      </c>
      <c r="D169" s="48">
        <f t="shared" si="4"/>
        <v>15</v>
      </c>
      <c r="E169" s="48">
        <v>3.34447398E8</v>
      </c>
      <c r="F169" s="49" t="s">
        <v>739</v>
      </c>
      <c r="G169" s="48" t="s">
        <v>740</v>
      </c>
      <c r="H169" s="47" t="s">
        <v>734</v>
      </c>
      <c r="I169" s="47" t="s">
        <v>194</v>
      </c>
      <c r="J169" s="47" t="s">
        <v>209</v>
      </c>
      <c r="K169" s="47"/>
      <c r="L169" s="47" t="s">
        <v>197</v>
      </c>
      <c r="M169" s="51"/>
      <c r="N169" s="51"/>
      <c r="O169" s="46"/>
      <c r="P169" s="46"/>
      <c r="Q169" s="46"/>
      <c r="R169" s="46"/>
      <c r="S169" s="46"/>
      <c r="T169" s="53"/>
      <c r="U169" s="53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</row>
    <row r="170" hidden="1">
      <c r="A170" s="59" t="s">
        <v>741</v>
      </c>
      <c r="B170" s="47" t="s">
        <v>133</v>
      </c>
      <c r="C170" s="48">
        <v>33.0</v>
      </c>
      <c r="D170" s="48">
        <f t="shared" si="4"/>
        <v>125</v>
      </c>
      <c r="E170" s="48">
        <v>2.03423181E8</v>
      </c>
      <c r="F170" s="49" t="s">
        <v>742</v>
      </c>
      <c r="G170" s="48" t="s">
        <v>743</v>
      </c>
      <c r="H170" s="47" t="s">
        <v>156</v>
      </c>
      <c r="I170" s="47" t="s">
        <v>188</v>
      </c>
      <c r="J170" s="47"/>
      <c r="K170" s="47"/>
      <c r="L170" s="47" t="s">
        <v>189</v>
      </c>
      <c r="M170" s="51"/>
      <c r="N170" s="51"/>
      <c r="O170" s="46"/>
      <c r="P170" s="46"/>
      <c r="Q170" s="46"/>
      <c r="R170" s="46"/>
      <c r="S170" s="53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</row>
    <row r="171">
      <c r="A171" s="47" t="s">
        <v>744</v>
      </c>
      <c r="B171" s="47" t="s">
        <v>133</v>
      </c>
      <c r="C171" s="55">
        <v>36673.0</v>
      </c>
      <c r="D171" s="48">
        <f t="shared" si="4"/>
        <v>25</v>
      </c>
      <c r="E171" s="48">
        <v>3.15439117E8</v>
      </c>
      <c r="F171" s="49" t="s">
        <v>745</v>
      </c>
      <c r="G171" s="48" t="s">
        <v>746</v>
      </c>
      <c r="H171" s="47" t="s">
        <v>747</v>
      </c>
      <c r="I171" s="47" t="s">
        <v>194</v>
      </c>
      <c r="J171" s="47" t="s">
        <v>209</v>
      </c>
      <c r="K171" s="50"/>
      <c r="L171" s="47" t="s">
        <v>197</v>
      </c>
      <c r="M171" s="51"/>
      <c r="N171" s="51"/>
      <c r="O171" s="46"/>
      <c r="P171" s="46"/>
      <c r="Q171" s="46"/>
      <c r="R171" s="46"/>
      <c r="S171" s="46"/>
      <c r="T171" s="53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</row>
    <row r="172" hidden="1">
      <c r="A172" s="47" t="s">
        <v>748</v>
      </c>
      <c r="B172" s="47" t="s">
        <v>119</v>
      </c>
      <c r="C172" s="55">
        <v>37406.0</v>
      </c>
      <c r="D172" s="48">
        <f t="shared" si="4"/>
        <v>23</v>
      </c>
      <c r="E172" s="48">
        <v>3.24998327E8</v>
      </c>
      <c r="F172" s="49" t="s">
        <v>749</v>
      </c>
      <c r="G172" s="48" t="s">
        <v>750</v>
      </c>
      <c r="H172" s="47" t="s">
        <v>247</v>
      </c>
      <c r="I172" s="47" t="s">
        <v>188</v>
      </c>
      <c r="J172" s="50"/>
      <c r="K172" s="50"/>
      <c r="L172" s="47" t="s">
        <v>189</v>
      </c>
      <c r="M172" s="51"/>
      <c r="N172" s="51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</row>
    <row r="173">
      <c r="A173" s="51" t="s">
        <v>751</v>
      </c>
      <c r="B173" s="47" t="s">
        <v>119</v>
      </c>
      <c r="C173" s="70">
        <v>39166.0</v>
      </c>
      <c r="D173" s="48">
        <f t="shared" si="4"/>
        <v>18</v>
      </c>
      <c r="E173" s="51">
        <v>3.30956764E8</v>
      </c>
      <c r="F173" s="51">
        <v>5.03334492E8</v>
      </c>
      <c r="G173" s="51" t="s">
        <v>752</v>
      </c>
      <c r="H173" s="51" t="s">
        <v>136</v>
      </c>
      <c r="I173" s="47" t="s">
        <v>141</v>
      </c>
      <c r="J173" s="50"/>
      <c r="K173" s="50"/>
      <c r="L173" s="47" t="s">
        <v>197</v>
      </c>
      <c r="M173" s="51"/>
      <c r="N173" s="51"/>
      <c r="O173" s="46"/>
      <c r="P173" s="46"/>
      <c r="Q173" s="46"/>
      <c r="R173" s="46"/>
      <c r="S173" s="53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</row>
    <row r="174">
      <c r="A174" s="47" t="s">
        <v>753</v>
      </c>
      <c r="B174" s="47" t="s">
        <v>119</v>
      </c>
      <c r="C174" s="55">
        <v>38260.0</v>
      </c>
      <c r="D174" s="48">
        <f t="shared" si="4"/>
        <v>21</v>
      </c>
      <c r="E174" s="48">
        <v>2.14674236E8</v>
      </c>
      <c r="F174" s="49" t="s">
        <v>754</v>
      </c>
      <c r="G174" s="48" t="s">
        <v>755</v>
      </c>
      <c r="H174" s="47" t="s">
        <v>756</v>
      </c>
      <c r="I174" s="47" t="s">
        <v>194</v>
      </c>
      <c r="J174" s="47" t="s">
        <v>209</v>
      </c>
      <c r="K174" s="50"/>
      <c r="L174" s="47" t="s">
        <v>197</v>
      </c>
      <c r="M174" s="51"/>
      <c r="N174" s="51"/>
      <c r="O174" s="46"/>
      <c r="P174" s="46"/>
      <c r="Q174" s="46"/>
      <c r="R174" s="46"/>
      <c r="S174" s="46"/>
      <c r="T174" s="53"/>
      <c r="U174" s="53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</row>
    <row r="175" hidden="1">
      <c r="A175" s="47" t="s">
        <v>757</v>
      </c>
      <c r="B175" s="47" t="s">
        <v>119</v>
      </c>
      <c r="C175" s="48">
        <v>15.0</v>
      </c>
      <c r="D175" s="48">
        <f t="shared" si="4"/>
        <v>125</v>
      </c>
      <c r="E175" s="48">
        <v>3.31179291E8</v>
      </c>
      <c r="F175" s="49" t="s">
        <v>758</v>
      </c>
      <c r="G175" s="48" t="s">
        <v>759</v>
      </c>
      <c r="H175" s="47" t="s">
        <v>122</v>
      </c>
      <c r="I175" s="47" t="s">
        <v>188</v>
      </c>
      <c r="J175" s="50"/>
      <c r="K175" s="50"/>
      <c r="L175" s="47" t="s">
        <v>189</v>
      </c>
      <c r="M175" s="51"/>
      <c r="N175" s="51"/>
      <c r="O175" s="46"/>
      <c r="P175" s="46"/>
      <c r="Q175" s="46"/>
      <c r="R175" s="46"/>
      <c r="S175" s="53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</row>
    <row r="176">
      <c r="A176" s="47" t="s">
        <v>760</v>
      </c>
      <c r="B176" s="47" t="s">
        <v>119</v>
      </c>
      <c r="C176" s="52">
        <v>39544.0</v>
      </c>
      <c r="D176" s="48">
        <f t="shared" si="4"/>
        <v>17</v>
      </c>
      <c r="E176" s="48">
        <v>2.17463389E8</v>
      </c>
      <c r="F176" s="49" t="s">
        <v>761</v>
      </c>
      <c r="G176" s="48" t="s">
        <v>762</v>
      </c>
      <c r="H176" s="47" t="s">
        <v>763</v>
      </c>
      <c r="I176" s="47" t="s">
        <v>194</v>
      </c>
      <c r="J176" s="47" t="s">
        <v>209</v>
      </c>
      <c r="K176" s="47"/>
      <c r="L176" s="47" t="s">
        <v>197</v>
      </c>
      <c r="M176" s="51" t="s">
        <v>764</v>
      </c>
      <c r="N176" s="51"/>
      <c r="O176" s="46"/>
      <c r="P176" s="46"/>
      <c r="Q176" s="46"/>
      <c r="R176" s="46"/>
      <c r="S176" s="53"/>
      <c r="T176" s="53"/>
      <c r="U176" s="53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</row>
    <row r="177" hidden="1">
      <c r="A177" s="47" t="s">
        <v>765</v>
      </c>
      <c r="B177" s="47" t="s">
        <v>119</v>
      </c>
      <c r="C177" s="55">
        <v>39502.0</v>
      </c>
      <c r="D177" s="48">
        <f t="shared" si="4"/>
        <v>17</v>
      </c>
      <c r="E177" s="48">
        <v>3.31231969E8</v>
      </c>
      <c r="F177" s="49" t="s">
        <v>766</v>
      </c>
      <c r="G177" s="48" t="s">
        <v>767</v>
      </c>
      <c r="H177" s="47" t="s">
        <v>768</v>
      </c>
      <c r="I177" s="47" t="s">
        <v>188</v>
      </c>
      <c r="J177" s="47"/>
      <c r="K177" s="50"/>
      <c r="L177" s="47" t="s">
        <v>189</v>
      </c>
      <c r="M177" s="51" t="s">
        <v>769</v>
      </c>
      <c r="N177" s="51"/>
      <c r="O177" s="46"/>
      <c r="P177" s="46"/>
      <c r="Q177" s="46"/>
      <c r="R177" s="46"/>
      <c r="S177" s="46"/>
      <c r="T177" s="53"/>
      <c r="U177" s="53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</row>
    <row r="178">
      <c r="A178" s="47" t="s">
        <v>770</v>
      </c>
      <c r="B178" s="47" t="s">
        <v>119</v>
      </c>
      <c r="C178" s="48">
        <v>1994.0</v>
      </c>
      <c r="D178" s="48">
        <f>YEAR(TODAY()) - C178</f>
        <v>32</v>
      </c>
      <c r="E178" s="48" t="s">
        <v>372</v>
      </c>
      <c r="F178" s="48">
        <v>5.04747257E8</v>
      </c>
      <c r="G178" s="48" t="s">
        <v>372</v>
      </c>
      <c r="H178" s="48" t="s">
        <v>372</v>
      </c>
      <c r="I178" s="47" t="s">
        <v>141</v>
      </c>
      <c r="J178" s="47"/>
      <c r="K178" s="47"/>
      <c r="L178" s="47" t="s">
        <v>197</v>
      </c>
      <c r="M178" s="51"/>
      <c r="N178" s="51"/>
      <c r="O178" s="46"/>
      <c r="P178" s="46"/>
      <c r="Q178" s="46"/>
      <c r="R178" s="46"/>
      <c r="S178" s="53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</row>
    <row r="179" hidden="1">
      <c r="A179" s="59" t="s">
        <v>771</v>
      </c>
      <c r="B179" s="47" t="s">
        <v>133</v>
      </c>
      <c r="C179" s="48">
        <v>21.0</v>
      </c>
      <c r="D179" s="48">
        <f t="shared" ref="D179:D449" si="5">DATEDIF(C179, TODAY(), "Y")</f>
        <v>125</v>
      </c>
      <c r="E179" s="48"/>
      <c r="F179" s="48">
        <v>5.56654238E8</v>
      </c>
      <c r="G179" s="48" t="s">
        <v>772</v>
      </c>
      <c r="H179" s="47" t="s">
        <v>773</v>
      </c>
      <c r="I179" s="47" t="s">
        <v>188</v>
      </c>
      <c r="J179" s="47"/>
      <c r="K179" s="47"/>
      <c r="L179" s="47" t="s">
        <v>189</v>
      </c>
      <c r="M179" s="51"/>
      <c r="N179" s="51"/>
      <c r="O179" s="46"/>
      <c r="P179" s="46"/>
      <c r="Q179" s="46"/>
      <c r="R179" s="46"/>
      <c r="S179" s="53"/>
      <c r="T179" s="53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</row>
    <row r="180">
      <c r="A180" s="47" t="s">
        <v>774</v>
      </c>
      <c r="B180" s="47" t="s">
        <v>119</v>
      </c>
      <c r="C180" s="55">
        <v>37494.0</v>
      </c>
      <c r="D180" s="48">
        <f t="shared" si="5"/>
        <v>23</v>
      </c>
      <c r="E180" s="48">
        <v>2.1272715E8</v>
      </c>
      <c r="F180" s="49" t="s">
        <v>775</v>
      </c>
      <c r="G180" s="48" t="s">
        <v>776</v>
      </c>
      <c r="H180" s="47" t="s">
        <v>252</v>
      </c>
      <c r="I180" s="47" t="s">
        <v>194</v>
      </c>
      <c r="J180" s="47" t="s">
        <v>209</v>
      </c>
      <c r="K180" s="47"/>
      <c r="L180" s="47" t="s">
        <v>197</v>
      </c>
      <c r="M180" s="51"/>
      <c r="N180" s="51"/>
      <c r="O180" s="46"/>
      <c r="P180" s="46"/>
      <c r="Q180" s="46"/>
      <c r="R180" s="46"/>
      <c r="S180" s="46"/>
      <c r="T180" s="53"/>
      <c r="U180" s="53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</row>
    <row r="181" hidden="1">
      <c r="A181" s="59" t="s">
        <v>777</v>
      </c>
      <c r="B181" s="47" t="s">
        <v>119</v>
      </c>
      <c r="C181" s="66">
        <v>17.0</v>
      </c>
      <c r="D181" s="48">
        <f t="shared" si="5"/>
        <v>125</v>
      </c>
      <c r="E181" s="65"/>
      <c r="F181" s="48">
        <v>5.42895272E8</v>
      </c>
      <c r="G181" s="65"/>
      <c r="H181" s="66" t="s">
        <v>28</v>
      </c>
      <c r="I181" s="47" t="s">
        <v>188</v>
      </c>
      <c r="J181" s="47"/>
      <c r="K181" s="47"/>
      <c r="L181" s="47" t="s">
        <v>189</v>
      </c>
      <c r="M181" s="59"/>
      <c r="N181" s="59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</row>
    <row r="182" hidden="1">
      <c r="A182" s="74" t="s">
        <v>778</v>
      </c>
      <c r="B182" s="47" t="s">
        <v>119</v>
      </c>
      <c r="C182" s="51">
        <v>26.0</v>
      </c>
      <c r="D182" s="48">
        <f t="shared" si="5"/>
        <v>125</v>
      </c>
      <c r="E182" s="51">
        <v>2.06964389E8</v>
      </c>
      <c r="F182" s="71" t="s">
        <v>779</v>
      </c>
      <c r="G182" s="51" t="s">
        <v>780</v>
      </c>
      <c r="H182" s="51" t="s">
        <v>781</v>
      </c>
      <c r="I182" s="47" t="s">
        <v>188</v>
      </c>
      <c r="J182" s="47"/>
      <c r="K182" s="47"/>
      <c r="L182" s="47" t="s">
        <v>189</v>
      </c>
      <c r="M182" s="51"/>
      <c r="N182" s="51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</row>
    <row r="183" hidden="1">
      <c r="A183" s="47" t="s">
        <v>782</v>
      </c>
      <c r="B183" s="47" t="s">
        <v>119</v>
      </c>
      <c r="C183" s="48">
        <v>17.0</v>
      </c>
      <c r="D183" s="48">
        <f t="shared" si="5"/>
        <v>125</v>
      </c>
      <c r="E183" s="48">
        <v>3.30849563E8</v>
      </c>
      <c r="F183" s="49" t="s">
        <v>783</v>
      </c>
      <c r="G183" s="48" t="s">
        <v>784</v>
      </c>
      <c r="H183" s="47" t="s">
        <v>201</v>
      </c>
      <c r="I183" s="47" t="s">
        <v>188</v>
      </c>
      <c r="J183" s="50"/>
      <c r="K183" s="50"/>
      <c r="L183" s="47" t="s">
        <v>189</v>
      </c>
      <c r="M183" s="50"/>
      <c r="N183" s="50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</row>
    <row r="184">
      <c r="A184" s="47" t="s">
        <v>785</v>
      </c>
      <c r="B184" s="47" t="s">
        <v>133</v>
      </c>
      <c r="C184" s="52">
        <v>37817.0</v>
      </c>
      <c r="D184" s="48">
        <f t="shared" si="5"/>
        <v>22</v>
      </c>
      <c r="E184" s="48" t="s">
        <v>786</v>
      </c>
      <c r="F184" s="48" t="s">
        <v>787</v>
      </c>
      <c r="G184" s="48" t="s">
        <v>788</v>
      </c>
      <c r="H184" s="47" t="s">
        <v>28</v>
      </c>
      <c r="I184" s="47" t="s">
        <v>141</v>
      </c>
      <c r="J184" s="47"/>
      <c r="K184" s="47"/>
      <c r="L184" s="47" t="s">
        <v>197</v>
      </c>
      <c r="M184" s="51"/>
      <c r="N184" s="51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</row>
    <row r="185">
      <c r="A185" s="47" t="s">
        <v>789</v>
      </c>
      <c r="B185" s="47" t="s">
        <v>133</v>
      </c>
      <c r="C185" s="55">
        <v>39246.0</v>
      </c>
      <c r="D185" s="48">
        <f t="shared" si="5"/>
        <v>18</v>
      </c>
      <c r="E185" s="48">
        <v>2.16845883E8</v>
      </c>
      <c r="F185" s="49" t="s">
        <v>790</v>
      </c>
      <c r="G185" s="48" t="s">
        <v>791</v>
      </c>
      <c r="H185" s="47" t="s">
        <v>130</v>
      </c>
      <c r="I185" s="47" t="s">
        <v>141</v>
      </c>
      <c r="J185" s="50"/>
      <c r="K185" s="50"/>
      <c r="L185" s="47" t="s">
        <v>197</v>
      </c>
      <c r="M185" s="51"/>
      <c r="N185" s="51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</row>
    <row r="186">
      <c r="A186" s="47" t="s">
        <v>792</v>
      </c>
      <c r="B186" s="47" t="s">
        <v>133</v>
      </c>
      <c r="C186" s="52" t="s">
        <v>793</v>
      </c>
      <c r="D186" s="48">
        <f t="shared" si="5"/>
        <v>19</v>
      </c>
      <c r="E186" s="48" t="s">
        <v>794</v>
      </c>
      <c r="F186" s="48">
        <v>5.43953505E8</v>
      </c>
      <c r="G186" s="48" t="s">
        <v>795</v>
      </c>
      <c r="H186" s="47" t="s">
        <v>796</v>
      </c>
      <c r="I186" s="47" t="s">
        <v>141</v>
      </c>
      <c r="J186" s="47"/>
      <c r="K186" s="47"/>
      <c r="L186" s="47" t="s">
        <v>197</v>
      </c>
      <c r="M186" s="51"/>
      <c r="N186" s="51"/>
      <c r="O186" s="46"/>
      <c r="P186" s="46"/>
      <c r="Q186" s="46"/>
      <c r="R186" s="46"/>
      <c r="S186" s="53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</row>
    <row r="187">
      <c r="A187" s="47" t="s">
        <v>797</v>
      </c>
      <c r="B187" s="47" t="s">
        <v>119</v>
      </c>
      <c r="C187" s="52">
        <v>38340.0</v>
      </c>
      <c r="D187" s="48">
        <f t="shared" si="5"/>
        <v>21</v>
      </c>
      <c r="E187" s="48">
        <v>3.27915476E8</v>
      </c>
      <c r="F187" s="49" t="s">
        <v>798</v>
      </c>
      <c r="G187" s="48" t="s">
        <v>799</v>
      </c>
      <c r="H187" s="47" t="s">
        <v>800</v>
      </c>
      <c r="I187" s="47" t="s">
        <v>194</v>
      </c>
      <c r="J187" s="47" t="s">
        <v>218</v>
      </c>
      <c r="K187" s="47"/>
      <c r="L187" s="47" t="s">
        <v>197</v>
      </c>
      <c r="M187" s="51"/>
      <c r="N187" s="51"/>
      <c r="O187" s="46"/>
      <c r="P187" s="46"/>
      <c r="Q187" s="46"/>
      <c r="R187" s="46"/>
      <c r="S187" s="46"/>
      <c r="T187" s="53"/>
      <c r="U187" s="53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</row>
    <row r="188">
      <c r="A188" s="47" t="s">
        <v>801</v>
      </c>
      <c r="B188" s="47" t="s">
        <v>119</v>
      </c>
      <c r="C188" s="55">
        <v>38827.0</v>
      </c>
      <c r="D188" s="48">
        <f t="shared" si="5"/>
        <v>19</v>
      </c>
      <c r="E188" s="48">
        <v>3.29452825E8</v>
      </c>
      <c r="F188" s="48">
        <v>5.32222137E8</v>
      </c>
      <c r="G188" s="48" t="s">
        <v>802</v>
      </c>
      <c r="H188" s="47" t="s">
        <v>803</v>
      </c>
      <c r="I188" s="47" t="s">
        <v>141</v>
      </c>
      <c r="J188" s="47"/>
      <c r="K188" s="47"/>
      <c r="L188" s="47" t="s">
        <v>197</v>
      </c>
      <c r="M188" s="51"/>
      <c r="N188" s="51"/>
      <c r="O188" s="46"/>
      <c r="P188" s="46"/>
      <c r="Q188" s="46"/>
      <c r="R188" s="46"/>
      <c r="S188" s="53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</row>
    <row r="189">
      <c r="A189" s="47" t="s">
        <v>804</v>
      </c>
      <c r="B189" s="47" t="s">
        <v>119</v>
      </c>
      <c r="C189" s="55">
        <v>36976.0</v>
      </c>
      <c r="D189" s="48">
        <f t="shared" si="5"/>
        <v>24</v>
      </c>
      <c r="E189" s="48">
        <v>3.22883836E8</v>
      </c>
      <c r="F189" s="49" t="s">
        <v>805</v>
      </c>
      <c r="G189" s="48" t="s">
        <v>806</v>
      </c>
      <c r="H189" s="47" t="s">
        <v>800</v>
      </c>
      <c r="I189" s="47" t="s">
        <v>141</v>
      </c>
      <c r="J189" s="47"/>
      <c r="K189" s="47"/>
      <c r="L189" s="47" t="s">
        <v>197</v>
      </c>
      <c r="M189" s="51"/>
      <c r="N189" s="51"/>
      <c r="O189" s="46"/>
      <c r="P189" s="46"/>
      <c r="Q189" s="46"/>
      <c r="R189" s="46"/>
      <c r="S189" s="53"/>
      <c r="T189" s="53"/>
      <c r="U189" s="53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</row>
    <row r="190" hidden="1">
      <c r="A190" s="59" t="s">
        <v>807</v>
      </c>
      <c r="B190" s="47" t="s">
        <v>133</v>
      </c>
      <c r="C190" s="48">
        <v>27.0</v>
      </c>
      <c r="D190" s="48">
        <f t="shared" si="5"/>
        <v>125</v>
      </c>
      <c r="E190" s="48">
        <v>3.18393451E8</v>
      </c>
      <c r="F190" s="49" t="s">
        <v>808</v>
      </c>
      <c r="G190" s="48" t="s">
        <v>809</v>
      </c>
      <c r="H190" s="47" t="s">
        <v>800</v>
      </c>
      <c r="I190" s="47" t="s">
        <v>188</v>
      </c>
      <c r="J190" s="47"/>
      <c r="K190" s="47"/>
      <c r="L190" s="47" t="s">
        <v>189</v>
      </c>
      <c r="M190" s="51"/>
      <c r="N190" s="51"/>
      <c r="O190" s="46"/>
      <c r="P190" s="46"/>
      <c r="Q190" s="46"/>
      <c r="R190" s="46"/>
      <c r="S190" s="53"/>
      <c r="T190" s="53"/>
      <c r="U190" s="53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</row>
    <row r="191" hidden="1">
      <c r="A191" s="47" t="s">
        <v>810</v>
      </c>
      <c r="B191" s="47" t="s">
        <v>119</v>
      </c>
      <c r="C191" s="52">
        <v>39205.0</v>
      </c>
      <c r="D191" s="48">
        <f t="shared" si="5"/>
        <v>18</v>
      </c>
      <c r="E191" s="48">
        <v>3.30969072E8</v>
      </c>
      <c r="F191" s="49" t="s">
        <v>811</v>
      </c>
      <c r="G191" s="48" t="s">
        <v>812</v>
      </c>
      <c r="H191" s="47" t="s">
        <v>800</v>
      </c>
      <c r="I191" s="47" t="s">
        <v>188</v>
      </c>
      <c r="J191" s="47"/>
      <c r="K191" s="47"/>
      <c r="L191" s="47" t="s">
        <v>189</v>
      </c>
      <c r="M191" s="51" t="s">
        <v>813</v>
      </c>
      <c r="N191" s="51"/>
      <c r="O191" s="46"/>
      <c r="P191" s="46"/>
      <c r="Q191" s="46"/>
      <c r="R191" s="46"/>
      <c r="S191" s="46"/>
      <c r="T191" s="53"/>
      <c r="U191" s="53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</row>
    <row r="192" hidden="1">
      <c r="A192" s="47" t="s">
        <v>814</v>
      </c>
      <c r="B192" s="47" t="s">
        <v>133</v>
      </c>
      <c r="C192" s="52">
        <v>38333.0</v>
      </c>
      <c r="D192" s="48">
        <f t="shared" si="5"/>
        <v>21</v>
      </c>
      <c r="E192" s="48">
        <v>3.27547253E8</v>
      </c>
      <c r="F192" s="49" t="s">
        <v>815</v>
      </c>
      <c r="G192" s="48" t="s">
        <v>816</v>
      </c>
      <c r="H192" s="47" t="s">
        <v>817</v>
      </c>
      <c r="I192" s="47" t="s">
        <v>188</v>
      </c>
      <c r="J192" s="47"/>
      <c r="K192" s="47"/>
      <c r="L192" s="47" t="s">
        <v>189</v>
      </c>
      <c r="M192" s="51"/>
      <c r="N192" s="51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</row>
    <row r="193">
      <c r="A193" s="47" t="s">
        <v>818</v>
      </c>
      <c r="B193" s="47" t="s">
        <v>119</v>
      </c>
      <c r="C193" s="55">
        <v>38808.0</v>
      </c>
      <c r="D193" s="48">
        <f t="shared" si="5"/>
        <v>19</v>
      </c>
      <c r="E193" s="48">
        <v>3.29396485E8</v>
      </c>
      <c r="F193" s="48">
        <v>5.33328864E8</v>
      </c>
      <c r="G193" s="48" t="s">
        <v>819</v>
      </c>
      <c r="H193" s="47" t="s">
        <v>201</v>
      </c>
      <c r="I193" s="47" t="s">
        <v>141</v>
      </c>
      <c r="J193" s="47"/>
      <c r="K193" s="47"/>
      <c r="L193" s="47" t="s">
        <v>197</v>
      </c>
      <c r="M193" s="51"/>
      <c r="N193" s="51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</row>
    <row r="194" hidden="1">
      <c r="A194" s="59" t="s">
        <v>820</v>
      </c>
      <c r="B194" s="47" t="s">
        <v>119</v>
      </c>
      <c r="C194" s="48">
        <v>27.0</v>
      </c>
      <c r="D194" s="48">
        <f t="shared" si="5"/>
        <v>125</v>
      </c>
      <c r="E194" s="48">
        <v>3.18265477E8</v>
      </c>
      <c r="F194" s="49" t="s">
        <v>821</v>
      </c>
      <c r="G194" s="48" t="s">
        <v>822</v>
      </c>
      <c r="H194" s="47" t="s">
        <v>823</v>
      </c>
      <c r="I194" s="47" t="s">
        <v>188</v>
      </c>
      <c r="J194" s="47"/>
      <c r="K194" s="47"/>
      <c r="L194" s="47" t="s">
        <v>189</v>
      </c>
      <c r="M194" s="47"/>
      <c r="N194" s="47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</row>
    <row r="195">
      <c r="A195" s="47" t="s">
        <v>824</v>
      </c>
      <c r="B195" s="47" t="s">
        <v>133</v>
      </c>
      <c r="C195" s="55">
        <v>37128.0</v>
      </c>
      <c r="D195" s="48">
        <f t="shared" si="5"/>
        <v>24</v>
      </c>
      <c r="E195" s="48">
        <v>3.2380638E8</v>
      </c>
      <c r="F195" s="49" t="s">
        <v>825</v>
      </c>
      <c r="G195" s="48" t="s">
        <v>826</v>
      </c>
      <c r="H195" s="47" t="s">
        <v>583</v>
      </c>
      <c r="I195" s="47" t="s">
        <v>141</v>
      </c>
      <c r="J195" s="50"/>
      <c r="K195" s="50"/>
      <c r="L195" s="47" t="s">
        <v>197</v>
      </c>
      <c r="M195" s="51"/>
      <c r="N195" s="51"/>
      <c r="O195" s="46"/>
      <c r="P195" s="46"/>
      <c r="Q195" s="46"/>
      <c r="R195" s="46"/>
      <c r="S195" s="53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</row>
    <row r="196" hidden="1">
      <c r="A196" s="47" t="s">
        <v>827</v>
      </c>
      <c r="B196" s="47" t="s">
        <v>119</v>
      </c>
      <c r="C196" s="55">
        <v>37326.0</v>
      </c>
      <c r="D196" s="48">
        <f t="shared" si="5"/>
        <v>23</v>
      </c>
      <c r="E196" s="48">
        <v>3.22418351E8</v>
      </c>
      <c r="F196" s="49" t="s">
        <v>828</v>
      </c>
      <c r="G196" s="48" t="s">
        <v>829</v>
      </c>
      <c r="H196" s="47" t="s">
        <v>830</v>
      </c>
      <c r="I196" s="47" t="s">
        <v>188</v>
      </c>
      <c r="J196" s="47"/>
      <c r="K196" s="50"/>
      <c r="L196" s="47" t="s">
        <v>189</v>
      </c>
      <c r="M196" s="51"/>
      <c r="N196" s="51"/>
      <c r="O196" s="46"/>
      <c r="P196" s="46"/>
      <c r="Q196" s="46"/>
      <c r="R196" s="46"/>
      <c r="S196" s="46"/>
      <c r="T196" s="53"/>
      <c r="U196" s="53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</row>
    <row r="197">
      <c r="A197" s="47" t="s">
        <v>831</v>
      </c>
      <c r="B197" s="47" t="s">
        <v>133</v>
      </c>
      <c r="C197" s="69">
        <v>38012.0</v>
      </c>
      <c r="D197" s="48">
        <f t="shared" si="5"/>
        <v>21</v>
      </c>
      <c r="E197" s="66">
        <v>3.25935625E8</v>
      </c>
      <c r="F197" s="48">
        <v>5.48004758E8</v>
      </c>
      <c r="G197" s="66" t="s">
        <v>832</v>
      </c>
      <c r="H197" s="59" t="s">
        <v>201</v>
      </c>
      <c r="I197" s="47" t="s">
        <v>141</v>
      </c>
      <c r="J197" s="50"/>
      <c r="K197" s="50"/>
      <c r="L197" s="47" t="s">
        <v>197</v>
      </c>
      <c r="M197" s="65"/>
      <c r="N197" s="65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</row>
    <row r="198">
      <c r="A198" s="47" t="s">
        <v>833</v>
      </c>
      <c r="B198" s="47" t="s">
        <v>119</v>
      </c>
      <c r="C198" s="54">
        <v>39429.0</v>
      </c>
      <c r="D198" s="48">
        <f t="shared" si="5"/>
        <v>18</v>
      </c>
      <c r="E198" s="48">
        <v>3.3128061E8</v>
      </c>
      <c r="F198" s="49" t="s">
        <v>834</v>
      </c>
      <c r="G198" s="48" t="s">
        <v>835</v>
      </c>
      <c r="H198" s="47" t="s">
        <v>568</v>
      </c>
      <c r="I198" s="47" t="s">
        <v>141</v>
      </c>
      <c r="J198" s="50"/>
      <c r="K198" s="50"/>
      <c r="L198" s="47" t="s">
        <v>197</v>
      </c>
      <c r="M198" s="51"/>
      <c r="N198" s="51"/>
      <c r="O198" s="46"/>
      <c r="P198" s="46"/>
      <c r="Q198" s="46"/>
      <c r="R198" s="46"/>
      <c r="S198" s="53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</row>
    <row r="199" hidden="1">
      <c r="A199" s="59" t="s">
        <v>60</v>
      </c>
      <c r="B199" s="47" t="s">
        <v>133</v>
      </c>
      <c r="C199" s="48">
        <v>19.0</v>
      </c>
      <c r="D199" s="48">
        <f t="shared" si="5"/>
        <v>125</v>
      </c>
      <c r="E199" s="48">
        <v>3.29394787E8</v>
      </c>
      <c r="F199" s="49" t="s">
        <v>836</v>
      </c>
      <c r="G199" s="48" t="s">
        <v>837</v>
      </c>
      <c r="H199" s="47" t="s">
        <v>61</v>
      </c>
      <c r="I199" s="47" t="s">
        <v>188</v>
      </c>
      <c r="J199" s="47"/>
      <c r="K199" s="47"/>
      <c r="L199" s="47" t="s">
        <v>189</v>
      </c>
      <c r="M199" s="51"/>
      <c r="N199" s="51"/>
      <c r="O199" s="46"/>
      <c r="P199" s="46"/>
      <c r="Q199" s="46"/>
      <c r="R199" s="46"/>
      <c r="S199" s="46"/>
      <c r="T199" s="53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</row>
    <row r="200" hidden="1">
      <c r="A200" s="59" t="s">
        <v>838</v>
      </c>
      <c r="B200" s="47" t="s">
        <v>119</v>
      </c>
      <c r="C200" s="48">
        <v>17.0</v>
      </c>
      <c r="D200" s="48">
        <f t="shared" si="5"/>
        <v>125</v>
      </c>
      <c r="E200" s="48">
        <v>2.30305062E8</v>
      </c>
      <c r="F200" s="48">
        <v>5.3382893E8</v>
      </c>
      <c r="G200" s="75" t="s">
        <v>839</v>
      </c>
      <c r="H200" s="47" t="s">
        <v>840</v>
      </c>
      <c r="I200" s="47" t="s">
        <v>188</v>
      </c>
      <c r="J200" s="47"/>
      <c r="K200" s="47"/>
      <c r="L200" s="47" t="s">
        <v>189</v>
      </c>
      <c r="M200" s="51"/>
      <c r="N200" s="51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</row>
    <row r="201">
      <c r="A201" s="47" t="s">
        <v>841</v>
      </c>
      <c r="B201" s="47" t="s">
        <v>119</v>
      </c>
      <c r="C201" s="69">
        <v>39496.0</v>
      </c>
      <c r="D201" s="48">
        <f t="shared" si="5"/>
        <v>17</v>
      </c>
      <c r="E201" s="66">
        <v>3.29619811E8</v>
      </c>
      <c r="F201" s="49" t="s">
        <v>842</v>
      </c>
      <c r="G201" s="66" t="s">
        <v>843</v>
      </c>
      <c r="H201" s="59" t="s">
        <v>34</v>
      </c>
      <c r="I201" s="47" t="s">
        <v>141</v>
      </c>
      <c r="J201" s="50"/>
      <c r="K201" s="50"/>
      <c r="L201" s="47" t="s">
        <v>197</v>
      </c>
      <c r="M201" s="59"/>
      <c r="N201" s="59"/>
      <c r="O201" s="46"/>
      <c r="P201" s="46"/>
      <c r="Q201" s="46"/>
      <c r="R201" s="46"/>
      <c r="S201" s="53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</row>
    <row r="202">
      <c r="A202" s="47" t="s">
        <v>844</v>
      </c>
      <c r="B202" s="47" t="s">
        <v>133</v>
      </c>
      <c r="C202" s="55">
        <v>39283.0</v>
      </c>
      <c r="D202" s="48">
        <f t="shared" si="5"/>
        <v>18</v>
      </c>
      <c r="E202" s="48">
        <v>2.17375617E8</v>
      </c>
      <c r="F202" s="49" t="s">
        <v>845</v>
      </c>
      <c r="G202" s="48" t="s">
        <v>846</v>
      </c>
      <c r="H202" s="47" t="s">
        <v>847</v>
      </c>
      <c r="I202" s="47" t="s">
        <v>194</v>
      </c>
      <c r="J202" s="47" t="s">
        <v>209</v>
      </c>
      <c r="K202" s="50"/>
      <c r="L202" s="47" t="s">
        <v>197</v>
      </c>
      <c r="M202" s="51"/>
      <c r="N202" s="51"/>
      <c r="O202" s="46"/>
      <c r="P202" s="46"/>
      <c r="Q202" s="46"/>
      <c r="R202" s="46"/>
      <c r="S202" s="46"/>
      <c r="T202" s="53"/>
      <c r="U202" s="53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</row>
    <row r="203">
      <c r="A203" s="47" t="s">
        <v>848</v>
      </c>
      <c r="B203" s="47" t="s">
        <v>119</v>
      </c>
      <c r="C203" s="52">
        <v>37412.0</v>
      </c>
      <c r="D203" s="48">
        <f t="shared" si="5"/>
        <v>23</v>
      </c>
      <c r="E203" s="48">
        <v>3.25048239E8</v>
      </c>
      <c r="F203" s="49" t="s">
        <v>849</v>
      </c>
      <c r="G203" s="48" t="s">
        <v>850</v>
      </c>
      <c r="H203" s="47" t="s">
        <v>53</v>
      </c>
      <c r="I203" s="47" t="s">
        <v>141</v>
      </c>
      <c r="J203" s="47"/>
      <c r="K203" s="47"/>
      <c r="L203" s="47" t="s">
        <v>197</v>
      </c>
      <c r="M203" s="51"/>
      <c r="N203" s="51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</row>
    <row r="204">
      <c r="A204" s="47" t="s">
        <v>851</v>
      </c>
      <c r="B204" s="47" t="s">
        <v>119</v>
      </c>
      <c r="C204" s="55">
        <v>39350.0</v>
      </c>
      <c r="D204" s="48">
        <f t="shared" si="5"/>
        <v>18</v>
      </c>
      <c r="E204" s="48">
        <v>3.31067793E8</v>
      </c>
      <c r="F204" s="49" t="s">
        <v>852</v>
      </c>
      <c r="G204" s="48" t="s">
        <v>853</v>
      </c>
      <c r="H204" s="47" t="s">
        <v>854</v>
      </c>
      <c r="I204" s="47" t="s">
        <v>141</v>
      </c>
      <c r="J204" s="47"/>
      <c r="K204" s="47"/>
      <c r="L204" s="47" t="s">
        <v>197</v>
      </c>
      <c r="M204" s="51"/>
      <c r="N204" s="51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</row>
    <row r="205">
      <c r="A205" s="47" t="s">
        <v>855</v>
      </c>
      <c r="B205" s="47" t="s">
        <v>119</v>
      </c>
      <c r="C205" s="55">
        <v>38022.0</v>
      </c>
      <c r="D205" s="48">
        <f t="shared" si="5"/>
        <v>21</v>
      </c>
      <c r="E205" s="48">
        <v>3.25957215E8</v>
      </c>
      <c r="F205" s="49" t="s">
        <v>856</v>
      </c>
      <c r="G205" s="48" t="s">
        <v>857</v>
      </c>
      <c r="H205" s="47" t="s">
        <v>858</v>
      </c>
      <c r="I205" s="47" t="s">
        <v>141</v>
      </c>
      <c r="J205" s="50"/>
      <c r="K205" s="50"/>
      <c r="L205" s="47" t="s">
        <v>197</v>
      </c>
      <c r="M205" s="51"/>
      <c r="N205" s="51"/>
      <c r="O205" s="46"/>
      <c r="P205" s="46"/>
      <c r="Q205" s="46"/>
      <c r="R205" s="46"/>
      <c r="S205" s="53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</row>
    <row r="206">
      <c r="A206" s="47" t="s">
        <v>859</v>
      </c>
      <c r="B206" s="47" t="s">
        <v>119</v>
      </c>
      <c r="C206" s="55">
        <v>39449.0</v>
      </c>
      <c r="D206" s="48">
        <f t="shared" si="5"/>
        <v>18</v>
      </c>
      <c r="E206" s="48">
        <v>3.31645036E8</v>
      </c>
      <c r="F206" s="49" t="s">
        <v>860</v>
      </c>
      <c r="G206" s="48" t="s">
        <v>861</v>
      </c>
      <c r="H206" s="47" t="s">
        <v>201</v>
      </c>
      <c r="I206" s="47" t="s">
        <v>194</v>
      </c>
      <c r="J206" s="47" t="s">
        <v>209</v>
      </c>
      <c r="K206" s="50"/>
      <c r="L206" s="47" t="s">
        <v>197</v>
      </c>
      <c r="M206" s="51"/>
      <c r="N206" s="51"/>
      <c r="O206" s="46"/>
      <c r="P206" s="46"/>
      <c r="Q206" s="46"/>
      <c r="R206" s="46"/>
      <c r="S206" s="53"/>
      <c r="T206" s="53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</row>
    <row r="207" hidden="1">
      <c r="A207" s="47" t="s">
        <v>862</v>
      </c>
      <c r="B207" s="47" t="s">
        <v>133</v>
      </c>
      <c r="C207" s="55">
        <v>39281.0</v>
      </c>
      <c r="D207" s="48">
        <f t="shared" si="5"/>
        <v>18</v>
      </c>
      <c r="E207" s="48">
        <v>2.17394964E8</v>
      </c>
      <c r="F207" s="49" t="s">
        <v>863</v>
      </c>
      <c r="G207" s="48" t="s">
        <v>864</v>
      </c>
      <c r="H207" s="47" t="s">
        <v>201</v>
      </c>
      <c r="I207" s="47" t="s">
        <v>188</v>
      </c>
      <c r="J207" s="47"/>
      <c r="K207" s="50"/>
      <c r="L207" s="47" t="s">
        <v>189</v>
      </c>
      <c r="M207" s="51"/>
      <c r="N207" s="51"/>
      <c r="O207" s="46"/>
      <c r="P207" s="46"/>
      <c r="Q207" s="46"/>
      <c r="R207" s="46"/>
      <c r="S207" s="46"/>
      <c r="T207" s="53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</row>
    <row r="208" hidden="1">
      <c r="A208" s="59" t="s">
        <v>865</v>
      </c>
      <c r="B208" s="47" t="s">
        <v>119</v>
      </c>
      <c r="C208" s="48">
        <v>18.0</v>
      </c>
      <c r="D208" s="48">
        <f t="shared" si="5"/>
        <v>125</v>
      </c>
      <c r="E208" s="48">
        <v>2.16190405E8</v>
      </c>
      <c r="F208" s="49" t="s">
        <v>866</v>
      </c>
      <c r="G208" s="48" t="s">
        <v>867</v>
      </c>
      <c r="H208" s="47" t="s">
        <v>201</v>
      </c>
      <c r="I208" s="47" t="s">
        <v>188</v>
      </c>
      <c r="J208" s="47"/>
      <c r="K208" s="47"/>
      <c r="L208" s="47" t="s">
        <v>189</v>
      </c>
      <c r="M208" s="51"/>
      <c r="N208" s="51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</row>
    <row r="209" hidden="1">
      <c r="A209" s="47" t="s">
        <v>868</v>
      </c>
      <c r="B209" s="47" t="s">
        <v>119</v>
      </c>
      <c r="C209" s="55">
        <v>38760.0</v>
      </c>
      <c r="D209" s="48">
        <f t="shared" si="5"/>
        <v>19</v>
      </c>
      <c r="E209" s="48">
        <v>3.29226773E8</v>
      </c>
      <c r="F209" s="49" t="s">
        <v>869</v>
      </c>
      <c r="G209" s="48" t="s">
        <v>870</v>
      </c>
      <c r="H209" s="47" t="s">
        <v>871</v>
      </c>
      <c r="I209" s="47" t="s">
        <v>188</v>
      </c>
      <c r="J209" s="50"/>
      <c r="K209" s="50"/>
      <c r="L209" s="47" t="s">
        <v>189</v>
      </c>
      <c r="M209" s="50"/>
      <c r="N209" s="50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</row>
    <row r="210" hidden="1">
      <c r="A210" s="47" t="s">
        <v>872</v>
      </c>
      <c r="B210" s="47" t="s">
        <v>119</v>
      </c>
      <c r="C210" s="66">
        <v>17.5</v>
      </c>
      <c r="D210" s="48">
        <f t="shared" si="5"/>
        <v>125</v>
      </c>
      <c r="E210" s="65"/>
      <c r="F210" s="48">
        <v>5.35454341E8</v>
      </c>
      <c r="G210" s="65"/>
      <c r="H210" s="59" t="s">
        <v>53</v>
      </c>
      <c r="I210" s="47" t="s">
        <v>188</v>
      </c>
      <c r="J210" s="50"/>
      <c r="K210" s="50"/>
      <c r="L210" s="47" t="s">
        <v>189</v>
      </c>
      <c r="M210" s="59"/>
      <c r="N210" s="59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</row>
    <row r="211">
      <c r="A211" s="47" t="s">
        <v>873</v>
      </c>
      <c r="B211" s="47" t="s">
        <v>119</v>
      </c>
      <c r="C211" s="52">
        <v>39041.0</v>
      </c>
      <c r="D211" s="48">
        <f t="shared" si="5"/>
        <v>19</v>
      </c>
      <c r="E211" s="48">
        <v>2.16316901E8</v>
      </c>
      <c r="F211" s="48">
        <v>5.46445306E8</v>
      </c>
      <c r="G211" s="48" t="s">
        <v>874</v>
      </c>
      <c r="H211" s="47" t="s">
        <v>53</v>
      </c>
      <c r="I211" s="47" t="s">
        <v>141</v>
      </c>
      <c r="J211" s="47"/>
      <c r="K211" s="47"/>
      <c r="L211" s="47" t="s">
        <v>197</v>
      </c>
      <c r="M211" s="51"/>
      <c r="N211" s="51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</row>
    <row r="212">
      <c r="A212" s="47" t="s">
        <v>875</v>
      </c>
      <c r="B212" s="47" t="s">
        <v>119</v>
      </c>
      <c r="C212" s="54">
        <v>37560.0</v>
      </c>
      <c r="D212" s="48">
        <f t="shared" si="5"/>
        <v>23</v>
      </c>
      <c r="E212" s="48">
        <v>2.13487283E8</v>
      </c>
      <c r="F212" s="49" t="s">
        <v>876</v>
      </c>
      <c r="G212" s="48" t="s">
        <v>877</v>
      </c>
      <c r="H212" s="47" t="s">
        <v>878</v>
      </c>
      <c r="I212" s="47" t="s">
        <v>141</v>
      </c>
      <c r="J212" s="50"/>
      <c r="K212" s="50"/>
      <c r="L212" s="47" t="s">
        <v>197</v>
      </c>
      <c r="M212" s="51"/>
      <c r="N212" s="51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</row>
    <row r="213">
      <c r="A213" s="47" t="s">
        <v>879</v>
      </c>
      <c r="B213" s="47" t="s">
        <v>119</v>
      </c>
      <c r="C213" s="52">
        <v>39152.0</v>
      </c>
      <c r="D213" s="48">
        <f t="shared" si="5"/>
        <v>18</v>
      </c>
      <c r="E213" s="48">
        <v>3.30848805E8</v>
      </c>
      <c r="F213" s="49" t="s">
        <v>880</v>
      </c>
      <c r="G213" s="48" t="s">
        <v>881</v>
      </c>
      <c r="H213" s="47" t="s">
        <v>201</v>
      </c>
      <c r="I213" s="47" t="s">
        <v>141</v>
      </c>
      <c r="J213" s="47"/>
      <c r="K213" s="47"/>
      <c r="L213" s="47" t="s">
        <v>197</v>
      </c>
      <c r="M213" s="51"/>
      <c r="N213" s="51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</row>
    <row r="214">
      <c r="A214" s="47" t="s">
        <v>882</v>
      </c>
      <c r="B214" s="47" t="s">
        <v>133</v>
      </c>
      <c r="C214" s="55">
        <v>38412.0</v>
      </c>
      <c r="D214" s="48">
        <f t="shared" si="5"/>
        <v>20</v>
      </c>
      <c r="E214" s="48">
        <v>3.27559704E8</v>
      </c>
      <c r="F214" s="49" t="s">
        <v>883</v>
      </c>
      <c r="G214" s="48" t="s">
        <v>884</v>
      </c>
      <c r="H214" s="47" t="s">
        <v>136</v>
      </c>
      <c r="I214" s="47" t="s">
        <v>141</v>
      </c>
      <c r="J214" s="47"/>
      <c r="K214" s="47"/>
      <c r="L214" s="47" t="s">
        <v>197</v>
      </c>
      <c r="M214" s="51"/>
      <c r="N214" s="51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</row>
    <row r="215">
      <c r="A215" s="47" t="s">
        <v>885</v>
      </c>
      <c r="B215" s="47" t="s">
        <v>119</v>
      </c>
      <c r="C215" s="52">
        <v>36179.0</v>
      </c>
      <c r="D215" s="48">
        <f t="shared" si="5"/>
        <v>26</v>
      </c>
      <c r="E215" s="48">
        <v>2.07621848E8</v>
      </c>
      <c r="F215" s="49" t="s">
        <v>886</v>
      </c>
      <c r="G215" s="48" t="s">
        <v>887</v>
      </c>
      <c r="H215" s="47" t="s">
        <v>201</v>
      </c>
      <c r="I215" s="47" t="s">
        <v>194</v>
      </c>
      <c r="J215" s="47" t="s">
        <v>209</v>
      </c>
      <c r="K215" s="47"/>
      <c r="L215" s="47" t="s">
        <v>197</v>
      </c>
      <c r="M215" s="51" t="s">
        <v>888</v>
      </c>
      <c r="N215" s="51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</row>
    <row r="216" hidden="1">
      <c r="A216" s="47" t="s">
        <v>889</v>
      </c>
      <c r="B216" s="47" t="s">
        <v>133</v>
      </c>
      <c r="C216" s="55">
        <v>37320.0</v>
      </c>
      <c r="D216" s="48">
        <f t="shared" si="5"/>
        <v>23</v>
      </c>
      <c r="E216" s="48">
        <v>2.1222914E8</v>
      </c>
      <c r="F216" s="49" t="s">
        <v>890</v>
      </c>
      <c r="G216" s="48" t="s">
        <v>891</v>
      </c>
      <c r="H216" s="47" t="s">
        <v>892</v>
      </c>
      <c r="I216" s="47" t="s">
        <v>188</v>
      </c>
      <c r="J216" s="50"/>
      <c r="K216" s="50"/>
      <c r="L216" s="47" t="s">
        <v>189</v>
      </c>
      <c r="M216" s="51"/>
      <c r="N216" s="51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</row>
    <row r="217">
      <c r="A217" s="47" t="s">
        <v>893</v>
      </c>
      <c r="B217" s="47" t="s">
        <v>119</v>
      </c>
      <c r="C217" s="48" t="s">
        <v>894</v>
      </c>
      <c r="D217" s="48">
        <f t="shared" si="5"/>
        <v>22</v>
      </c>
      <c r="E217" s="48" t="s">
        <v>895</v>
      </c>
      <c r="F217" s="48">
        <v>5.42842586E8</v>
      </c>
      <c r="G217" s="48" t="s">
        <v>896</v>
      </c>
      <c r="H217" s="47" t="s">
        <v>763</v>
      </c>
      <c r="I217" s="47" t="s">
        <v>141</v>
      </c>
      <c r="J217" s="47"/>
      <c r="K217" s="50"/>
      <c r="L217" s="47" t="s">
        <v>197</v>
      </c>
      <c r="M217" s="51"/>
      <c r="N217" s="51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</row>
    <row r="218">
      <c r="A218" s="47" t="s">
        <v>897</v>
      </c>
      <c r="B218" s="47" t="s">
        <v>119</v>
      </c>
      <c r="C218" s="55">
        <v>39464.0</v>
      </c>
      <c r="D218" s="48">
        <f t="shared" si="5"/>
        <v>17</v>
      </c>
      <c r="E218" s="48">
        <v>3.31672105E8</v>
      </c>
      <c r="F218" s="48">
        <v>5.429486E8</v>
      </c>
      <c r="G218" s="75" t="s">
        <v>898</v>
      </c>
      <c r="H218" s="47" t="s">
        <v>247</v>
      </c>
      <c r="I218" s="47" t="s">
        <v>141</v>
      </c>
      <c r="J218" s="47"/>
      <c r="K218" s="47"/>
      <c r="L218" s="47" t="s">
        <v>197</v>
      </c>
      <c r="M218" s="51"/>
      <c r="N218" s="51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</row>
    <row r="219" hidden="1">
      <c r="A219" s="59" t="s">
        <v>899</v>
      </c>
      <c r="B219" s="47" t="s">
        <v>119</v>
      </c>
      <c r="C219" s="66">
        <v>18.0</v>
      </c>
      <c r="D219" s="48">
        <f t="shared" si="5"/>
        <v>125</v>
      </c>
      <c r="E219" s="65"/>
      <c r="F219" s="48">
        <v>5.35300431E8</v>
      </c>
      <c r="G219" s="65"/>
      <c r="H219" s="59" t="s">
        <v>900</v>
      </c>
      <c r="I219" s="47" t="s">
        <v>188</v>
      </c>
      <c r="J219" s="47"/>
      <c r="K219" s="47"/>
      <c r="L219" s="47" t="s">
        <v>189</v>
      </c>
      <c r="M219" s="59"/>
      <c r="N219" s="59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</row>
    <row r="220">
      <c r="A220" s="47" t="s">
        <v>901</v>
      </c>
      <c r="B220" s="47" t="s">
        <v>133</v>
      </c>
      <c r="C220" s="52">
        <v>28621.0</v>
      </c>
      <c r="D220" s="48">
        <f t="shared" si="5"/>
        <v>47</v>
      </c>
      <c r="E220" s="49" t="s">
        <v>902</v>
      </c>
      <c r="F220" s="48">
        <v>5.03311881E8</v>
      </c>
      <c r="G220" s="48" t="s">
        <v>903</v>
      </c>
      <c r="H220" s="47" t="s">
        <v>904</v>
      </c>
      <c r="I220" s="47" t="s">
        <v>141</v>
      </c>
      <c r="J220" s="47"/>
      <c r="K220" s="47"/>
      <c r="L220" s="47" t="s">
        <v>197</v>
      </c>
      <c r="M220" s="51"/>
      <c r="N220" s="51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</row>
    <row r="221">
      <c r="A221" s="47" t="s">
        <v>905</v>
      </c>
      <c r="B221" s="47" t="s">
        <v>119</v>
      </c>
      <c r="C221" s="55">
        <v>39658.0</v>
      </c>
      <c r="D221" s="48">
        <f t="shared" si="5"/>
        <v>17</v>
      </c>
      <c r="E221" s="48">
        <v>2.18010205E8</v>
      </c>
      <c r="F221" s="49" t="s">
        <v>906</v>
      </c>
      <c r="G221" s="48" t="s">
        <v>907</v>
      </c>
      <c r="H221" s="47" t="s">
        <v>201</v>
      </c>
      <c r="I221" s="47" t="s">
        <v>141</v>
      </c>
      <c r="J221" s="47"/>
      <c r="K221" s="47"/>
      <c r="L221" s="47" t="s">
        <v>197</v>
      </c>
      <c r="M221" s="51"/>
      <c r="N221" s="51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</row>
    <row r="222" hidden="1">
      <c r="A222" s="59" t="s">
        <v>908</v>
      </c>
      <c r="B222" s="47" t="s">
        <v>119</v>
      </c>
      <c r="C222" s="48">
        <v>17.0</v>
      </c>
      <c r="D222" s="48">
        <f t="shared" si="5"/>
        <v>125</v>
      </c>
      <c r="E222" s="48">
        <v>2.16686337E8</v>
      </c>
      <c r="F222" s="49" t="s">
        <v>909</v>
      </c>
      <c r="G222" s="48" t="s">
        <v>910</v>
      </c>
      <c r="H222" s="47" t="s">
        <v>201</v>
      </c>
      <c r="I222" s="47" t="s">
        <v>188</v>
      </c>
      <c r="J222" s="47"/>
      <c r="K222" s="47"/>
      <c r="L222" s="47" t="s">
        <v>189</v>
      </c>
      <c r="M222" s="51"/>
      <c r="N222" s="51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</row>
    <row r="223">
      <c r="A223" s="47" t="s">
        <v>911</v>
      </c>
      <c r="B223" s="47" t="s">
        <v>119</v>
      </c>
      <c r="C223" s="55">
        <v>36750.0</v>
      </c>
      <c r="D223" s="48">
        <f t="shared" si="5"/>
        <v>25</v>
      </c>
      <c r="E223" s="48"/>
      <c r="F223" s="48">
        <v>5.05751015E8</v>
      </c>
      <c r="G223" s="48" t="s">
        <v>912</v>
      </c>
      <c r="H223" s="47" t="s">
        <v>800</v>
      </c>
      <c r="I223" s="47" t="s">
        <v>194</v>
      </c>
      <c r="J223" s="47" t="s">
        <v>218</v>
      </c>
      <c r="K223" s="47"/>
      <c r="L223" s="47" t="s">
        <v>197</v>
      </c>
      <c r="M223" s="51"/>
      <c r="N223" s="51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</row>
    <row r="224">
      <c r="A224" s="47" t="s">
        <v>913</v>
      </c>
      <c r="B224" s="47" t="s">
        <v>133</v>
      </c>
      <c r="C224" s="55">
        <v>37466.0</v>
      </c>
      <c r="D224" s="48">
        <f t="shared" si="5"/>
        <v>23</v>
      </c>
      <c r="E224" s="48">
        <v>2.13098999E8</v>
      </c>
      <c r="F224" s="49" t="s">
        <v>914</v>
      </c>
      <c r="G224" s="48" t="s">
        <v>915</v>
      </c>
      <c r="H224" s="47" t="s">
        <v>916</v>
      </c>
      <c r="I224" s="47" t="s">
        <v>141</v>
      </c>
      <c r="J224" s="50"/>
      <c r="K224" s="50"/>
      <c r="L224" s="47" t="s">
        <v>197</v>
      </c>
      <c r="M224" s="51"/>
      <c r="N224" s="51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</row>
    <row r="225" hidden="1">
      <c r="A225" s="59" t="s">
        <v>917</v>
      </c>
      <c r="B225" s="47" t="s">
        <v>119</v>
      </c>
      <c r="C225" s="48">
        <v>26.0</v>
      </c>
      <c r="D225" s="48">
        <f t="shared" si="5"/>
        <v>125</v>
      </c>
      <c r="E225" s="48"/>
      <c r="F225" s="49" t="s">
        <v>918</v>
      </c>
      <c r="G225" s="48" t="s">
        <v>919</v>
      </c>
      <c r="H225" s="47" t="s">
        <v>168</v>
      </c>
      <c r="I225" s="47" t="s">
        <v>188</v>
      </c>
      <c r="J225" s="47"/>
      <c r="K225" s="47"/>
      <c r="L225" s="47" t="s">
        <v>189</v>
      </c>
      <c r="M225" s="51"/>
      <c r="N225" s="51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</row>
    <row r="226" hidden="1">
      <c r="A226" s="59" t="s">
        <v>920</v>
      </c>
      <c r="B226" s="47" t="s">
        <v>119</v>
      </c>
      <c r="C226" s="66">
        <v>23.0</v>
      </c>
      <c r="D226" s="48">
        <f t="shared" si="5"/>
        <v>125</v>
      </c>
      <c r="E226" s="65"/>
      <c r="F226" s="48">
        <v>5.33387037E8</v>
      </c>
      <c r="G226" s="59"/>
      <c r="H226" s="59" t="s">
        <v>201</v>
      </c>
      <c r="I226" s="47" t="s">
        <v>188</v>
      </c>
      <c r="J226" s="47"/>
      <c r="K226" s="47"/>
      <c r="L226" s="47" t="s">
        <v>189</v>
      </c>
      <c r="M226" s="59"/>
      <c r="N226" s="59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</row>
    <row r="227" hidden="1">
      <c r="A227" s="47" t="s">
        <v>921</v>
      </c>
      <c r="B227" s="47" t="s">
        <v>119</v>
      </c>
      <c r="C227" s="52">
        <v>39524.0</v>
      </c>
      <c r="D227" s="48">
        <f t="shared" si="5"/>
        <v>17</v>
      </c>
      <c r="E227" s="48">
        <v>3.3155709E8</v>
      </c>
      <c r="F227" s="49" t="s">
        <v>922</v>
      </c>
      <c r="G227" s="48" t="s">
        <v>923</v>
      </c>
      <c r="H227" s="47" t="s">
        <v>136</v>
      </c>
      <c r="I227" s="47" t="s">
        <v>188</v>
      </c>
      <c r="J227" s="47"/>
      <c r="K227" s="47"/>
      <c r="L227" s="47" t="s">
        <v>189</v>
      </c>
      <c r="M227" s="51"/>
      <c r="N227" s="51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</row>
    <row r="228">
      <c r="A228" s="47" t="s">
        <v>32</v>
      </c>
      <c r="B228" s="47" t="s">
        <v>119</v>
      </c>
      <c r="C228" s="52">
        <v>39836.0</v>
      </c>
      <c r="D228" s="48">
        <f t="shared" si="5"/>
        <v>16</v>
      </c>
      <c r="E228" s="48">
        <v>2.18298719E8</v>
      </c>
      <c r="F228" s="49" t="s">
        <v>924</v>
      </c>
      <c r="G228" s="48" t="s">
        <v>925</v>
      </c>
      <c r="H228" s="47" t="s">
        <v>201</v>
      </c>
      <c r="I228" s="47" t="s">
        <v>194</v>
      </c>
      <c r="J228" s="47" t="s">
        <v>209</v>
      </c>
      <c r="K228" s="47"/>
      <c r="L228" s="47" t="s">
        <v>197</v>
      </c>
      <c r="M228" s="51"/>
      <c r="N228" s="51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</row>
    <row r="229" hidden="1">
      <c r="A229" s="59" t="s">
        <v>926</v>
      </c>
      <c r="B229" s="47" t="s">
        <v>119</v>
      </c>
      <c r="C229" s="66">
        <v>25.0</v>
      </c>
      <c r="D229" s="48">
        <f t="shared" si="5"/>
        <v>125</v>
      </c>
      <c r="E229" s="65">
        <v>2.0745805E8</v>
      </c>
      <c r="F229" s="49" t="s">
        <v>927</v>
      </c>
      <c r="G229" s="65" t="s">
        <v>928</v>
      </c>
      <c r="H229" s="59" t="s">
        <v>242</v>
      </c>
      <c r="I229" s="47" t="s">
        <v>188</v>
      </c>
      <c r="J229" s="50"/>
      <c r="K229" s="50"/>
      <c r="L229" s="47" t="s">
        <v>189</v>
      </c>
      <c r="M229" s="59"/>
      <c r="N229" s="59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</row>
    <row r="230">
      <c r="A230" s="47" t="s">
        <v>929</v>
      </c>
      <c r="B230" s="47" t="s">
        <v>119</v>
      </c>
      <c r="C230" s="52">
        <v>40097.0</v>
      </c>
      <c r="D230" s="48">
        <f t="shared" si="5"/>
        <v>16</v>
      </c>
      <c r="E230" s="48">
        <v>2.18851228E8</v>
      </c>
      <c r="F230" s="49" t="s">
        <v>930</v>
      </c>
      <c r="G230" s="48" t="s">
        <v>931</v>
      </c>
      <c r="H230" s="47" t="s">
        <v>201</v>
      </c>
      <c r="I230" s="47" t="s">
        <v>194</v>
      </c>
      <c r="J230" s="47" t="s">
        <v>209</v>
      </c>
      <c r="K230" s="47"/>
      <c r="L230" s="47" t="s">
        <v>197</v>
      </c>
      <c r="M230" s="51"/>
      <c r="N230" s="51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</row>
    <row r="231">
      <c r="A231" s="47" t="s">
        <v>932</v>
      </c>
      <c r="B231" s="47" t="s">
        <v>119</v>
      </c>
      <c r="C231" s="52">
        <v>40419.0</v>
      </c>
      <c r="D231" s="48">
        <f t="shared" si="5"/>
        <v>15</v>
      </c>
      <c r="E231" s="48" t="s">
        <v>933</v>
      </c>
      <c r="F231" s="49" t="s">
        <v>934</v>
      </c>
      <c r="G231" s="48" t="s">
        <v>935</v>
      </c>
      <c r="H231" s="47" t="s">
        <v>201</v>
      </c>
      <c r="I231" s="47" t="s">
        <v>194</v>
      </c>
      <c r="J231" s="47" t="s">
        <v>209</v>
      </c>
      <c r="K231" s="47"/>
      <c r="L231" s="47" t="s">
        <v>197</v>
      </c>
      <c r="M231" s="51"/>
      <c r="N231" s="51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</row>
    <row r="232" hidden="1">
      <c r="A232" s="59" t="s">
        <v>936</v>
      </c>
      <c r="B232" s="47" t="s">
        <v>119</v>
      </c>
      <c r="C232" s="48">
        <v>22.0</v>
      </c>
      <c r="D232" s="48">
        <f t="shared" si="5"/>
        <v>125</v>
      </c>
      <c r="E232" s="48">
        <v>3.25320273E8</v>
      </c>
      <c r="F232" s="49" t="s">
        <v>937</v>
      </c>
      <c r="G232" s="48" t="s">
        <v>938</v>
      </c>
      <c r="H232" s="47" t="s">
        <v>247</v>
      </c>
      <c r="I232" s="47" t="s">
        <v>188</v>
      </c>
      <c r="J232" s="47"/>
      <c r="K232" s="47"/>
      <c r="L232" s="47" t="s">
        <v>189</v>
      </c>
      <c r="M232" s="51"/>
      <c r="N232" s="51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</row>
    <row r="233">
      <c r="A233" s="47" t="s">
        <v>939</v>
      </c>
      <c r="B233" s="47" t="s">
        <v>119</v>
      </c>
      <c r="C233" s="55">
        <v>37815.0</v>
      </c>
      <c r="D233" s="48">
        <f t="shared" si="5"/>
        <v>22</v>
      </c>
      <c r="E233" s="48">
        <v>2.14183766E8</v>
      </c>
      <c r="F233" s="49" t="s">
        <v>940</v>
      </c>
      <c r="G233" s="48" t="s">
        <v>941</v>
      </c>
      <c r="H233" s="47" t="s">
        <v>34</v>
      </c>
      <c r="I233" s="47" t="s">
        <v>141</v>
      </c>
      <c r="J233" s="47"/>
      <c r="K233" s="47"/>
      <c r="L233" s="47" t="s">
        <v>197</v>
      </c>
      <c r="M233" s="51"/>
      <c r="N233" s="51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</row>
    <row r="234">
      <c r="A234" s="47" t="s">
        <v>942</v>
      </c>
      <c r="B234" s="47" t="s">
        <v>133</v>
      </c>
      <c r="C234" s="52">
        <v>37096.0</v>
      </c>
      <c r="D234" s="48">
        <f t="shared" si="5"/>
        <v>24</v>
      </c>
      <c r="E234" s="48">
        <v>3.22995846E8</v>
      </c>
      <c r="F234" s="49" t="s">
        <v>943</v>
      </c>
      <c r="G234" s="48" t="s">
        <v>944</v>
      </c>
      <c r="H234" s="47" t="s">
        <v>201</v>
      </c>
      <c r="I234" s="47" t="s">
        <v>194</v>
      </c>
      <c r="J234" s="47" t="s">
        <v>209</v>
      </c>
      <c r="K234" s="47"/>
      <c r="L234" s="47" t="s">
        <v>197</v>
      </c>
      <c r="M234" s="51"/>
      <c r="N234" s="51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</row>
    <row r="235">
      <c r="A235" s="47" t="s">
        <v>945</v>
      </c>
      <c r="B235" s="47" t="s">
        <v>119</v>
      </c>
      <c r="C235" s="52">
        <v>38565.0</v>
      </c>
      <c r="D235" s="48">
        <f t="shared" si="5"/>
        <v>20</v>
      </c>
      <c r="E235" s="48">
        <v>2.14570376E8</v>
      </c>
      <c r="F235" s="48">
        <v>5.34290969E8</v>
      </c>
      <c r="G235" s="48" t="s">
        <v>946</v>
      </c>
      <c r="H235" s="47" t="s">
        <v>201</v>
      </c>
      <c r="I235" s="47" t="s">
        <v>141</v>
      </c>
      <c r="J235" s="47"/>
      <c r="K235" s="47"/>
      <c r="L235" s="47" t="s">
        <v>197</v>
      </c>
      <c r="M235" s="51"/>
      <c r="N235" s="51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</row>
    <row r="236">
      <c r="A236" s="47" t="s">
        <v>947</v>
      </c>
      <c r="B236" s="47" t="s">
        <v>119</v>
      </c>
      <c r="C236" s="69">
        <v>39331.0</v>
      </c>
      <c r="D236" s="48">
        <f t="shared" si="5"/>
        <v>18</v>
      </c>
      <c r="E236" s="65">
        <v>3.17806248E8</v>
      </c>
      <c r="F236" s="49" t="s">
        <v>948</v>
      </c>
      <c r="G236" s="65" t="s">
        <v>949</v>
      </c>
      <c r="H236" s="59" t="s">
        <v>201</v>
      </c>
      <c r="I236" s="47" t="s">
        <v>141</v>
      </c>
      <c r="J236" s="50"/>
      <c r="K236" s="50"/>
      <c r="L236" s="47" t="s">
        <v>197</v>
      </c>
      <c r="M236" s="59"/>
      <c r="N236" s="59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</row>
    <row r="237">
      <c r="A237" s="47" t="s">
        <v>950</v>
      </c>
      <c r="B237" s="47" t="s">
        <v>119</v>
      </c>
      <c r="C237" s="55">
        <v>39312.0</v>
      </c>
      <c r="D237" s="48">
        <f t="shared" si="5"/>
        <v>18</v>
      </c>
      <c r="E237" s="48">
        <v>3.31665893E8</v>
      </c>
      <c r="F237" s="49" t="s">
        <v>951</v>
      </c>
      <c r="G237" s="48" t="s">
        <v>952</v>
      </c>
      <c r="H237" s="47" t="s">
        <v>130</v>
      </c>
      <c r="I237" s="47" t="s">
        <v>141</v>
      </c>
      <c r="J237" s="47"/>
      <c r="K237" s="47"/>
      <c r="L237" s="47" t="s">
        <v>197</v>
      </c>
      <c r="M237" s="51"/>
      <c r="N237" s="51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</row>
    <row r="238" hidden="1">
      <c r="A238" s="59" t="s">
        <v>953</v>
      </c>
      <c r="B238" s="47" t="s">
        <v>133</v>
      </c>
      <c r="C238" s="48">
        <v>18.0</v>
      </c>
      <c r="D238" s="48">
        <f t="shared" si="5"/>
        <v>125</v>
      </c>
      <c r="E238" s="48">
        <v>2.1636669E8</v>
      </c>
      <c r="F238" s="49" t="s">
        <v>954</v>
      </c>
      <c r="G238" s="48" t="s">
        <v>955</v>
      </c>
      <c r="H238" s="47" t="s">
        <v>956</v>
      </c>
      <c r="I238" s="47" t="s">
        <v>188</v>
      </c>
      <c r="J238" s="47"/>
      <c r="K238" s="47"/>
      <c r="L238" s="47" t="s">
        <v>189</v>
      </c>
      <c r="M238" s="51"/>
      <c r="N238" s="51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</row>
    <row r="239">
      <c r="A239" s="47" t="s">
        <v>957</v>
      </c>
      <c r="B239" s="47" t="s">
        <v>119</v>
      </c>
      <c r="C239" s="70">
        <v>39673.0</v>
      </c>
      <c r="D239" s="48">
        <f t="shared" si="5"/>
        <v>17</v>
      </c>
      <c r="E239" s="51">
        <v>2.18045243E8</v>
      </c>
      <c r="F239" s="71" t="s">
        <v>958</v>
      </c>
      <c r="G239" s="51" t="s">
        <v>959</v>
      </c>
      <c r="H239" s="51" t="s">
        <v>148</v>
      </c>
      <c r="I239" s="47" t="s">
        <v>141</v>
      </c>
      <c r="J239" s="50"/>
      <c r="K239" s="50"/>
      <c r="L239" s="47" t="s">
        <v>197</v>
      </c>
      <c r="M239" s="51"/>
      <c r="N239" s="51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</row>
    <row r="240" hidden="1">
      <c r="A240" s="47" t="s">
        <v>960</v>
      </c>
      <c r="B240" s="47" t="s">
        <v>133</v>
      </c>
      <c r="C240" s="55">
        <v>39108.0</v>
      </c>
      <c r="D240" s="48">
        <f t="shared" si="5"/>
        <v>18</v>
      </c>
      <c r="E240" s="48">
        <v>3.30802117E8</v>
      </c>
      <c r="F240" s="49" t="s">
        <v>961</v>
      </c>
      <c r="G240" s="48" t="s">
        <v>962</v>
      </c>
      <c r="H240" s="47" t="s">
        <v>136</v>
      </c>
      <c r="I240" s="47" t="s">
        <v>188</v>
      </c>
      <c r="J240" s="47"/>
      <c r="K240" s="50"/>
      <c r="L240" s="47" t="s">
        <v>189</v>
      </c>
      <c r="M240" s="51"/>
      <c r="N240" s="51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</row>
    <row r="241">
      <c r="A241" s="47" t="s">
        <v>963</v>
      </c>
      <c r="B241" s="47" t="s">
        <v>119</v>
      </c>
      <c r="C241" s="52">
        <v>38270.0</v>
      </c>
      <c r="D241" s="48">
        <f t="shared" si="5"/>
        <v>21</v>
      </c>
      <c r="E241" s="48"/>
      <c r="F241" s="49" t="s">
        <v>964</v>
      </c>
      <c r="G241" s="48"/>
      <c r="H241" s="47" t="s">
        <v>34</v>
      </c>
      <c r="I241" s="47" t="s">
        <v>141</v>
      </c>
      <c r="J241" s="47"/>
      <c r="K241" s="47"/>
      <c r="L241" s="47" t="s">
        <v>197</v>
      </c>
      <c r="M241" s="51"/>
      <c r="N241" s="51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</row>
    <row r="242">
      <c r="A242" s="47" t="s">
        <v>965</v>
      </c>
      <c r="B242" s="47" t="s">
        <v>133</v>
      </c>
      <c r="C242" s="55">
        <v>38226.0</v>
      </c>
      <c r="D242" s="48">
        <f t="shared" si="5"/>
        <v>21</v>
      </c>
      <c r="E242" s="48">
        <v>2.14632614E8</v>
      </c>
      <c r="F242" s="49" t="s">
        <v>966</v>
      </c>
      <c r="G242" s="48" t="s">
        <v>967</v>
      </c>
      <c r="H242" s="47" t="s">
        <v>201</v>
      </c>
      <c r="I242" s="47" t="s">
        <v>141</v>
      </c>
      <c r="J242" s="50"/>
      <c r="K242" s="50"/>
      <c r="L242" s="47" t="s">
        <v>197</v>
      </c>
      <c r="M242" s="51"/>
      <c r="N242" s="51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</row>
    <row r="243" hidden="1">
      <c r="A243" s="47" t="s">
        <v>968</v>
      </c>
      <c r="B243" s="47" t="s">
        <v>133</v>
      </c>
      <c r="C243" s="55">
        <v>38958.0</v>
      </c>
      <c r="D243" s="48">
        <f t="shared" si="5"/>
        <v>19</v>
      </c>
      <c r="E243" s="48">
        <v>2.16297762E8</v>
      </c>
      <c r="F243" s="49" t="s">
        <v>969</v>
      </c>
      <c r="G243" s="75" t="s">
        <v>970</v>
      </c>
      <c r="H243" s="47" t="s">
        <v>136</v>
      </c>
      <c r="I243" s="47" t="s">
        <v>188</v>
      </c>
      <c r="J243" s="50"/>
      <c r="K243" s="50"/>
      <c r="L243" s="47" t="s">
        <v>189</v>
      </c>
      <c r="M243" s="51"/>
      <c r="N243" s="51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</row>
    <row r="244">
      <c r="A244" s="47" t="s">
        <v>971</v>
      </c>
      <c r="B244" s="47" t="s">
        <v>133</v>
      </c>
      <c r="C244" s="55">
        <v>36034.0</v>
      </c>
      <c r="D244" s="48">
        <f t="shared" si="5"/>
        <v>27</v>
      </c>
      <c r="E244" s="48">
        <v>2.06910309E8</v>
      </c>
      <c r="F244" s="49" t="s">
        <v>972</v>
      </c>
      <c r="G244" s="48" t="s">
        <v>973</v>
      </c>
      <c r="H244" s="47" t="s">
        <v>172</v>
      </c>
      <c r="I244" s="47" t="s">
        <v>141</v>
      </c>
      <c r="J244" s="50"/>
      <c r="K244" s="50"/>
      <c r="L244" s="47" t="s">
        <v>197</v>
      </c>
      <c r="M244" s="51" t="s">
        <v>974</v>
      </c>
      <c r="N244" s="51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</row>
    <row r="245">
      <c r="A245" s="47" t="s">
        <v>975</v>
      </c>
      <c r="B245" s="47" t="s">
        <v>119</v>
      </c>
      <c r="C245" s="55">
        <v>38614.0</v>
      </c>
      <c r="D245" s="48">
        <f t="shared" si="5"/>
        <v>20</v>
      </c>
      <c r="E245" s="48">
        <v>3.27731238E8</v>
      </c>
      <c r="F245" s="49" t="s">
        <v>976</v>
      </c>
      <c r="G245" s="48" t="s">
        <v>977</v>
      </c>
      <c r="H245" s="47" t="s">
        <v>607</v>
      </c>
      <c r="I245" s="47" t="s">
        <v>141</v>
      </c>
      <c r="J245" s="50"/>
      <c r="K245" s="50"/>
      <c r="L245" s="47" t="s">
        <v>197</v>
      </c>
      <c r="M245" s="51"/>
      <c r="N245" s="51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</row>
    <row r="246">
      <c r="A246" s="47" t="s">
        <v>978</v>
      </c>
      <c r="B246" s="47" t="s">
        <v>119</v>
      </c>
      <c r="C246" s="55">
        <v>38254.0</v>
      </c>
      <c r="D246" s="48">
        <f t="shared" si="5"/>
        <v>21</v>
      </c>
      <c r="E246" s="48">
        <v>2.14617011E8</v>
      </c>
      <c r="F246" s="49" t="s">
        <v>979</v>
      </c>
      <c r="G246" s="48" t="s">
        <v>980</v>
      </c>
      <c r="H246" s="47" t="s">
        <v>800</v>
      </c>
      <c r="I246" s="47" t="s">
        <v>141</v>
      </c>
      <c r="J246" s="50"/>
      <c r="K246" s="50"/>
      <c r="L246" s="47" t="s">
        <v>197</v>
      </c>
      <c r="M246" s="51"/>
      <c r="N246" s="51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</row>
    <row r="247">
      <c r="A247" s="47" t="s">
        <v>981</v>
      </c>
      <c r="B247" s="47" t="s">
        <v>119</v>
      </c>
      <c r="C247" s="55">
        <v>39103.0</v>
      </c>
      <c r="D247" s="48">
        <f t="shared" si="5"/>
        <v>18</v>
      </c>
      <c r="E247" s="48">
        <v>2.16496489E8</v>
      </c>
      <c r="F247" s="49" t="s">
        <v>982</v>
      </c>
      <c r="G247" s="48" t="s">
        <v>983</v>
      </c>
      <c r="H247" s="47" t="s">
        <v>201</v>
      </c>
      <c r="I247" s="47" t="s">
        <v>141</v>
      </c>
      <c r="J247" s="47"/>
      <c r="K247" s="47"/>
      <c r="L247" s="47" t="s">
        <v>197</v>
      </c>
      <c r="M247" s="51"/>
      <c r="N247" s="51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</row>
    <row r="248">
      <c r="A248" s="47" t="s">
        <v>984</v>
      </c>
      <c r="B248" s="47" t="s">
        <v>119</v>
      </c>
      <c r="C248" s="55">
        <v>38753.0</v>
      </c>
      <c r="D248" s="48">
        <f t="shared" si="5"/>
        <v>19</v>
      </c>
      <c r="E248" s="48">
        <v>3.29083554E8</v>
      </c>
      <c r="F248" s="49" t="s">
        <v>985</v>
      </c>
      <c r="G248" s="48" t="s">
        <v>986</v>
      </c>
      <c r="H248" s="47" t="s">
        <v>628</v>
      </c>
      <c r="I248" s="47" t="s">
        <v>141</v>
      </c>
      <c r="J248" s="50"/>
      <c r="K248" s="50"/>
      <c r="L248" s="47" t="s">
        <v>197</v>
      </c>
      <c r="M248" s="51"/>
      <c r="N248" s="51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</row>
    <row r="249">
      <c r="A249" s="47" t="s">
        <v>987</v>
      </c>
      <c r="B249" s="47" t="s">
        <v>119</v>
      </c>
      <c r="C249" s="52">
        <v>39950.0</v>
      </c>
      <c r="D249" s="48">
        <f t="shared" si="5"/>
        <v>16</v>
      </c>
      <c r="E249" s="48">
        <v>2.18368314E8</v>
      </c>
      <c r="F249" s="49" t="s">
        <v>988</v>
      </c>
      <c r="G249" s="48" t="s">
        <v>989</v>
      </c>
      <c r="H249" s="47" t="s">
        <v>136</v>
      </c>
      <c r="I249" s="47" t="s">
        <v>194</v>
      </c>
      <c r="J249" s="47" t="s">
        <v>209</v>
      </c>
      <c r="K249" s="47"/>
      <c r="L249" s="47" t="s">
        <v>197</v>
      </c>
      <c r="M249" s="51"/>
      <c r="N249" s="51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</row>
    <row r="250" hidden="1">
      <c r="A250" s="47" t="s">
        <v>990</v>
      </c>
      <c r="B250" s="47" t="s">
        <v>119</v>
      </c>
      <c r="C250" s="55">
        <v>38995.0</v>
      </c>
      <c r="D250" s="48">
        <f t="shared" si="5"/>
        <v>19</v>
      </c>
      <c r="E250" s="48">
        <v>2.16092791E8</v>
      </c>
      <c r="F250" s="49" t="s">
        <v>991</v>
      </c>
      <c r="G250" s="48" t="s">
        <v>992</v>
      </c>
      <c r="H250" s="47" t="s">
        <v>993</v>
      </c>
      <c r="I250" s="47" t="s">
        <v>188</v>
      </c>
      <c r="J250" s="47"/>
      <c r="K250" s="47"/>
      <c r="L250" s="47" t="s">
        <v>189</v>
      </c>
      <c r="M250" s="51"/>
      <c r="N250" s="51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</row>
    <row r="251">
      <c r="A251" s="47" t="s">
        <v>994</v>
      </c>
      <c r="B251" s="47" t="s">
        <v>133</v>
      </c>
      <c r="C251" s="52">
        <v>39913.0</v>
      </c>
      <c r="D251" s="48">
        <f t="shared" si="5"/>
        <v>16</v>
      </c>
      <c r="E251" s="48">
        <v>3.33557981E8</v>
      </c>
      <c r="F251" s="49" t="s">
        <v>995</v>
      </c>
      <c r="G251" s="48" t="s">
        <v>996</v>
      </c>
      <c r="H251" s="47" t="s">
        <v>430</v>
      </c>
      <c r="I251" s="47" t="s">
        <v>141</v>
      </c>
      <c r="J251" s="47"/>
      <c r="K251" s="47"/>
      <c r="L251" s="47" t="s">
        <v>197</v>
      </c>
      <c r="M251" s="51"/>
      <c r="N251" s="51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</row>
    <row r="252">
      <c r="A252" s="47" t="s">
        <v>997</v>
      </c>
      <c r="B252" s="47" t="s">
        <v>119</v>
      </c>
      <c r="C252" s="52">
        <v>39949.0</v>
      </c>
      <c r="D252" s="48">
        <f t="shared" si="5"/>
        <v>16</v>
      </c>
      <c r="E252" s="48">
        <v>3.3354515E8</v>
      </c>
      <c r="F252" s="49" t="s">
        <v>998</v>
      </c>
      <c r="G252" s="48" t="s">
        <v>999</v>
      </c>
      <c r="H252" s="47" t="s">
        <v>136</v>
      </c>
      <c r="I252" s="47" t="s">
        <v>194</v>
      </c>
      <c r="J252" s="47" t="s">
        <v>209</v>
      </c>
      <c r="K252" s="47"/>
      <c r="L252" s="47" t="s">
        <v>197</v>
      </c>
      <c r="M252" s="51"/>
      <c r="N252" s="51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</row>
    <row r="253" hidden="1">
      <c r="A253" s="47" t="s">
        <v>1000</v>
      </c>
      <c r="B253" s="47" t="s">
        <v>119</v>
      </c>
      <c r="C253" s="55">
        <v>35314.0</v>
      </c>
      <c r="D253" s="48">
        <f t="shared" si="5"/>
        <v>29</v>
      </c>
      <c r="E253" s="48">
        <v>3.15672238E8</v>
      </c>
      <c r="F253" s="49" t="s">
        <v>1001</v>
      </c>
      <c r="G253" s="48" t="s">
        <v>1002</v>
      </c>
      <c r="H253" s="47" t="s">
        <v>34</v>
      </c>
      <c r="I253" s="47" t="s">
        <v>188</v>
      </c>
      <c r="J253" s="47"/>
      <c r="K253" s="47"/>
      <c r="L253" s="47" t="s">
        <v>189</v>
      </c>
      <c r="M253" s="51"/>
      <c r="N253" s="51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</row>
    <row r="254" hidden="1">
      <c r="A254" s="47" t="s">
        <v>1003</v>
      </c>
      <c r="B254" s="47" t="s">
        <v>119</v>
      </c>
      <c r="C254" s="55">
        <v>38931.0</v>
      </c>
      <c r="D254" s="48">
        <f t="shared" si="5"/>
        <v>19</v>
      </c>
      <c r="E254" s="48">
        <v>2.16278317E8</v>
      </c>
      <c r="F254" s="49" t="s">
        <v>1004</v>
      </c>
      <c r="G254" s="48" t="s">
        <v>1005</v>
      </c>
      <c r="H254" s="47" t="s">
        <v>583</v>
      </c>
      <c r="I254" s="47" t="s">
        <v>188</v>
      </c>
      <c r="J254" s="50"/>
      <c r="K254" s="50"/>
      <c r="L254" s="47" t="s">
        <v>189</v>
      </c>
      <c r="M254" s="51"/>
      <c r="N254" s="51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</row>
    <row r="255">
      <c r="A255" s="47" t="s">
        <v>1006</v>
      </c>
      <c r="B255" s="47" t="s">
        <v>119</v>
      </c>
      <c r="C255" s="52">
        <v>39917.0</v>
      </c>
      <c r="D255" s="48">
        <f t="shared" si="5"/>
        <v>16</v>
      </c>
      <c r="E255" s="48">
        <v>2.18180594E8</v>
      </c>
      <c r="F255" s="49" t="s">
        <v>1007</v>
      </c>
      <c r="G255" s="48" t="s">
        <v>1008</v>
      </c>
      <c r="H255" s="47" t="s">
        <v>136</v>
      </c>
      <c r="I255" s="47" t="s">
        <v>194</v>
      </c>
      <c r="J255" s="47" t="s">
        <v>209</v>
      </c>
      <c r="K255" s="47"/>
      <c r="L255" s="47" t="s">
        <v>197</v>
      </c>
      <c r="M255" s="51"/>
      <c r="N255" s="51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</row>
    <row r="256">
      <c r="A256" s="47" t="s">
        <v>1009</v>
      </c>
      <c r="B256" s="47" t="s">
        <v>119</v>
      </c>
      <c r="C256" s="52">
        <v>39965.0</v>
      </c>
      <c r="D256" s="48">
        <f t="shared" si="5"/>
        <v>16</v>
      </c>
      <c r="E256" s="48">
        <v>3.33577245E8</v>
      </c>
      <c r="F256" s="49" t="s">
        <v>1010</v>
      </c>
      <c r="G256" s="48" t="s">
        <v>1011</v>
      </c>
      <c r="H256" s="47" t="s">
        <v>136</v>
      </c>
      <c r="I256" s="47" t="s">
        <v>194</v>
      </c>
      <c r="J256" s="47" t="s">
        <v>209</v>
      </c>
      <c r="K256" s="47"/>
      <c r="L256" s="47" t="s">
        <v>197</v>
      </c>
      <c r="M256" s="51"/>
      <c r="N256" s="51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</row>
    <row r="257">
      <c r="A257" s="47" t="s">
        <v>1012</v>
      </c>
      <c r="B257" s="47" t="s">
        <v>119</v>
      </c>
      <c r="C257" s="52">
        <v>40162.0</v>
      </c>
      <c r="D257" s="48">
        <f t="shared" si="5"/>
        <v>16</v>
      </c>
      <c r="E257" s="48">
        <v>3.33552792E8</v>
      </c>
      <c r="F257" s="49" t="s">
        <v>1013</v>
      </c>
      <c r="G257" s="48" t="s">
        <v>1014</v>
      </c>
      <c r="H257" s="47" t="s">
        <v>136</v>
      </c>
      <c r="I257" s="47" t="s">
        <v>194</v>
      </c>
      <c r="J257" s="47" t="s">
        <v>209</v>
      </c>
      <c r="K257" s="47"/>
      <c r="L257" s="47" t="s">
        <v>197</v>
      </c>
      <c r="M257" s="51"/>
      <c r="N257" s="51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</row>
    <row r="258">
      <c r="A258" s="47" t="s">
        <v>1015</v>
      </c>
      <c r="B258" s="47" t="s">
        <v>119</v>
      </c>
      <c r="C258" s="54">
        <v>39800.0</v>
      </c>
      <c r="D258" s="48">
        <f t="shared" si="5"/>
        <v>17</v>
      </c>
      <c r="E258" s="48">
        <v>3.29839153E8</v>
      </c>
      <c r="F258" s="49" t="s">
        <v>1016</v>
      </c>
      <c r="G258" s="48" t="s">
        <v>1017</v>
      </c>
      <c r="H258" s="47" t="s">
        <v>34</v>
      </c>
      <c r="I258" s="47" t="s">
        <v>141</v>
      </c>
      <c r="J258" s="47"/>
      <c r="K258" s="47"/>
      <c r="L258" s="47" t="s">
        <v>197</v>
      </c>
      <c r="M258" s="51"/>
      <c r="N258" s="51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</row>
    <row r="259" hidden="1">
      <c r="A259" s="59" t="s">
        <v>1018</v>
      </c>
      <c r="B259" s="47" t="s">
        <v>119</v>
      </c>
      <c r="C259" s="48">
        <v>20.0</v>
      </c>
      <c r="D259" s="48">
        <f t="shared" si="5"/>
        <v>125</v>
      </c>
      <c r="E259" s="48">
        <v>2.15021544E8</v>
      </c>
      <c r="F259" s="49" t="s">
        <v>1019</v>
      </c>
      <c r="G259" s="48" t="s">
        <v>1020</v>
      </c>
      <c r="H259" s="47" t="s">
        <v>1021</v>
      </c>
      <c r="I259" s="47" t="s">
        <v>188</v>
      </c>
      <c r="J259" s="47"/>
      <c r="K259" s="47"/>
      <c r="L259" s="47" t="s">
        <v>189</v>
      </c>
      <c r="M259" s="51"/>
      <c r="N259" s="51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</row>
    <row r="260">
      <c r="A260" s="47" t="s">
        <v>1022</v>
      </c>
      <c r="B260" s="47" t="s">
        <v>119</v>
      </c>
      <c r="C260" s="52">
        <v>37829.0</v>
      </c>
      <c r="D260" s="48">
        <f t="shared" si="5"/>
        <v>22</v>
      </c>
      <c r="E260" s="48">
        <v>3.25553899E8</v>
      </c>
      <c r="F260" s="49" t="s">
        <v>1023</v>
      </c>
      <c r="G260" s="48"/>
      <c r="H260" s="47" t="s">
        <v>34</v>
      </c>
      <c r="I260" s="47" t="s">
        <v>141</v>
      </c>
      <c r="J260" s="47"/>
      <c r="K260" s="47"/>
      <c r="L260" s="47" t="s">
        <v>197</v>
      </c>
      <c r="M260" s="51"/>
      <c r="N260" s="51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</row>
    <row r="261">
      <c r="A261" s="47" t="s">
        <v>1024</v>
      </c>
      <c r="B261" s="47" t="s">
        <v>119</v>
      </c>
      <c r="C261" s="55">
        <v>39655.0</v>
      </c>
      <c r="D261" s="48">
        <f t="shared" si="5"/>
        <v>17</v>
      </c>
      <c r="E261" s="48">
        <v>3.32039205E8</v>
      </c>
      <c r="F261" s="48">
        <v>5.06343993E8</v>
      </c>
      <c r="G261" s="48" t="s">
        <v>1025</v>
      </c>
      <c r="H261" s="47" t="s">
        <v>34</v>
      </c>
      <c r="I261" s="47" t="s">
        <v>194</v>
      </c>
      <c r="J261" s="47" t="s">
        <v>195</v>
      </c>
      <c r="K261" s="47" t="s">
        <v>1026</v>
      </c>
      <c r="L261" s="47" t="s">
        <v>197</v>
      </c>
      <c r="M261" s="51"/>
      <c r="N261" s="51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</row>
    <row r="262">
      <c r="A262" s="47" t="s">
        <v>1027</v>
      </c>
      <c r="B262" s="47" t="s">
        <v>119</v>
      </c>
      <c r="C262" s="55">
        <v>37366.0</v>
      </c>
      <c r="D262" s="48">
        <f t="shared" si="5"/>
        <v>23</v>
      </c>
      <c r="E262" s="48">
        <v>2.12779854E8</v>
      </c>
      <c r="F262" s="49" t="s">
        <v>1028</v>
      </c>
      <c r="G262" s="48" t="s">
        <v>1029</v>
      </c>
      <c r="H262" s="47" t="s">
        <v>1030</v>
      </c>
      <c r="I262" s="47" t="s">
        <v>194</v>
      </c>
      <c r="J262" s="47" t="s">
        <v>218</v>
      </c>
      <c r="K262" s="47"/>
      <c r="L262" s="47" t="s">
        <v>197</v>
      </c>
      <c r="M262" s="51"/>
      <c r="N262" s="51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</row>
    <row r="263" hidden="1">
      <c r="A263" s="47" t="s">
        <v>1031</v>
      </c>
      <c r="B263" s="47" t="s">
        <v>133</v>
      </c>
      <c r="C263" s="52">
        <v>36414.0</v>
      </c>
      <c r="D263" s="48">
        <f t="shared" si="5"/>
        <v>26</v>
      </c>
      <c r="E263" s="48">
        <v>3.21630568E8</v>
      </c>
      <c r="F263" s="49" t="s">
        <v>1032</v>
      </c>
      <c r="G263" s="48" t="s">
        <v>1033</v>
      </c>
      <c r="H263" s="47" t="s">
        <v>1034</v>
      </c>
      <c r="I263" s="47" t="s">
        <v>188</v>
      </c>
      <c r="J263" s="47"/>
      <c r="K263" s="47"/>
      <c r="L263" s="47" t="s">
        <v>189</v>
      </c>
      <c r="M263" s="51"/>
      <c r="N263" s="51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</row>
    <row r="264">
      <c r="A264" s="47" t="s">
        <v>1035</v>
      </c>
      <c r="B264" s="47" t="s">
        <v>119</v>
      </c>
      <c r="C264" s="52">
        <v>38804.0</v>
      </c>
      <c r="D264" s="48">
        <f t="shared" si="5"/>
        <v>19</v>
      </c>
      <c r="E264" s="48">
        <v>3.29543276E8</v>
      </c>
      <c r="F264" s="49" t="s">
        <v>1036</v>
      </c>
      <c r="G264" s="48" t="s">
        <v>1037</v>
      </c>
      <c r="H264" s="47" t="s">
        <v>1038</v>
      </c>
      <c r="I264" s="47" t="s">
        <v>141</v>
      </c>
      <c r="J264" s="47"/>
      <c r="K264" s="47"/>
      <c r="L264" s="47" t="s">
        <v>197</v>
      </c>
      <c r="M264" s="51"/>
      <c r="N264" s="51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</row>
    <row r="265">
      <c r="A265" s="47" t="s">
        <v>1039</v>
      </c>
      <c r="B265" s="47" t="s">
        <v>119</v>
      </c>
      <c r="C265" s="52">
        <v>38083.0</v>
      </c>
      <c r="D265" s="48">
        <f t="shared" si="5"/>
        <v>21</v>
      </c>
      <c r="E265" s="48">
        <v>2.14242406E8</v>
      </c>
      <c r="F265" s="49" t="s">
        <v>1040</v>
      </c>
      <c r="G265" s="48" t="s">
        <v>1041</v>
      </c>
      <c r="H265" s="47" t="s">
        <v>1042</v>
      </c>
      <c r="I265" s="47" t="s">
        <v>141</v>
      </c>
      <c r="J265" s="47"/>
      <c r="K265" s="47"/>
      <c r="L265" s="47" t="s">
        <v>197</v>
      </c>
      <c r="M265" s="51"/>
      <c r="N265" s="51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</row>
    <row r="266" hidden="1">
      <c r="A266" s="59" t="s">
        <v>1043</v>
      </c>
      <c r="B266" s="47" t="s">
        <v>119</v>
      </c>
      <c r="C266" s="48">
        <v>17.0</v>
      </c>
      <c r="D266" s="48">
        <f t="shared" si="5"/>
        <v>125</v>
      </c>
      <c r="E266" s="48">
        <v>3.26595907E8</v>
      </c>
      <c r="F266" s="49" t="s">
        <v>1044</v>
      </c>
      <c r="G266" s="48" t="s">
        <v>1045</v>
      </c>
      <c r="H266" s="47" t="s">
        <v>705</v>
      </c>
      <c r="I266" s="47" t="s">
        <v>188</v>
      </c>
      <c r="J266" s="47"/>
      <c r="K266" s="47"/>
      <c r="L266" s="47" t="s">
        <v>189</v>
      </c>
      <c r="M266" s="51"/>
      <c r="N266" s="51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</row>
    <row r="267">
      <c r="A267" s="47" t="s">
        <v>33</v>
      </c>
      <c r="B267" s="47" t="s">
        <v>119</v>
      </c>
      <c r="C267" s="52">
        <v>40139.0</v>
      </c>
      <c r="D267" s="48">
        <f t="shared" si="5"/>
        <v>16</v>
      </c>
      <c r="E267" s="48">
        <v>3.34330073E8</v>
      </c>
      <c r="F267" s="49" t="s">
        <v>1046</v>
      </c>
      <c r="G267" s="48" t="s">
        <v>1047</v>
      </c>
      <c r="H267" s="47" t="s">
        <v>34</v>
      </c>
      <c r="I267" s="47" t="s">
        <v>194</v>
      </c>
      <c r="J267" s="47" t="s">
        <v>195</v>
      </c>
      <c r="K267" s="47" t="s">
        <v>1048</v>
      </c>
      <c r="L267" s="47" t="s">
        <v>197</v>
      </c>
      <c r="M267" s="51"/>
      <c r="N267" s="67" t="s">
        <v>1049</v>
      </c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</row>
    <row r="268">
      <c r="A268" s="47" t="s">
        <v>1050</v>
      </c>
      <c r="B268" s="47" t="s">
        <v>119</v>
      </c>
      <c r="C268" s="52">
        <v>37427.0</v>
      </c>
      <c r="D268" s="48">
        <f t="shared" si="5"/>
        <v>23</v>
      </c>
      <c r="E268" s="48">
        <v>2.12951404E8</v>
      </c>
      <c r="F268" s="49" t="s">
        <v>1051</v>
      </c>
      <c r="G268" s="48" t="s">
        <v>1052</v>
      </c>
      <c r="H268" s="47" t="s">
        <v>1053</v>
      </c>
      <c r="I268" s="47" t="s">
        <v>141</v>
      </c>
      <c r="J268" s="47"/>
      <c r="K268" s="47"/>
      <c r="L268" s="47" t="s">
        <v>197</v>
      </c>
      <c r="M268" s="51"/>
      <c r="N268" s="51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</row>
    <row r="269" hidden="1">
      <c r="A269" s="47" t="s">
        <v>1054</v>
      </c>
      <c r="B269" s="47" t="s">
        <v>119</v>
      </c>
      <c r="C269" s="52">
        <v>39127.0</v>
      </c>
      <c r="D269" s="48">
        <f t="shared" si="5"/>
        <v>18</v>
      </c>
      <c r="E269" s="48">
        <v>3.30618208E8</v>
      </c>
      <c r="F269" s="49" t="s">
        <v>1055</v>
      </c>
      <c r="G269" s="48" t="s">
        <v>1056</v>
      </c>
      <c r="H269" s="47" t="s">
        <v>1057</v>
      </c>
      <c r="I269" s="47" t="s">
        <v>188</v>
      </c>
      <c r="J269" s="47"/>
      <c r="K269" s="47"/>
      <c r="L269" s="47" t="s">
        <v>189</v>
      </c>
      <c r="M269" s="51"/>
      <c r="N269" s="51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</row>
    <row r="270">
      <c r="A270" s="47" t="s">
        <v>1058</v>
      </c>
      <c r="B270" s="47" t="s">
        <v>133</v>
      </c>
      <c r="C270" s="54">
        <v>37977.0</v>
      </c>
      <c r="D270" s="48">
        <f t="shared" si="5"/>
        <v>22</v>
      </c>
      <c r="E270" s="48">
        <v>3.25695732E8</v>
      </c>
      <c r="F270" s="49" t="s">
        <v>1059</v>
      </c>
      <c r="G270" s="48" t="s">
        <v>1060</v>
      </c>
      <c r="H270" s="47" t="s">
        <v>1061</v>
      </c>
      <c r="I270" s="47" t="s">
        <v>194</v>
      </c>
      <c r="J270" s="47" t="s">
        <v>218</v>
      </c>
      <c r="K270" s="47"/>
      <c r="L270" s="47" t="s">
        <v>197</v>
      </c>
      <c r="M270" s="51"/>
      <c r="N270" s="51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</row>
    <row r="271" hidden="1">
      <c r="A271" s="59" t="s">
        <v>1062</v>
      </c>
      <c r="B271" s="47" t="s">
        <v>119</v>
      </c>
      <c r="C271" s="48">
        <v>19.0</v>
      </c>
      <c r="D271" s="48">
        <f t="shared" si="5"/>
        <v>125</v>
      </c>
      <c r="E271" s="48"/>
      <c r="F271" s="49" t="s">
        <v>1063</v>
      </c>
      <c r="G271" s="48" t="s">
        <v>1064</v>
      </c>
      <c r="H271" s="47" t="s">
        <v>1065</v>
      </c>
      <c r="I271" s="47" t="s">
        <v>188</v>
      </c>
      <c r="J271" s="47"/>
      <c r="K271" s="47"/>
      <c r="L271" s="47" t="s">
        <v>189</v>
      </c>
      <c r="M271" s="51"/>
      <c r="N271" s="51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</row>
    <row r="272">
      <c r="A272" s="47" t="s">
        <v>1066</v>
      </c>
      <c r="B272" s="47" t="s">
        <v>133</v>
      </c>
      <c r="C272" s="54">
        <v>40143.0</v>
      </c>
      <c r="D272" s="48">
        <f t="shared" si="5"/>
        <v>16</v>
      </c>
      <c r="E272" s="48">
        <v>3.34334125E8</v>
      </c>
      <c r="F272" s="49" t="s">
        <v>1067</v>
      </c>
      <c r="G272" s="48" t="s">
        <v>1068</v>
      </c>
      <c r="H272" s="47" t="s">
        <v>239</v>
      </c>
      <c r="I272" s="47" t="s">
        <v>194</v>
      </c>
      <c r="J272" s="47" t="s">
        <v>209</v>
      </c>
      <c r="K272" s="50"/>
      <c r="L272" s="47" t="s">
        <v>197</v>
      </c>
      <c r="M272" s="51"/>
      <c r="N272" s="51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</row>
    <row r="273">
      <c r="A273" s="47" t="s">
        <v>1069</v>
      </c>
      <c r="B273" s="47" t="s">
        <v>119</v>
      </c>
      <c r="C273" s="55">
        <v>38461.0</v>
      </c>
      <c r="D273" s="48">
        <f t="shared" si="5"/>
        <v>20</v>
      </c>
      <c r="E273" s="48">
        <v>2.15402488E8</v>
      </c>
      <c r="F273" s="49" t="s">
        <v>1070</v>
      </c>
      <c r="G273" s="48" t="s">
        <v>1071</v>
      </c>
      <c r="H273" s="47" t="s">
        <v>1072</v>
      </c>
      <c r="I273" s="47" t="s">
        <v>194</v>
      </c>
      <c r="J273" s="47" t="s">
        <v>209</v>
      </c>
      <c r="K273" s="50"/>
      <c r="L273" s="47" t="s">
        <v>197</v>
      </c>
      <c r="M273" s="51" t="s">
        <v>1073</v>
      </c>
      <c r="N273" s="51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</row>
    <row r="274">
      <c r="A274" s="47" t="s">
        <v>1074</v>
      </c>
      <c r="B274" s="47" t="s">
        <v>119</v>
      </c>
      <c r="C274" s="69">
        <v>40042.0</v>
      </c>
      <c r="D274" s="48">
        <f t="shared" si="5"/>
        <v>16</v>
      </c>
      <c r="E274" s="66">
        <v>2.1855478E8</v>
      </c>
      <c r="F274" s="48">
        <v>5.08570075E8</v>
      </c>
      <c r="G274" s="66" t="s">
        <v>1075</v>
      </c>
      <c r="H274" s="59" t="s">
        <v>268</v>
      </c>
      <c r="I274" s="47" t="s">
        <v>194</v>
      </c>
      <c r="J274" s="47" t="s">
        <v>209</v>
      </c>
      <c r="K274" s="50"/>
      <c r="L274" s="47" t="s">
        <v>197</v>
      </c>
      <c r="M274" s="59"/>
      <c r="N274" s="59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</row>
    <row r="275" hidden="1">
      <c r="A275" s="47" t="s">
        <v>1076</v>
      </c>
      <c r="B275" s="47" t="s">
        <v>133</v>
      </c>
      <c r="C275" s="52">
        <v>40528.0</v>
      </c>
      <c r="D275" s="48">
        <f t="shared" si="5"/>
        <v>15</v>
      </c>
      <c r="E275" s="48">
        <v>2.20119424E8</v>
      </c>
      <c r="F275" s="49" t="s">
        <v>1077</v>
      </c>
      <c r="G275" s="48" t="s">
        <v>1078</v>
      </c>
      <c r="H275" s="47" t="s">
        <v>53</v>
      </c>
      <c r="I275" s="47" t="s">
        <v>188</v>
      </c>
      <c r="J275" s="47"/>
      <c r="K275" s="47"/>
      <c r="L275" s="47" t="s">
        <v>189</v>
      </c>
      <c r="M275" s="51"/>
      <c r="N275" s="51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</row>
    <row r="276" hidden="1">
      <c r="A276" s="47" t="s">
        <v>1079</v>
      </c>
      <c r="B276" s="47" t="s">
        <v>119</v>
      </c>
      <c r="C276" s="52">
        <v>39981.0</v>
      </c>
      <c r="D276" s="48">
        <f t="shared" si="5"/>
        <v>16</v>
      </c>
      <c r="E276" s="48">
        <v>2.18495166E8</v>
      </c>
      <c r="F276" s="49" t="s">
        <v>1080</v>
      </c>
      <c r="G276" s="48" t="s">
        <v>1081</v>
      </c>
      <c r="H276" s="47" t="s">
        <v>468</v>
      </c>
      <c r="I276" s="47" t="s">
        <v>188</v>
      </c>
      <c r="J276" s="47"/>
      <c r="K276" s="47"/>
      <c r="L276" s="47" t="s">
        <v>189</v>
      </c>
      <c r="M276" s="51"/>
      <c r="N276" s="51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</row>
    <row r="277">
      <c r="A277" s="47" t="s">
        <v>1082</v>
      </c>
      <c r="B277" s="47" t="s">
        <v>119</v>
      </c>
      <c r="C277" s="52">
        <v>39772.0</v>
      </c>
      <c r="D277" s="48">
        <f t="shared" si="5"/>
        <v>17</v>
      </c>
      <c r="E277" s="48">
        <v>2.18304186E8</v>
      </c>
      <c r="F277" s="49" t="s">
        <v>1083</v>
      </c>
      <c r="G277" s="48" t="s">
        <v>1084</v>
      </c>
      <c r="H277" s="47" t="s">
        <v>430</v>
      </c>
      <c r="I277" s="47" t="s">
        <v>194</v>
      </c>
      <c r="J277" s="47" t="s">
        <v>209</v>
      </c>
      <c r="K277" s="47"/>
      <c r="L277" s="47" t="s">
        <v>197</v>
      </c>
      <c r="M277" s="51"/>
      <c r="N277" s="51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</row>
    <row r="278">
      <c r="A278" s="47" t="s">
        <v>1085</v>
      </c>
      <c r="B278" s="47" t="s">
        <v>119</v>
      </c>
      <c r="C278" s="52">
        <v>37512.0</v>
      </c>
      <c r="D278" s="48">
        <f t="shared" si="5"/>
        <v>23</v>
      </c>
      <c r="E278" s="48">
        <v>2.12729453E8</v>
      </c>
      <c r="F278" s="49" t="s">
        <v>1086</v>
      </c>
      <c r="G278" s="48" t="s">
        <v>1087</v>
      </c>
      <c r="H278" s="47" t="s">
        <v>430</v>
      </c>
      <c r="I278" s="47" t="s">
        <v>194</v>
      </c>
      <c r="J278" s="47" t="s">
        <v>209</v>
      </c>
      <c r="K278" s="47"/>
      <c r="L278" s="47" t="s">
        <v>197</v>
      </c>
      <c r="M278" s="51"/>
      <c r="N278" s="51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</row>
    <row r="279">
      <c r="A279" s="47" t="s">
        <v>1088</v>
      </c>
      <c r="B279" s="47" t="s">
        <v>119</v>
      </c>
      <c r="C279" s="52">
        <v>39719.0</v>
      </c>
      <c r="D279" s="48">
        <f t="shared" si="5"/>
        <v>17</v>
      </c>
      <c r="E279" s="48">
        <v>3.32009661E8</v>
      </c>
      <c r="F279" s="49" t="s">
        <v>1089</v>
      </c>
      <c r="G279" s="48" t="s">
        <v>1090</v>
      </c>
      <c r="H279" s="47" t="s">
        <v>1091</v>
      </c>
      <c r="I279" s="47" t="s">
        <v>194</v>
      </c>
      <c r="J279" s="47" t="s">
        <v>209</v>
      </c>
      <c r="K279" s="47"/>
      <c r="L279" s="47" t="s">
        <v>197</v>
      </c>
      <c r="M279" s="51"/>
      <c r="N279" s="51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</row>
    <row r="280" hidden="1">
      <c r="A280" s="47" t="s">
        <v>1092</v>
      </c>
      <c r="B280" s="47" t="s">
        <v>119</v>
      </c>
      <c r="C280" s="52">
        <v>35325.0</v>
      </c>
      <c r="D280" s="48">
        <f t="shared" si="5"/>
        <v>29</v>
      </c>
      <c r="E280" s="48">
        <v>3.29799225E8</v>
      </c>
      <c r="F280" s="49" t="s">
        <v>1093</v>
      </c>
      <c r="G280" s="48" t="s">
        <v>1094</v>
      </c>
      <c r="H280" s="47" t="s">
        <v>583</v>
      </c>
      <c r="I280" s="47" t="s">
        <v>188</v>
      </c>
      <c r="J280" s="47"/>
      <c r="K280" s="47"/>
      <c r="L280" s="47" t="s">
        <v>189</v>
      </c>
      <c r="M280" s="51"/>
      <c r="N280" s="51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</row>
    <row r="281">
      <c r="A281" s="47" t="s">
        <v>1095</v>
      </c>
      <c r="B281" s="47" t="s">
        <v>119</v>
      </c>
      <c r="C281" s="55">
        <v>38034.0</v>
      </c>
      <c r="D281" s="48">
        <f t="shared" si="5"/>
        <v>21</v>
      </c>
      <c r="E281" s="48">
        <v>3.25880979E8</v>
      </c>
      <c r="F281" s="49" t="s">
        <v>1096</v>
      </c>
      <c r="G281" s="48" t="s">
        <v>1097</v>
      </c>
      <c r="H281" s="47" t="s">
        <v>1098</v>
      </c>
      <c r="I281" s="47" t="s">
        <v>194</v>
      </c>
      <c r="J281" s="47" t="s">
        <v>218</v>
      </c>
      <c r="K281" s="47"/>
      <c r="L281" s="47" t="s">
        <v>197</v>
      </c>
      <c r="M281" s="51"/>
      <c r="N281" s="51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</row>
    <row r="282">
      <c r="A282" s="47" t="s">
        <v>1099</v>
      </c>
      <c r="B282" s="47" t="s">
        <v>119</v>
      </c>
      <c r="C282" s="52">
        <v>40142.0</v>
      </c>
      <c r="D282" s="48">
        <f t="shared" si="5"/>
        <v>16</v>
      </c>
      <c r="E282" s="48">
        <v>3.33534071E8</v>
      </c>
      <c r="F282" s="49" t="s">
        <v>1100</v>
      </c>
      <c r="G282" s="48" t="s">
        <v>1101</v>
      </c>
      <c r="H282" s="47" t="s">
        <v>201</v>
      </c>
      <c r="I282" s="47" t="s">
        <v>141</v>
      </c>
      <c r="J282" s="47"/>
      <c r="K282" s="47"/>
      <c r="L282" s="47" t="s">
        <v>197</v>
      </c>
      <c r="M282" s="51"/>
      <c r="N282" s="51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</row>
    <row r="283">
      <c r="A283" s="47" t="s">
        <v>1102</v>
      </c>
      <c r="B283" s="47" t="s">
        <v>119</v>
      </c>
      <c r="C283" s="52">
        <v>40098.0</v>
      </c>
      <c r="D283" s="48">
        <f t="shared" si="5"/>
        <v>16</v>
      </c>
      <c r="E283" s="48">
        <v>3.33569317E8</v>
      </c>
      <c r="F283" s="49" t="s">
        <v>1103</v>
      </c>
      <c r="G283" s="48" t="s">
        <v>1104</v>
      </c>
      <c r="H283" s="47" t="s">
        <v>136</v>
      </c>
      <c r="I283" s="47" t="s">
        <v>141</v>
      </c>
      <c r="J283" s="47"/>
      <c r="K283" s="47"/>
      <c r="L283" s="47" t="s">
        <v>197</v>
      </c>
      <c r="M283" s="51"/>
      <c r="N283" s="51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</row>
    <row r="284">
      <c r="A284" s="47" t="s">
        <v>1105</v>
      </c>
      <c r="B284" s="47" t="s">
        <v>119</v>
      </c>
      <c r="C284" s="52">
        <v>39461.0</v>
      </c>
      <c r="D284" s="48">
        <f t="shared" si="5"/>
        <v>17</v>
      </c>
      <c r="E284" s="48">
        <v>3.3148059E8</v>
      </c>
      <c r="F284" s="49" t="s">
        <v>1106</v>
      </c>
      <c r="G284" s="48" t="s">
        <v>1107</v>
      </c>
      <c r="H284" s="47" t="s">
        <v>130</v>
      </c>
      <c r="I284" s="47" t="s">
        <v>141</v>
      </c>
      <c r="J284" s="47"/>
      <c r="K284" s="47"/>
      <c r="L284" s="47" t="s">
        <v>197</v>
      </c>
      <c r="M284" s="51"/>
      <c r="N284" s="51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</row>
    <row r="285">
      <c r="A285" s="47" t="s">
        <v>1108</v>
      </c>
      <c r="B285" s="47" t="s">
        <v>119</v>
      </c>
      <c r="C285" s="52">
        <v>39635.0</v>
      </c>
      <c r="D285" s="48">
        <f t="shared" si="5"/>
        <v>17</v>
      </c>
      <c r="E285" s="48">
        <v>3.31646117E8</v>
      </c>
      <c r="F285" s="49" t="s">
        <v>1109</v>
      </c>
      <c r="G285" s="48" t="s">
        <v>1110</v>
      </c>
      <c r="H285" s="47" t="s">
        <v>53</v>
      </c>
      <c r="I285" s="47" t="s">
        <v>141</v>
      </c>
      <c r="J285" s="47"/>
      <c r="K285" s="47"/>
      <c r="L285" s="47" t="s">
        <v>197</v>
      </c>
      <c r="M285" s="51"/>
      <c r="N285" s="51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</row>
    <row r="286">
      <c r="A286" s="47" t="s">
        <v>1111</v>
      </c>
      <c r="B286" s="47" t="s">
        <v>119</v>
      </c>
      <c r="C286" s="52">
        <v>39958.0</v>
      </c>
      <c r="D286" s="48">
        <f t="shared" si="5"/>
        <v>16</v>
      </c>
      <c r="E286" s="48">
        <v>3.33169936E8</v>
      </c>
      <c r="F286" s="49" t="s">
        <v>1112</v>
      </c>
      <c r="G286" s="48" t="s">
        <v>1113</v>
      </c>
      <c r="H286" s="47" t="s">
        <v>1114</v>
      </c>
      <c r="I286" s="47" t="s">
        <v>141</v>
      </c>
      <c r="J286" s="47"/>
      <c r="K286" s="47"/>
      <c r="L286" s="47" t="s">
        <v>197</v>
      </c>
      <c r="M286" s="51"/>
      <c r="N286" s="51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</row>
    <row r="287">
      <c r="A287" s="47" t="s">
        <v>1115</v>
      </c>
      <c r="B287" s="47" t="s">
        <v>119</v>
      </c>
      <c r="C287" s="52">
        <v>40012.0</v>
      </c>
      <c r="D287" s="48">
        <f t="shared" si="5"/>
        <v>16</v>
      </c>
      <c r="E287" s="48">
        <v>3.29718084E8</v>
      </c>
      <c r="F287" s="49" t="s">
        <v>1116</v>
      </c>
      <c r="G287" s="48" t="s">
        <v>1117</v>
      </c>
      <c r="H287" s="47" t="s">
        <v>1118</v>
      </c>
      <c r="I287" s="47" t="s">
        <v>141</v>
      </c>
      <c r="J287" s="47"/>
      <c r="K287" s="47"/>
      <c r="L287" s="47" t="s">
        <v>197</v>
      </c>
      <c r="M287" s="51"/>
      <c r="N287" s="51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</row>
    <row r="288">
      <c r="A288" s="47" t="s">
        <v>1119</v>
      </c>
      <c r="B288" s="47" t="s">
        <v>119</v>
      </c>
      <c r="C288" s="52">
        <v>39861.0</v>
      </c>
      <c r="D288" s="48">
        <f t="shared" si="5"/>
        <v>16</v>
      </c>
      <c r="E288" s="48">
        <v>2.17806934E8</v>
      </c>
      <c r="F288" s="49" t="s">
        <v>1120</v>
      </c>
      <c r="G288" s="48" t="s">
        <v>1121</v>
      </c>
      <c r="H288" s="47" t="s">
        <v>1122</v>
      </c>
      <c r="I288" s="47" t="s">
        <v>194</v>
      </c>
      <c r="J288" s="47" t="s">
        <v>195</v>
      </c>
      <c r="K288" s="47" t="s">
        <v>1123</v>
      </c>
      <c r="L288" s="47" t="s">
        <v>197</v>
      </c>
      <c r="M288" s="51"/>
      <c r="N288" s="51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</row>
    <row r="289">
      <c r="A289" s="47" t="s">
        <v>1124</v>
      </c>
      <c r="B289" s="47" t="s">
        <v>119</v>
      </c>
      <c r="C289" s="52">
        <v>38870.0</v>
      </c>
      <c r="D289" s="48">
        <f t="shared" si="5"/>
        <v>19</v>
      </c>
      <c r="E289" s="48">
        <v>3.29512255E8</v>
      </c>
      <c r="F289" s="49" t="s">
        <v>1125</v>
      </c>
      <c r="G289" s="48" t="s">
        <v>1126</v>
      </c>
      <c r="H289" s="47" t="s">
        <v>1127</v>
      </c>
      <c r="I289" s="47" t="s">
        <v>194</v>
      </c>
      <c r="J289" s="47" t="s">
        <v>195</v>
      </c>
      <c r="K289" s="47" t="s">
        <v>1128</v>
      </c>
      <c r="L289" s="47" t="s">
        <v>197</v>
      </c>
      <c r="M289" s="51" t="s">
        <v>1129</v>
      </c>
      <c r="N289" s="51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</row>
    <row r="290">
      <c r="A290" s="47" t="s">
        <v>1130</v>
      </c>
      <c r="B290" s="47" t="s">
        <v>119</v>
      </c>
      <c r="C290" s="52">
        <v>37718.0</v>
      </c>
      <c r="D290" s="48">
        <f t="shared" si="5"/>
        <v>22</v>
      </c>
      <c r="E290" s="48">
        <v>2.13816036E8</v>
      </c>
      <c r="F290" s="49" t="s">
        <v>1131</v>
      </c>
      <c r="G290" s="48" t="s">
        <v>1132</v>
      </c>
      <c r="H290" s="47" t="s">
        <v>1133</v>
      </c>
      <c r="I290" s="47" t="s">
        <v>141</v>
      </c>
      <c r="J290" s="47"/>
      <c r="K290" s="47"/>
      <c r="L290" s="47" t="s">
        <v>197</v>
      </c>
      <c r="M290" s="51"/>
      <c r="N290" s="51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</row>
    <row r="291">
      <c r="A291" s="47" t="s">
        <v>1134</v>
      </c>
      <c r="B291" s="47" t="s">
        <v>119</v>
      </c>
      <c r="C291" s="55">
        <v>39325.0</v>
      </c>
      <c r="D291" s="48">
        <f t="shared" si="5"/>
        <v>18</v>
      </c>
      <c r="E291" s="48">
        <v>3.31717645E8</v>
      </c>
      <c r="F291" s="49" t="s">
        <v>1135</v>
      </c>
      <c r="G291" s="48" t="s">
        <v>1136</v>
      </c>
      <c r="H291" s="47" t="s">
        <v>172</v>
      </c>
      <c r="I291" s="47" t="s">
        <v>194</v>
      </c>
      <c r="J291" s="47" t="s">
        <v>218</v>
      </c>
      <c r="K291" s="47"/>
      <c r="L291" s="47" t="s">
        <v>197</v>
      </c>
      <c r="M291" s="51"/>
      <c r="N291" s="51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</row>
    <row r="292">
      <c r="A292" s="47" t="s">
        <v>1137</v>
      </c>
      <c r="B292" s="47" t="s">
        <v>119</v>
      </c>
      <c r="C292" s="54">
        <v>37571.0</v>
      </c>
      <c r="D292" s="48">
        <f t="shared" si="5"/>
        <v>23</v>
      </c>
      <c r="E292" s="48">
        <v>2.09593268E8</v>
      </c>
      <c r="F292" s="49" t="s">
        <v>1138</v>
      </c>
      <c r="G292" s="48" t="s">
        <v>1139</v>
      </c>
      <c r="H292" s="47" t="s">
        <v>1140</v>
      </c>
      <c r="I292" s="47" t="s">
        <v>194</v>
      </c>
      <c r="J292" s="47" t="s">
        <v>218</v>
      </c>
      <c r="K292" s="47"/>
      <c r="L292" s="47" t="s">
        <v>197</v>
      </c>
      <c r="M292" s="51"/>
      <c r="N292" s="51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</row>
    <row r="293">
      <c r="A293" s="47" t="s">
        <v>1141</v>
      </c>
      <c r="B293" s="47" t="s">
        <v>119</v>
      </c>
      <c r="C293" s="52">
        <v>40347.0</v>
      </c>
      <c r="D293" s="48">
        <f t="shared" si="5"/>
        <v>15</v>
      </c>
      <c r="E293" s="48">
        <v>3.33647618E8</v>
      </c>
      <c r="F293" s="49" t="s">
        <v>1142</v>
      </c>
      <c r="G293" s="48" t="s">
        <v>1143</v>
      </c>
      <c r="H293" s="47" t="s">
        <v>1144</v>
      </c>
      <c r="I293" s="47" t="s">
        <v>141</v>
      </c>
      <c r="J293" s="47"/>
      <c r="K293" s="47"/>
      <c r="L293" s="47" t="s">
        <v>197</v>
      </c>
      <c r="M293" s="51"/>
      <c r="N293" s="51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</row>
    <row r="294">
      <c r="A294" s="47" t="s">
        <v>1145</v>
      </c>
      <c r="B294" s="47" t="s">
        <v>119</v>
      </c>
      <c r="C294" s="52">
        <v>39678.0</v>
      </c>
      <c r="D294" s="48">
        <f t="shared" si="5"/>
        <v>17</v>
      </c>
      <c r="E294" s="48">
        <v>2.18022226E8</v>
      </c>
      <c r="F294" s="49" t="s">
        <v>1146</v>
      </c>
      <c r="G294" s="48" t="s">
        <v>1147</v>
      </c>
      <c r="H294" s="47" t="s">
        <v>53</v>
      </c>
      <c r="I294" s="47" t="s">
        <v>141</v>
      </c>
      <c r="J294" s="47"/>
      <c r="K294" s="47"/>
      <c r="L294" s="47" t="s">
        <v>197</v>
      </c>
      <c r="M294" s="51"/>
      <c r="N294" s="51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</row>
    <row r="295">
      <c r="A295" s="47" t="s">
        <v>1148</v>
      </c>
      <c r="B295" s="47" t="s">
        <v>119</v>
      </c>
      <c r="C295" s="52">
        <v>40030.0</v>
      </c>
      <c r="D295" s="48">
        <f t="shared" si="5"/>
        <v>16</v>
      </c>
      <c r="E295" s="48">
        <v>3.33537504E8</v>
      </c>
      <c r="F295" s="49" t="s">
        <v>1149</v>
      </c>
      <c r="G295" s="48" t="s">
        <v>1150</v>
      </c>
      <c r="H295" s="47" t="s">
        <v>136</v>
      </c>
      <c r="I295" s="47" t="s">
        <v>141</v>
      </c>
      <c r="J295" s="47"/>
      <c r="K295" s="47"/>
      <c r="L295" s="47" t="s">
        <v>197</v>
      </c>
      <c r="M295" s="51"/>
      <c r="N295" s="51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</row>
    <row r="296" hidden="1">
      <c r="A296" s="47" t="s">
        <v>1151</v>
      </c>
      <c r="B296" s="47" t="s">
        <v>119</v>
      </c>
      <c r="C296" s="52">
        <v>39987.0</v>
      </c>
      <c r="D296" s="48">
        <f t="shared" si="5"/>
        <v>16</v>
      </c>
      <c r="E296" s="48">
        <v>2.18496677E8</v>
      </c>
      <c r="F296" s="49" t="s">
        <v>1152</v>
      </c>
      <c r="G296" s="48" t="s">
        <v>1153</v>
      </c>
      <c r="H296" s="47" t="s">
        <v>201</v>
      </c>
      <c r="I296" s="47" t="s">
        <v>188</v>
      </c>
      <c r="J296" s="47"/>
      <c r="K296" s="47"/>
      <c r="L296" s="47" t="s">
        <v>189</v>
      </c>
      <c r="M296" s="51"/>
      <c r="N296" s="51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</row>
    <row r="297">
      <c r="A297" s="47" t="s">
        <v>1154</v>
      </c>
      <c r="B297" s="47" t="s">
        <v>119</v>
      </c>
      <c r="C297" s="52">
        <v>39459.0</v>
      </c>
      <c r="D297" s="48">
        <f t="shared" si="5"/>
        <v>17</v>
      </c>
      <c r="E297" s="48">
        <v>3.31407718E8</v>
      </c>
      <c r="F297" s="49" t="s">
        <v>1155</v>
      </c>
      <c r="G297" s="48" t="s">
        <v>1156</v>
      </c>
      <c r="H297" s="47" t="s">
        <v>34</v>
      </c>
      <c r="I297" s="47" t="s">
        <v>141</v>
      </c>
      <c r="J297" s="47"/>
      <c r="K297" s="47"/>
      <c r="L297" s="47" t="s">
        <v>197</v>
      </c>
      <c r="M297" s="51"/>
      <c r="N297" s="51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</row>
    <row r="298">
      <c r="A298" s="47" t="s">
        <v>1157</v>
      </c>
      <c r="B298" s="47" t="s">
        <v>119</v>
      </c>
      <c r="C298" s="52">
        <v>41339.0</v>
      </c>
      <c r="D298" s="48">
        <f t="shared" si="5"/>
        <v>12</v>
      </c>
      <c r="E298" s="48">
        <v>2.14141996E8</v>
      </c>
      <c r="F298" s="49" t="s">
        <v>1158</v>
      </c>
      <c r="G298" s="48" t="s">
        <v>1159</v>
      </c>
      <c r="H298" s="47" t="s">
        <v>551</v>
      </c>
      <c r="I298" s="47" t="s">
        <v>141</v>
      </c>
      <c r="J298" s="47"/>
      <c r="K298" s="47"/>
      <c r="L298" s="47" t="s">
        <v>197</v>
      </c>
      <c r="M298" s="51"/>
      <c r="N298" s="51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</row>
    <row r="299">
      <c r="A299" s="47" t="s">
        <v>1160</v>
      </c>
      <c r="B299" s="47" t="s">
        <v>133</v>
      </c>
      <c r="C299" s="55">
        <v>38793.0</v>
      </c>
      <c r="D299" s="48">
        <f t="shared" si="5"/>
        <v>19</v>
      </c>
      <c r="E299" s="48">
        <v>2.15971243E8</v>
      </c>
      <c r="F299" s="49" t="s">
        <v>1161</v>
      </c>
      <c r="G299" s="48" t="s">
        <v>1162</v>
      </c>
      <c r="H299" s="47" t="s">
        <v>1163</v>
      </c>
      <c r="I299" s="47" t="s">
        <v>194</v>
      </c>
      <c r="J299" s="47" t="s">
        <v>209</v>
      </c>
      <c r="K299" s="50"/>
      <c r="L299" s="47" t="s">
        <v>197</v>
      </c>
      <c r="M299" s="51"/>
      <c r="N299" s="51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</row>
    <row r="300">
      <c r="A300" s="47" t="s">
        <v>1164</v>
      </c>
      <c r="B300" s="47" t="s">
        <v>119</v>
      </c>
      <c r="C300" s="55">
        <v>39602.0</v>
      </c>
      <c r="D300" s="48">
        <f t="shared" si="5"/>
        <v>17</v>
      </c>
      <c r="E300" s="48">
        <v>3.28349261E8</v>
      </c>
      <c r="F300" s="49" t="s">
        <v>1165</v>
      </c>
      <c r="G300" s="48" t="s">
        <v>1166</v>
      </c>
      <c r="H300" s="47" t="s">
        <v>34</v>
      </c>
      <c r="I300" s="47" t="s">
        <v>194</v>
      </c>
      <c r="J300" s="47" t="s">
        <v>218</v>
      </c>
      <c r="K300" s="47"/>
      <c r="L300" s="47" t="s">
        <v>197</v>
      </c>
      <c r="M300" s="51"/>
      <c r="N300" s="51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</row>
    <row r="301">
      <c r="A301" s="47" t="s">
        <v>1167</v>
      </c>
      <c r="B301" s="47" t="s">
        <v>119</v>
      </c>
      <c r="C301" s="52">
        <v>38210.0</v>
      </c>
      <c r="D301" s="48">
        <f t="shared" si="5"/>
        <v>21</v>
      </c>
      <c r="E301" s="48">
        <v>2.14669335E8</v>
      </c>
      <c r="F301" s="49" t="s">
        <v>1168</v>
      </c>
      <c r="G301" s="48" t="s">
        <v>1169</v>
      </c>
      <c r="H301" s="47" t="s">
        <v>201</v>
      </c>
      <c r="I301" s="47" t="s">
        <v>141</v>
      </c>
      <c r="J301" s="47"/>
      <c r="K301" s="47"/>
      <c r="L301" s="47" t="s">
        <v>197</v>
      </c>
      <c r="M301" s="51"/>
      <c r="N301" s="51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</row>
    <row r="302">
      <c r="A302" s="47" t="s">
        <v>1170</v>
      </c>
      <c r="B302" s="47" t="s">
        <v>133</v>
      </c>
      <c r="C302" s="52">
        <v>39676.0</v>
      </c>
      <c r="D302" s="48">
        <f t="shared" si="5"/>
        <v>17</v>
      </c>
      <c r="E302" s="48">
        <v>2.16352849E8</v>
      </c>
      <c r="F302" s="49" t="s">
        <v>1171</v>
      </c>
      <c r="G302" s="48" t="s">
        <v>1172</v>
      </c>
      <c r="H302" s="47" t="s">
        <v>275</v>
      </c>
      <c r="I302" s="47" t="s">
        <v>141</v>
      </c>
      <c r="J302" s="47"/>
      <c r="K302" s="47"/>
      <c r="L302" s="47" t="s">
        <v>197</v>
      </c>
      <c r="M302" s="51"/>
      <c r="N302" s="51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</row>
    <row r="303" hidden="1">
      <c r="A303" s="47" t="s">
        <v>1173</v>
      </c>
      <c r="B303" s="47" t="s">
        <v>133</v>
      </c>
      <c r="C303" s="52">
        <v>39121.0</v>
      </c>
      <c r="D303" s="48">
        <f t="shared" si="5"/>
        <v>18</v>
      </c>
      <c r="E303" s="48">
        <v>3.30931882E8</v>
      </c>
      <c r="F303" s="49" t="s">
        <v>1174</v>
      </c>
      <c r="G303" s="48" t="s">
        <v>1175</v>
      </c>
      <c r="H303" s="47" t="s">
        <v>871</v>
      </c>
      <c r="I303" s="47" t="s">
        <v>188</v>
      </c>
      <c r="J303" s="47"/>
      <c r="K303" s="47"/>
      <c r="L303" s="47" t="s">
        <v>189</v>
      </c>
      <c r="M303" s="51"/>
      <c r="N303" s="51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</row>
    <row r="304">
      <c r="A304" s="47" t="s">
        <v>1176</v>
      </c>
      <c r="B304" s="47" t="s">
        <v>119</v>
      </c>
      <c r="C304" s="52">
        <v>40158.0</v>
      </c>
      <c r="D304" s="48">
        <f t="shared" si="5"/>
        <v>16</v>
      </c>
      <c r="E304" s="48">
        <v>2.18733582E8</v>
      </c>
      <c r="F304" s="49" t="s">
        <v>1177</v>
      </c>
      <c r="G304" s="48" t="s">
        <v>1178</v>
      </c>
      <c r="H304" s="47" t="s">
        <v>201</v>
      </c>
      <c r="I304" s="47" t="s">
        <v>141</v>
      </c>
      <c r="J304" s="47"/>
      <c r="K304" s="47"/>
      <c r="L304" s="47" t="s">
        <v>197</v>
      </c>
      <c r="M304" s="51"/>
      <c r="N304" s="51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</row>
    <row r="305">
      <c r="A305" s="47" t="s">
        <v>1179</v>
      </c>
      <c r="B305" s="47" t="s">
        <v>119</v>
      </c>
      <c r="C305" s="52">
        <v>37218.0</v>
      </c>
      <c r="D305" s="48">
        <f t="shared" si="5"/>
        <v>24</v>
      </c>
      <c r="E305" s="48">
        <v>3.28952346E8</v>
      </c>
      <c r="F305" s="49" t="s">
        <v>1180</v>
      </c>
      <c r="G305" s="48" t="s">
        <v>1181</v>
      </c>
      <c r="H305" s="47" t="s">
        <v>1042</v>
      </c>
      <c r="I305" s="47" t="s">
        <v>141</v>
      </c>
      <c r="J305" s="47"/>
      <c r="K305" s="47"/>
      <c r="L305" s="47" t="s">
        <v>197</v>
      </c>
      <c r="M305" s="51"/>
      <c r="N305" s="51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</row>
    <row r="306" hidden="1">
      <c r="A306" s="47" t="s">
        <v>1182</v>
      </c>
      <c r="B306" s="47" t="s">
        <v>119</v>
      </c>
      <c r="C306" s="52">
        <v>37547.0</v>
      </c>
      <c r="D306" s="48">
        <f t="shared" si="5"/>
        <v>23</v>
      </c>
      <c r="E306" s="48">
        <v>2.13239403E8</v>
      </c>
      <c r="F306" s="49" t="s">
        <v>1183</v>
      </c>
      <c r="G306" s="48" t="s">
        <v>1184</v>
      </c>
      <c r="H306" s="47" t="s">
        <v>12</v>
      </c>
      <c r="I306" s="47" t="s">
        <v>188</v>
      </c>
      <c r="J306" s="47"/>
      <c r="K306" s="47"/>
      <c r="L306" s="47" t="s">
        <v>189</v>
      </c>
      <c r="M306" s="51"/>
      <c r="N306" s="51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</row>
    <row r="307" hidden="1">
      <c r="A307" s="59" t="s">
        <v>1185</v>
      </c>
      <c r="B307" s="47" t="s">
        <v>133</v>
      </c>
      <c r="C307" s="48">
        <v>17.0</v>
      </c>
      <c r="D307" s="48">
        <f t="shared" si="5"/>
        <v>125</v>
      </c>
      <c r="E307" s="48">
        <v>3.31052175E8</v>
      </c>
      <c r="F307" s="49" t="s">
        <v>1186</v>
      </c>
      <c r="G307" s="48" t="s">
        <v>1187</v>
      </c>
      <c r="H307" s="47" t="s">
        <v>34</v>
      </c>
      <c r="I307" s="47" t="s">
        <v>188</v>
      </c>
      <c r="J307" s="47"/>
      <c r="K307" s="47"/>
      <c r="L307" s="47" t="s">
        <v>189</v>
      </c>
      <c r="M307" s="51"/>
      <c r="N307" s="51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</row>
    <row r="308">
      <c r="A308" s="47" t="s">
        <v>1188</v>
      </c>
      <c r="B308" s="47" t="s">
        <v>119</v>
      </c>
      <c r="C308" s="52">
        <v>39341.0</v>
      </c>
      <c r="D308" s="48">
        <f t="shared" si="5"/>
        <v>18</v>
      </c>
      <c r="E308" s="48">
        <v>3.31099556E8</v>
      </c>
      <c r="F308" s="49" t="s">
        <v>1189</v>
      </c>
      <c r="G308" s="48" t="s">
        <v>1190</v>
      </c>
      <c r="H308" s="47" t="s">
        <v>34</v>
      </c>
      <c r="I308" s="47" t="s">
        <v>141</v>
      </c>
      <c r="J308" s="47"/>
      <c r="K308" s="47"/>
      <c r="L308" s="47" t="s">
        <v>197</v>
      </c>
      <c r="M308" s="51"/>
      <c r="N308" s="51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</row>
    <row r="309">
      <c r="A309" s="47" t="s">
        <v>1191</v>
      </c>
      <c r="B309" s="47" t="s">
        <v>119</v>
      </c>
      <c r="C309" s="52">
        <v>39611.0</v>
      </c>
      <c r="D309" s="48">
        <f t="shared" si="5"/>
        <v>17</v>
      </c>
      <c r="E309" s="48">
        <v>2.18112068E8</v>
      </c>
      <c r="F309" s="49" t="s">
        <v>1192</v>
      </c>
      <c r="G309" s="48" t="s">
        <v>1193</v>
      </c>
      <c r="H309" s="47" t="s">
        <v>34</v>
      </c>
      <c r="I309" s="47" t="s">
        <v>141</v>
      </c>
      <c r="J309" s="47"/>
      <c r="K309" s="47"/>
      <c r="L309" s="47" t="s">
        <v>197</v>
      </c>
      <c r="M309" s="51"/>
      <c r="N309" s="51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</row>
    <row r="310">
      <c r="A310" s="47" t="s">
        <v>42</v>
      </c>
      <c r="B310" s="47" t="s">
        <v>119</v>
      </c>
      <c r="C310" s="52">
        <v>39874.0</v>
      </c>
      <c r="D310" s="48">
        <f t="shared" si="5"/>
        <v>16</v>
      </c>
      <c r="E310" s="48">
        <v>2.18226363E8</v>
      </c>
      <c r="F310" s="49" t="s">
        <v>1194</v>
      </c>
      <c r="G310" s="48" t="s">
        <v>1195</v>
      </c>
      <c r="H310" s="47" t="s">
        <v>140</v>
      </c>
      <c r="I310" s="47" t="s">
        <v>194</v>
      </c>
      <c r="J310" s="47" t="s">
        <v>195</v>
      </c>
      <c r="K310" s="47" t="s">
        <v>1196</v>
      </c>
      <c r="L310" s="47" t="s">
        <v>197</v>
      </c>
      <c r="M310" s="51"/>
      <c r="N310" s="51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</row>
    <row r="311">
      <c r="A311" s="47" t="s">
        <v>1197</v>
      </c>
      <c r="B311" s="47" t="s">
        <v>119</v>
      </c>
      <c r="C311" s="54">
        <v>39747.0</v>
      </c>
      <c r="D311" s="48">
        <f t="shared" si="5"/>
        <v>17</v>
      </c>
      <c r="E311" s="48">
        <v>3.33009215E8</v>
      </c>
      <c r="F311" s="49" t="s">
        <v>1198</v>
      </c>
      <c r="G311" s="48" t="s">
        <v>1199</v>
      </c>
      <c r="H311" s="47" t="s">
        <v>34</v>
      </c>
      <c r="I311" s="47" t="s">
        <v>194</v>
      </c>
      <c r="J311" s="47" t="s">
        <v>218</v>
      </c>
      <c r="K311" s="47"/>
      <c r="L311" s="47" t="s">
        <v>197</v>
      </c>
      <c r="M311" s="51"/>
      <c r="N311" s="51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</row>
    <row r="312">
      <c r="A312" s="47" t="s">
        <v>1200</v>
      </c>
      <c r="B312" s="47" t="s">
        <v>133</v>
      </c>
      <c r="C312" s="52">
        <v>37393.0</v>
      </c>
      <c r="D312" s="48">
        <f t="shared" si="5"/>
        <v>23</v>
      </c>
      <c r="E312" s="48">
        <v>3.24857416E8</v>
      </c>
      <c r="F312" s="49" t="s">
        <v>1201</v>
      </c>
      <c r="G312" s="48" t="s">
        <v>1202</v>
      </c>
      <c r="H312" s="47" t="s">
        <v>583</v>
      </c>
      <c r="I312" s="47" t="s">
        <v>141</v>
      </c>
      <c r="J312" s="47"/>
      <c r="K312" s="47"/>
      <c r="L312" s="47" t="s">
        <v>197</v>
      </c>
      <c r="M312" s="51"/>
      <c r="N312" s="51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</row>
    <row r="313">
      <c r="A313" s="47" t="s">
        <v>1203</v>
      </c>
      <c r="B313" s="47" t="s">
        <v>133</v>
      </c>
      <c r="C313" s="55">
        <v>39673.0</v>
      </c>
      <c r="D313" s="48">
        <f t="shared" si="5"/>
        <v>17</v>
      </c>
      <c r="E313" s="48">
        <v>3.45194344E8</v>
      </c>
      <c r="F313" s="48">
        <v>5.86933684E8</v>
      </c>
      <c r="G313" s="48" t="s">
        <v>1204</v>
      </c>
      <c r="H313" s="47" t="s">
        <v>34</v>
      </c>
      <c r="I313" s="47" t="s">
        <v>194</v>
      </c>
      <c r="J313" s="47" t="s">
        <v>209</v>
      </c>
      <c r="K313" s="50"/>
      <c r="L313" s="47" t="s">
        <v>197</v>
      </c>
      <c r="M313" s="51"/>
      <c r="N313" s="51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</row>
    <row r="314" hidden="1">
      <c r="A314" s="47" t="s">
        <v>1205</v>
      </c>
      <c r="B314" s="47" t="s">
        <v>133</v>
      </c>
      <c r="C314" s="52">
        <v>37456.0</v>
      </c>
      <c r="D314" s="48">
        <f t="shared" si="5"/>
        <v>23</v>
      </c>
      <c r="E314" s="48">
        <v>2.1272391E8</v>
      </c>
      <c r="F314" s="49" t="s">
        <v>1206</v>
      </c>
      <c r="G314" s="48" t="s">
        <v>1207</v>
      </c>
      <c r="H314" s="47" t="s">
        <v>800</v>
      </c>
      <c r="I314" s="47" t="s">
        <v>188</v>
      </c>
      <c r="J314" s="47"/>
      <c r="K314" s="47"/>
      <c r="L314" s="47" t="s">
        <v>189</v>
      </c>
      <c r="M314" s="51"/>
      <c r="N314" s="51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</row>
    <row r="315">
      <c r="A315" s="47" t="s">
        <v>1208</v>
      </c>
      <c r="B315" s="47" t="s">
        <v>119</v>
      </c>
      <c r="C315" s="54">
        <v>39000.0</v>
      </c>
      <c r="D315" s="48">
        <f t="shared" si="5"/>
        <v>19</v>
      </c>
      <c r="E315" s="48">
        <v>3.45194336E8</v>
      </c>
      <c r="F315" s="49" t="s">
        <v>1209</v>
      </c>
      <c r="G315" s="48" t="s">
        <v>1210</v>
      </c>
      <c r="H315" s="47" t="s">
        <v>34</v>
      </c>
      <c r="I315" s="47" t="s">
        <v>194</v>
      </c>
      <c r="J315" s="47" t="s">
        <v>218</v>
      </c>
      <c r="K315" s="47"/>
      <c r="L315" s="47" t="s">
        <v>197</v>
      </c>
      <c r="M315" s="51"/>
      <c r="N315" s="51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</row>
    <row r="316" hidden="1">
      <c r="A316" s="47" t="s">
        <v>1211</v>
      </c>
      <c r="B316" s="47" t="s">
        <v>119</v>
      </c>
      <c r="C316" s="52">
        <v>34957.0</v>
      </c>
      <c r="D316" s="48">
        <f t="shared" si="5"/>
        <v>30</v>
      </c>
      <c r="E316" s="48">
        <v>3.15073239E8</v>
      </c>
      <c r="F316" s="49" t="s">
        <v>1212</v>
      </c>
      <c r="G316" s="48" t="s">
        <v>1213</v>
      </c>
      <c r="H316" s="47" t="s">
        <v>701</v>
      </c>
      <c r="I316" s="47" t="s">
        <v>188</v>
      </c>
      <c r="J316" s="47"/>
      <c r="K316" s="47"/>
      <c r="L316" s="47" t="s">
        <v>189</v>
      </c>
      <c r="M316" s="51"/>
      <c r="N316" s="51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</row>
    <row r="317">
      <c r="A317" s="47" t="s">
        <v>47</v>
      </c>
      <c r="B317" s="47" t="s">
        <v>119</v>
      </c>
      <c r="C317" s="52">
        <v>39780.0</v>
      </c>
      <c r="D317" s="48">
        <f t="shared" si="5"/>
        <v>17</v>
      </c>
      <c r="E317" s="48">
        <v>3.31978486E8</v>
      </c>
      <c r="F317" s="49" t="s">
        <v>1214</v>
      </c>
      <c r="G317" s="48" t="s">
        <v>1215</v>
      </c>
      <c r="H317" s="47" t="s">
        <v>34</v>
      </c>
      <c r="I317" s="47" t="s">
        <v>194</v>
      </c>
      <c r="J317" s="47" t="s">
        <v>209</v>
      </c>
      <c r="K317" s="47"/>
      <c r="L317" s="47" t="s">
        <v>197</v>
      </c>
      <c r="M317" s="51"/>
      <c r="N317" s="51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</row>
    <row r="318">
      <c r="A318" s="47" t="s">
        <v>1216</v>
      </c>
      <c r="B318" s="47" t="s">
        <v>119</v>
      </c>
      <c r="C318" s="55">
        <v>38130.0</v>
      </c>
      <c r="D318" s="48">
        <f t="shared" si="5"/>
        <v>21</v>
      </c>
      <c r="E318" s="48">
        <v>3.2663576E8</v>
      </c>
      <c r="F318" s="49" t="s">
        <v>1217</v>
      </c>
      <c r="G318" s="48" t="s">
        <v>1218</v>
      </c>
      <c r="H318" s="47" t="s">
        <v>34</v>
      </c>
      <c r="I318" s="47" t="s">
        <v>194</v>
      </c>
      <c r="J318" s="47" t="s">
        <v>218</v>
      </c>
      <c r="K318" s="47"/>
      <c r="L318" s="47" t="s">
        <v>197</v>
      </c>
      <c r="M318" s="51"/>
      <c r="N318" s="51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</row>
    <row r="319" hidden="1">
      <c r="A319" s="47" t="s">
        <v>1219</v>
      </c>
      <c r="B319" s="47" t="s">
        <v>119</v>
      </c>
      <c r="C319" s="52">
        <v>36265.0</v>
      </c>
      <c r="D319" s="48">
        <f t="shared" si="5"/>
        <v>26</v>
      </c>
      <c r="E319" s="48">
        <v>3.19086807E8</v>
      </c>
      <c r="F319" s="49" t="s">
        <v>1220</v>
      </c>
      <c r="G319" s="48" t="s">
        <v>1221</v>
      </c>
      <c r="H319" s="47" t="s">
        <v>161</v>
      </c>
      <c r="I319" s="47" t="s">
        <v>188</v>
      </c>
      <c r="J319" s="47"/>
      <c r="K319" s="47"/>
      <c r="L319" s="47" t="s">
        <v>197</v>
      </c>
      <c r="M319" s="51"/>
      <c r="N319" s="51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</row>
    <row r="320">
      <c r="A320" s="47" t="s">
        <v>1222</v>
      </c>
      <c r="B320" s="47" t="s">
        <v>119</v>
      </c>
      <c r="C320" s="52">
        <v>34745.0</v>
      </c>
      <c r="D320" s="48">
        <f t="shared" si="5"/>
        <v>30</v>
      </c>
      <c r="E320" s="48">
        <v>2.06081176E8</v>
      </c>
      <c r="F320" s="49" t="s">
        <v>1223</v>
      </c>
      <c r="G320" s="48" t="s">
        <v>1224</v>
      </c>
      <c r="H320" s="47" t="s">
        <v>451</v>
      </c>
      <c r="I320" s="47" t="s">
        <v>141</v>
      </c>
      <c r="J320" s="47"/>
      <c r="K320" s="47"/>
      <c r="L320" s="47" t="s">
        <v>197</v>
      </c>
      <c r="M320" s="51"/>
      <c r="N320" s="51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</row>
    <row r="321">
      <c r="A321" s="47" t="s">
        <v>1225</v>
      </c>
      <c r="B321" s="47" t="s">
        <v>119</v>
      </c>
      <c r="C321" s="52">
        <v>39839.0</v>
      </c>
      <c r="D321" s="48">
        <f t="shared" si="5"/>
        <v>16</v>
      </c>
      <c r="E321" s="48">
        <v>2.18140689E8</v>
      </c>
      <c r="F321" s="49" t="s">
        <v>1226</v>
      </c>
      <c r="G321" s="48" t="s">
        <v>1227</v>
      </c>
      <c r="H321" s="47" t="s">
        <v>800</v>
      </c>
      <c r="I321" s="47" t="s">
        <v>141</v>
      </c>
      <c r="J321" s="47"/>
      <c r="K321" s="47"/>
      <c r="L321" s="47" t="s">
        <v>197</v>
      </c>
      <c r="M321" s="51"/>
      <c r="N321" s="51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</row>
    <row r="322">
      <c r="A322" s="47" t="s">
        <v>420</v>
      </c>
      <c r="B322" s="47" t="s">
        <v>119</v>
      </c>
      <c r="C322" s="55">
        <v>39537.0</v>
      </c>
      <c r="D322" s="48">
        <f t="shared" si="5"/>
        <v>17</v>
      </c>
      <c r="E322" s="48">
        <v>3.31519074E8</v>
      </c>
      <c r="F322" s="48">
        <v>5.22748815E8</v>
      </c>
      <c r="G322" s="48" t="s">
        <v>1228</v>
      </c>
      <c r="H322" s="47" t="s">
        <v>34</v>
      </c>
      <c r="I322" s="47" t="s">
        <v>194</v>
      </c>
      <c r="J322" s="47" t="s">
        <v>195</v>
      </c>
      <c r="K322" s="47" t="s">
        <v>1229</v>
      </c>
      <c r="L322" s="47" t="s">
        <v>197</v>
      </c>
      <c r="M322" s="51"/>
      <c r="N322" s="51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</row>
    <row r="323">
      <c r="A323" s="47" t="s">
        <v>1230</v>
      </c>
      <c r="B323" s="47" t="s">
        <v>119</v>
      </c>
      <c r="C323" s="55">
        <v>39722.0</v>
      </c>
      <c r="D323" s="48">
        <f t="shared" si="5"/>
        <v>17</v>
      </c>
      <c r="E323" s="48">
        <v>3.30072232E8</v>
      </c>
      <c r="F323" s="49" t="s">
        <v>1231</v>
      </c>
      <c r="G323" s="48" t="s">
        <v>1232</v>
      </c>
      <c r="H323" s="47" t="s">
        <v>34</v>
      </c>
      <c r="I323" s="47" t="s">
        <v>194</v>
      </c>
      <c r="J323" s="47" t="s">
        <v>218</v>
      </c>
      <c r="K323" s="47"/>
      <c r="L323" s="47" t="s">
        <v>197</v>
      </c>
      <c r="M323" s="51"/>
      <c r="N323" s="51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>
      <c r="A324" s="47" t="s">
        <v>1233</v>
      </c>
      <c r="B324" s="47" t="s">
        <v>133</v>
      </c>
      <c r="C324" s="52">
        <v>39831.0</v>
      </c>
      <c r="D324" s="48">
        <f t="shared" si="5"/>
        <v>16</v>
      </c>
      <c r="E324" s="48">
        <v>2.17979467E8</v>
      </c>
      <c r="F324" s="49" t="s">
        <v>1234</v>
      </c>
      <c r="G324" s="48" t="s">
        <v>1235</v>
      </c>
      <c r="H324" s="47" t="s">
        <v>239</v>
      </c>
      <c r="I324" s="47" t="s">
        <v>141</v>
      </c>
      <c r="J324" s="47"/>
      <c r="K324" s="47"/>
      <c r="L324" s="47" t="s">
        <v>197</v>
      </c>
      <c r="M324" s="51"/>
      <c r="N324" s="51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>
      <c r="A325" s="47" t="s">
        <v>1236</v>
      </c>
      <c r="B325" s="47" t="s">
        <v>119</v>
      </c>
      <c r="C325" s="52">
        <v>39316.0</v>
      </c>
      <c r="D325" s="48">
        <f t="shared" si="5"/>
        <v>18</v>
      </c>
      <c r="E325" s="48">
        <v>3.31133454E8</v>
      </c>
      <c r="F325" s="49" t="s">
        <v>1237</v>
      </c>
      <c r="G325" s="48" t="s">
        <v>1238</v>
      </c>
      <c r="H325" s="47" t="s">
        <v>242</v>
      </c>
      <c r="I325" s="47" t="s">
        <v>194</v>
      </c>
      <c r="J325" s="47" t="s">
        <v>195</v>
      </c>
      <c r="K325" s="47" t="s">
        <v>1239</v>
      </c>
      <c r="L325" s="47" t="s">
        <v>197</v>
      </c>
      <c r="M325" s="51"/>
      <c r="N325" s="51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>
      <c r="A326" s="47" t="s">
        <v>1240</v>
      </c>
      <c r="B326" s="47" t="s">
        <v>119</v>
      </c>
      <c r="C326" s="55">
        <v>38973.0</v>
      </c>
      <c r="D326" s="48">
        <f t="shared" si="5"/>
        <v>19</v>
      </c>
      <c r="E326" s="48">
        <v>2.1620654E8</v>
      </c>
      <c r="F326" s="49" t="s">
        <v>1241</v>
      </c>
      <c r="G326" s="48" t="s">
        <v>1242</v>
      </c>
      <c r="H326" s="47" t="s">
        <v>34</v>
      </c>
      <c r="I326" s="47" t="s">
        <v>194</v>
      </c>
      <c r="J326" s="47" t="s">
        <v>218</v>
      </c>
      <c r="K326" s="47"/>
      <c r="L326" s="47" t="s">
        <v>197</v>
      </c>
      <c r="M326" s="51"/>
      <c r="N326" s="51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>
      <c r="A327" s="47" t="s">
        <v>1243</v>
      </c>
      <c r="B327" s="47" t="s">
        <v>119</v>
      </c>
      <c r="C327" s="52">
        <v>40525.0</v>
      </c>
      <c r="D327" s="48">
        <f t="shared" si="5"/>
        <v>15</v>
      </c>
      <c r="E327" s="48">
        <v>2.201234E8</v>
      </c>
      <c r="F327" s="49" t="s">
        <v>1244</v>
      </c>
      <c r="G327" s="48" t="s">
        <v>1245</v>
      </c>
      <c r="H327" s="47" t="s">
        <v>148</v>
      </c>
      <c r="I327" s="47" t="s">
        <v>141</v>
      </c>
      <c r="J327" s="47"/>
      <c r="K327" s="47"/>
      <c r="L327" s="47" t="s">
        <v>197</v>
      </c>
      <c r="M327" s="51"/>
      <c r="N327" s="51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</row>
    <row r="328" hidden="1">
      <c r="A328" s="47" t="s">
        <v>1246</v>
      </c>
      <c r="B328" s="47" t="s">
        <v>119</v>
      </c>
      <c r="C328" s="52">
        <v>39397.0</v>
      </c>
      <c r="D328" s="48">
        <f t="shared" si="5"/>
        <v>18</v>
      </c>
      <c r="E328" s="48">
        <v>2.17270289E8</v>
      </c>
      <c r="F328" s="49" t="s">
        <v>1247</v>
      </c>
      <c r="G328" s="48" t="s">
        <v>1248</v>
      </c>
      <c r="H328" s="47" t="s">
        <v>1249</v>
      </c>
      <c r="I328" s="47" t="s">
        <v>188</v>
      </c>
      <c r="J328" s="47"/>
      <c r="K328" s="47"/>
      <c r="L328" s="47" t="s">
        <v>189</v>
      </c>
      <c r="M328" s="51"/>
      <c r="N328" s="51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>
      <c r="A329" s="47" t="s">
        <v>1250</v>
      </c>
      <c r="B329" s="47" t="s">
        <v>119</v>
      </c>
      <c r="C329" s="52">
        <v>39551.0</v>
      </c>
      <c r="D329" s="48">
        <f t="shared" si="5"/>
        <v>17</v>
      </c>
      <c r="E329" s="48">
        <v>3.3152819E8</v>
      </c>
      <c r="F329" s="49" t="s">
        <v>1251</v>
      </c>
      <c r="G329" s="48" t="s">
        <v>1252</v>
      </c>
      <c r="H329" s="47" t="s">
        <v>430</v>
      </c>
      <c r="I329" s="47" t="s">
        <v>141</v>
      </c>
      <c r="J329" s="47"/>
      <c r="K329" s="47"/>
      <c r="L329" s="47" t="s">
        <v>197</v>
      </c>
      <c r="M329" s="51"/>
      <c r="N329" s="51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</row>
    <row r="330">
      <c r="A330" s="47" t="s">
        <v>1253</v>
      </c>
      <c r="B330" s="47" t="s">
        <v>119</v>
      </c>
      <c r="C330" s="52">
        <v>40342.0</v>
      </c>
      <c r="D330" s="48">
        <f t="shared" si="5"/>
        <v>15</v>
      </c>
      <c r="E330" s="48">
        <v>3.34756251E8</v>
      </c>
      <c r="F330" s="49" t="s">
        <v>1254</v>
      </c>
      <c r="G330" s="48" t="s">
        <v>1255</v>
      </c>
      <c r="H330" s="47" t="s">
        <v>1256</v>
      </c>
      <c r="I330" s="47" t="s">
        <v>141</v>
      </c>
      <c r="J330" s="47"/>
      <c r="K330" s="47"/>
      <c r="L330" s="47" t="s">
        <v>197</v>
      </c>
      <c r="M330" s="51"/>
      <c r="N330" s="51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</row>
    <row r="331">
      <c r="A331" s="47" t="s">
        <v>1257</v>
      </c>
      <c r="B331" s="47" t="s">
        <v>119</v>
      </c>
      <c r="C331" s="52">
        <v>40819.0</v>
      </c>
      <c r="D331" s="48">
        <f t="shared" si="5"/>
        <v>14</v>
      </c>
      <c r="E331" s="48">
        <v>3.46475379E8</v>
      </c>
      <c r="F331" s="49" t="s">
        <v>1258</v>
      </c>
      <c r="G331" s="48" t="s">
        <v>1259</v>
      </c>
      <c r="H331" s="47" t="s">
        <v>34</v>
      </c>
      <c r="I331" s="47" t="s">
        <v>194</v>
      </c>
      <c r="J331" s="47" t="s">
        <v>218</v>
      </c>
      <c r="K331" s="47"/>
      <c r="L331" s="47" t="s">
        <v>197</v>
      </c>
      <c r="M331" s="51"/>
      <c r="N331" s="51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>
      <c r="A332" s="47" t="s">
        <v>1260</v>
      </c>
      <c r="B332" s="47" t="s">
        <v>119</v>
      </c>
      <c r="C332" s="52">
        <v>38601.0</v>
      </c>
      <c r="D332" s="48">
        <f t="shared" si="5"/>
        <v>20</v>
      </c>
      <c r="E332" s="48">
        <v>3.2782273E8</v>
      </c>
      <c r="F332" s="49" t="s">
        <v>1261</v>
      </c>
      <c r="G332" s="48" t="s">
        <v>1262</v>
      </c>
      <c r="H332" s="47" t="s">
        <v>1263</v>
      </c>
      <c r="I332" s="47" t="s">
        <v>141</v>
      </c>
      <c r="J332" s="47"/>
      <c r="K332" s="47"/>
      <c r="L332" s="47" t="s">
        <v>197</v>
      </c>
      <c r="M332" s="51"/>
      <c r="N332" s="51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</row>
    <row r="333">
      <c r="A333" s="47" t="s">
        <v>1264</v>
      </c>
      <c r="B333" s="47" t="s">
        <v>119</v>
      </c>
      <c r="C333" s="52">
        <v>39665.0</v>
      </c>
      <c r="D333" s="48">
        <f t="shared" si="5"/>
        <v>17</v>
      </c>
      <c r="E333" s="48">
        <v>3.31620385E8</v>
      </c>
      <c r="F333" s="49" t="s">
        <v>1265</v>
      </c>
      <c r="G333" s="48" t="s">
        <v>1266</v>
      </c>
      <c r="H333" s="47" t="s">
        <v>201</v>
      </c>
      <c r="I333" s="47" t="s">
        <v>194</v>
      </c>
      <c r="J333" s="47" t="s">
        <v>195</v>
      </c>
      <c r="K333" s="47" t="s">
        <v>1267</v>
      </c>
      <c r="L333" s="47" t="s">
        <v>197</v>
      </c>
      <c r="M333" s="51"/>
      <c r="N333" s="67" t="s">
        <v>1268</v>
      </c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</row>
    <row r="334">
      <c r="A334" s="47" t="s">
        <v>1269</v>
      </c>
      <c r="B334" s="47" t="s">
        <v>119</v>
      </c>
      <c r="C334" s="52">
        <v>39350.0</v>
      </c>
      <c r="D334" s="48">
        <f t="shared" si="5"/>
        <v>18</v>
      </c>
      <c r="E334" s="48">
        <v>3.41289536E8</v>
      </c>
      <c r="F334" s="49" t="s">
        <v>1270</v>
      </c>
      <c r="G334" s="48" t="s">
        <v>1271</v>
      </c>
      <c r="H334" s="47" t="s">
        <v>16</v>
      </c>
      <c r="I334" s="47" t="s">
        <v>141</v>
      </c>
      <c r="J334" s="47"/>
      <c r="K334" s="47"/>
      <c r="L334" s="47" t="s">
        <v>197</v>
      </c>
      <c r="M334" s="51"/>
      <c r="N334" s="51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</row>
    <row r="335">
      <c r="A335" s="47" t="s">
        <v>1272</v>
      </c>
      <c r="B335" s="47" t="s">
        <v>119</v>
      </c>
      <c r="C335" s="52">
        <v>39918.0</v>
      </c>
      <c r="D335" s="48">
        <f t="shared" si="5"/>
        <v>16</v>
      </c>
      <c r="E335" s="48">
        <v>2.17976182E8</v>
      </c>
      <c r="F335" s="49" t="s">
        <v>1273</v>
      </c>
      <c r="G335" s="48" t="s">
        <v>1274</v>
      </c>
      <c r="H335" s="47" t="s">
        <v>628</v>
      </c>
      <c r="I335" s="47" t="s">
        <v>141</v>
      </c>
      <c r="J335" s="47"/>
      <c r="K335" s="47"/>
      <c r="L335" s="47" t="s">
        <v>197</v>
      </c>
      <c r="M335" s="51"/>
      <c r="N335" s="51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</row>
    <row r="336">
      <c r="A336" s="47" t="s">
        <v>1275</v>
      </c>
      <c r="B336" s="47" t="s">
        <v>119</v>
      </c>
      <c r="C336" s="52">
        <v>39707.0</v>
      </c>
      <c r="D336" s="48">
        <f t="shared" si="5"/>
        <v>17</v>
      </c>
      <c r="E336" s="48">
        <v>3.32977503E8</v>
      </c>
      <c r="F336" s="49" t="s">
        <v>1276</v>
      </c>
      <c r="G336" s="48" t="s">
        <v>1277</v>
      </c>
      <c r="H336" s="47" t="s">
        <v>201</v>
      </c>
      <c r="I336" s="47" t="s">
        <v>194</v>
      </c>
      <c r="J336" s="47" t="s">
        <v>195</v>
      </c>
      <c r="K336" s="47" t="s">
        <v>1267</v>
      </c>
      <c r="L336" s="47" t="s">
        <v>197</v>
      </c>
      <c r="M336" s="51"/>
      <c r="N336" s="67" t="s">
        <v>1278</v>
      </c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</row>
    <row r="337">
      <c r="A337" s="47" t="s">
        <v>49</v>
      </c>
      <c r="B337" s="47" t="s">
        <v>119</v>
      </c>
      <c r="C337" s="55">
        <v>39645.0</v>
      </c>
      <c r="D337" s="48">
        <f t="shared" si="5"/>
        <v>17</v>
      </c>
      <c r="E337" s="48">
        <v>3.32011774E8</v>
      </c>
      <c r="F337" s="48">
        <v>5.45973308E8</v>
      </c>
      <c r="G337" s="48" t="s">
        <v>1279</v>
      </c>
      <c r="H337" s="47" t="s">
        <v>34</v>
      </c>
      <c r="I337" s="47" t="s">
        <v>194</v>
      </c>
      <c r="J337" s="47" t="s">
        <v>195</v>
      </c>
      <c r="K337" s="47" t="s">
        <v>1280</v>
      </c>
      <c r="L337" s="47" t="s">
        <v>197</v>
      </c>
      <c r="M337" s="51"/>
      <c r="N337" s="51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</row>
    <row r="338">
      <c r="A338" s="47" t="s">
        <v>1281</v>
      </c>
      <c r="B338" s="47" t="s">
        <v>119</v>
      </c>
      <c r="C338" s="52">
        <v>39904.0</v>
      </c>
      <c r="D338" s="48">
        <f t="shared" si="5"/>
        <v>16</v>
      </c>
      <c r="E338" s="48">
        <v>3.28114962E8</v>
      </c>
      <c r="F338" s="49" t="s">
        <v>1282</v>
      </c>
      <c r="G338" s="48" t="s">
        <v>1283</v>
      </c>
      <c r="H338" s="47" t="s">
        <v>628</v>
      </c>
      <c r="I338" s="47" t="s">
        <v>141</v>
      </c>
      <c r="J338" s="47"/>
      <c r="K338" s="47"/>
      <c r="L338" s="47" t="s">
        <v>197</v>
      </c>
      <c r="M338" s="51"/>
      <c r="N338" s="51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</row>
    <row r="339" hidden="1">
      <c r="A339" s="47" t="s">
        <v>1284</v>
      </c>
      <c r="B339" s="47" t="s">
        <v>119</v>
      </c>
      <c r="C339" s="70">
        <v>39854.0</v>
      </c>
      <c r="D339" s="48">
        <f t="shared" si="5"/>
        <v>16</v>
      </c>
      <c r="E339" s="51">
        <v>2.17805589E8</v>
      </c>
      <c r="F339" s="71" t="s">
        <v>1285</v>
      </c>
      <c r="G339" s="51" t="s">
        <v>1286</v>
      </c>
      <c r="H339" s="51" t="s">
        <v>34</v>
      </c>
      <c r="I339" s="47" t="s">
        <v>188</v>
      </c>
      <c r="J339" s="47"/>
      <c r="K339" s="50"/>
      <c r="L339" s="47" t="s">
        <v>189</v>
      </c>
      <c r="M339" s="51"/>
      <c r="N339" s="51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</row>
    <row r="340">
      <c r="A340" s="47" t="s">
        <v>132</v>
      </c>
      <c r="B340" s="47" t="s">
        <v>133</v>
      </c>
      <c r="C340" s="52">
        <v>40059.0</v>
      </c>
      <c r="D340" s="48">
        <f t="shared" si="5"/>
        <v>16</v>
      </c>
      <c r="E340" s="48">
        <v>3.29740096E8</v>
      </c>
      <c r="F340" s="49" t="s">
        <v>134</v>
      </c>
      <c r="G340" s="48" t="s">
        <v>135</v>
      </c>
      <c r="H340" s="47" t="s">
        <v>136</v>
      </c>
      <c r="I340" s="47" t="s">
        <v>141</v>
      </c>
      <c r="J340" s="47"/>
      <c r="K340" s="47"/>
      <c r="L340" s="47" t="s">
        <v>197</v>
      </c>
      <c r="M340" s="51"/>
      <c r="N340" s="51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</row>
    <row r="341">
      <c r="A341" s="47" t="s">
        <v>1287</v>
      </c>
      <c r="B341" s="47" t="s">
        <v>119</v>
      </c>
      <c r="C341" s="52">
        <v>39718.0</v>
      </c>
      <c r="D341" s="48">
        <f t="shared" si="5"/>
        <v>17</v>
      </c>
      <c r="E341" s="48">
        <v>3.32977545E8</v>
      </c>
      <c r="F341" s="49" t="s">
        <v>1288</v>
      </c>
      <c r="G341" s="48" t="s">
        <v>1289</v>
      </c>
      <c r="H341" s="47" t="s">
        <v>1290</v>
      </c>
      <c r="I341" s="47" t="s">
        <v>141</v>
      </c>
      <c r="J341" s="47"/>
      <c r="K341" s="47"/>
      <c r="L341" s="47" t="s">
        <v>197</v>
      </c>
      <c r="M341" s="51"/>
      <c r="N341" s="51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</row>
    <row r="342">
      <c r="A342" s="47" t="s">
        <v>1291</v>
      </c>
      <c r="B342" s="47" t="s">
        <v>119</v>
      </c>
      <c r="C342" s="52">
        <v>39617.0</v>
      </c>
      <c r="D342" s="48">
        <f t="shared" si="5"/>
        <v>17</v>
      </c>
      <c r="E342" s="48">
        <v>3.39820193E8</v>
      </c>
      <c r="F342" s="49" t="s">
        <v>1292</v>
      </c>
      <c r="G342" s="48" t="s">
        <v>1293</v>
      </c>
      <c r="H342" s="47" t="s">
        <v>34</v>
      </c>
      <c r="I342" s="47" t="s">
        <v>194</v>
      </c>
      <c r="J342" s="47" t="s">
        <v>209</v>
      </c>
      <c r="K342" s="47"/>
      <c r="L342" s="47" t="s">
        <v>197</v>
      </c>
      <c r="M342" s="51"/>
      <c r="N342" s="51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</row>
    <row r="343">
      <c r="A343" s="47" t="s">
        <v>1294</v>
      </c>
      <c r="B343" s="47" t="s">
        <v>119</v>
      </c>
      <c r="C343" s="55">
        <v>39207.0</v>
      </c>
      <c r="D343" s="48">
        <f t="shared" si="5"/>
        <v>18</v>
      </c>
      <c r="E343" s="48">
        <v>2.16564963E8</v>
      </c>
      <c r="F343" s="49" t="s">
        <v>1295</v>
      </c>
      <c r="G343" s="48" t="s">
        <v>1296</v>
      </c>
      <c r="H343" s="47" t="s">
        <v>34</v>
      </c>
      <c r="I343" s="47" t="s">
        <v>194</v>
      </c>
      <c r="J343" s="47" t="s">
        <v>218</v>
      </c>
      <c r="K343" s="47"/>
      <c r="L343" s="47" t="s">
        <v>197</v>
      </c>
      <c r="M343" s="51"/>
      <c r="N343" s="51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</row>
    <row r="344">
      <c r="A344" s="47" t="s">
        <v>1297</v>
      </c>
      <c r="B344" s="47" t="s">
        <v>119</v>
      </c>
      <c r="C344" s="52">
        <v>39517.0</v>
      </c>
      <c r="D344" s="48">
        <f t="shared" si="5"/>
        <v>17</v>
      </c>
      <c r="E344" s="48">
        <v>3.3208109E8</v>
      </c>
      <c r="F344" s="49" t="s">
        <v>1298</v>
      </c>
      <c r="G344" s="48" t="s">
        <v>1299</v>
      </c>
      <c r="H344" s="47" t="s">
        <v>1290</v>
      </c>
      <c r="I344" s="47" t="s">
        <v>141</v>
      </c>
      <c r="J344" s="47"/>
      <c r="K344" s="47"/>
      <c r="L344" s="47" t="s">
        <v>197</v>
      </c>
      <c r="M344" s="51"/>
      <c r="N344" s="51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</row>
    <row r="345">
      <c r="A345" s="47" t="s">
        <v>1300</v>
      </c>
      <c r="B345" s="47" t="s">
        <v>119</v>
      </c>
      <c r="C345" s="52">
        <v>40304.0</v>
      </c>
      <c r="D345" s="48">
        <f t="shared" si="5"/>
        <v>15</v>
      </c>
      <c r="E345" s="48">
        <v>2.17846401E8</v>
      </c>
      <c r="F345" s="49" t="s">
        <v>1301</v>
      </c>
      <c r="G345" s="48" t="s">
        <v>1302</v>
      </c>
      <c r="H345" s="47" t="s">
        <v>268</v>
      </c>
      <c r="I345" s="47" t="s">
        <v>141</v>
      </c>
      <c r="J345" s="47"/>
      <c r="K345" s="47"/>
      <c r="L345" s="47" t="s">
        <v>197</v>
      </c>
      <c r="M345" s="51"/>
      <c r="N345" s="51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</row>
    <row r="346">
      <c r="A346" s="47" t="s">
        <v>1303</v>
      </c>
      <c r="B346" s="47" t="s">
        <v>119</v>
      </c>
      <c r="C346" s="52">
        <v>37197.0</v>
      </c>
      <c r="D346" s="48">
        <f t="shared" si="5"/>
        <v>24</v>
      </c>
      <c r="E346" s="48">
        <v>2.12456115E8</v>
      </c>
      <c r="F346" s="49" t="s">
        <v>1304</v>
      </c>
      <c r="G346" s="48" t="s">
        <v>1305</v>
      </c>
      <c r="H346" s="47" t="s">
        <v>800</v>
      </c>
      <c r="I346" s="47" t="s">
        <v>141</v>
      </c>
      <c r="J346" s="47"/>
      <c r="K346" s="47"/>
      <c r="L346" s="47" t="s">
        <v>197</v>
      </c>
      <c r="M346" s="51"/>
      <c r="N346" s="51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</row>
    <row r="347">
      <c r="A347" s="47" t="s">
        <v>1306</v>
      </c>
      <c r="B347" s="47" t="s">
        <v>119</v>
      </c>
      <c r="C347" s="52">
        <v>40079.0</v>
      </c>
      <c r="D347" s="48">
        <f t="shared" si="5"/>
        <v>16</v>
      </c>
      <c r="E347" s="48">
        <v>2.18699619E8</v>
      </c>
      <c r="F347" s="49" t="s">
        <v>1307</v>
      </c>
      <c r="G347" s="48" t="s">
        <v>1308</v>
      </c>
      <c r="H347" s="47" t="s">
        <v>34</v>
      </c>
      <c r="I347" s="47" t="s">
        <v>194</v>
      </c>
      <c r="J347" s="47" t="s">
        <v>209</v>
      </c>
      <c r="K347" s="47"/>
      <c r="L347" s="47" t="s">
        <v>197</v>
      </c>
      <c r="M347" s="51"/>
      <c r="N347" s="51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>
      <c r="A348" s="47" t="s">
        <v>1309</v>
      </c>
      <c r="B348" s="47" t="s">
        <v>119</v>
      </c>
      <c r="C348" s="52">
        <v>37892.0</v>
      </c>
      <c r="D348" s="48">
        <f t="shared" si="5"/>
        <v>22</v>
      </c>
      <c r="E348" s="48">
        <v>2.13952088E8</v>
      </c>
      <c r="F348" s="49" t="s">
        <v>1310</v>
      </c>
      <c r="G348" s="48" t="s">
        <v>1311</v>
      </c>
      <c r="H348" s="47" t="s">
        <v>136</v>
      </c>
      <c r="I348" s="47" t="s">
        <v>141</v>
      </c>
      <c r="J348" s="47"/>
      <c r="K348" s="47"/>
      <c r="L348" s="47" t="s">
        <v>197</v>
      </c>
      <c r="M348" s="51"/>
      <c r="N348" s="51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</row>
    <row r="349" hidden="1">
      <c r="A349" s="47" t="s">
        <v>1312</v>
      </c>
      <c r="B349" s="47" t="s">
        <v>133</v>
      </c>
      <c r="C349" s="52">
        <v>35969.0</v>
      </c>
      <c r="D349" s="48">
        <f t="shared" si="5"/>
        <v>27</v>
      </c>
      <c r="E349" s="48">
        <v>2.07335829E8</v>
      </c>
      <c r="F349" s="49" t="s">
        <v>1313</v>
      </c>
      <c r="G349" s="48" t="s">
        <v>1314</v>
      </c>
      <c r="H349" s="47" t="s">
        <v>1034</v>
      </c>
      <c r="I349" s="47" t="s">
        <v>188</v>
      </c>
      <c r="J349" s="47"/>
      <c r="K349" s="47"/>
      <c r="L349" s="47" t="s">
        <v>189</v>
      </c>
      <c r="M349" s="51"/>
      <c r="N349" s="51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</row>
    <row r="350">
      <c r="A350" s="47" t="s">
        <v>1315</v>
      </c>
      <c r="B350" s="47" t="s">
        <v>119</v>
      </c>
      <c r="C350" s="52">
        <v>39527.0</v>
      </c>
      <c r="D350" s="48">
        <f t="shared" si="5"/>
        <v>17</v>
      </c>
      <c r="E350" s="48">
        <v>3.37644074E8</v>
      </c>
      <c r="F350" s="49" t="s">
        <v>1316</v>
      </c>
      <c r="G350" s="48" t="s">
        <v>1317</v>
      </c>
      <c r="H350" s="47" t="s">
        <v>34</v>
      </c>
      <c r="I350" s="47" t="s">
        <v>194</v>
      </c>
      <c r="J350" s="47" t="s">
        <v>209</v>
      </c>
      <c r="K350" s="47"/>
      <c r="L350" s="47" t="s">
        <v>197</v>
      </c>
      <c r="M350" s="51"/>
      <c r="N350" s="51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</row>
    <row r="351" hidden="1">
      <c r="A351" s="47" t="s">
        <v>1318</v>
      </c>
      <c r="B351" s="47" t="s">
        <v>119</v>
      </c>
      <c r="C351" s="52">
        <v>40085.0</v>
      </c>
      <c r="D351" s="48">
        <f t="shared" si="5"/>
        <v>16</v>
      </c>
      <c r="E351" s="48">
        <v>3.31493338E8</v>
      </c>
      <c r="F351" s="49" t="s">
        <v>1319</v>
      </c>
      <c r="G351" s="48" t="s">
        <v>1320</v>
      </c>
      <c r="H351" s="47" t="s">
        <v>1321</v>
      </c>
      <c r="I351" s="47" t="s">
        <v>188</v>
      </c>
      <c r="J351" s="47"/>
      <c r="K351" s="47"/>
      <c r="L351" s="47" t="s">
        <v>189</v>
      </c>
      <c r="M351" s="51"/>
      <c r="N351" s="51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</row>
    <row r="352">
      <c r="A352" s="47" t="s">
        <v>1322</v>
      </c>
      <c r="B352" s="47" t="s">
        <v>119</v>
      </c>
      <c r="C352" s="52">
        <v>39870.0</v>
      </c>
      <c r="D352" s="48">
        <f t="shared" si="5"/>
        <v>16</v>
      </c>
      <c r="E352" s="48">
        <v>3.33306637E8</v>
      </c>
      <c r="F352" s="49" t="s">
        <v>1323</v>
      </c>
      <c r="G352" s="48" t="s">
        <v>1324</v>
      </c>
      <c r="H352" s="47" t="s">
        <v>1325</v>
      </c>
      <c r="I352" s="47" t="s">
        <v>141</v>
      </c>
      <c r="J352" s="47"/>
      <c r="K352" s="47"/>
      <c r="L352" s="47" t="s">
        <v>197</v>
      </c>
      <c r="M352" s="51"/>
      <c r="N352" s="51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</row>
    <row r="353" hidden="1">
      <c r="A353" s="59" t="s">
        <v>1326</v>
      </c>
      <c r="B353" s="47" t="s">
        <v>119</v>
      </c>
      <c r="C353" s="48">
        <v>17.0</v>
      </c>
      <c r="D353" s="48">
        <f t="shared" si="5"/>
        <v>125</v>
      </c>
      <c r="E353" s="48">
        <v>3.29611065E8</v>
      </c>
      <c r="F353" s="48">
        <v>5.86978857E8</v>
      </c>
      <c r="G353" s="48" t="s">
        <v>1327</v>
      </c>
      <c r="H353" s="47" t="s">
        <v>840</v>
      </c>
      <c r="I353" s="47" t="s">
        <v>188</v>
      </c>
      <c r="J353" s="47"/>
      <c r="K353" s="50"/>
      <c r="L353" s="47" t="s">
        <v>189</v>
      </c>
      <c r="M353" s="51"/>
      <c r="N353" s="51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</row>
    <row r="354" hidden="1">
      <c r="A354" s="47" t="s">
        <v>1328</v>
      </c>
      <c r="B354" s="47" t="s">
        <v>119</v>
      </c>
      <c r="C354" s="52">
        <v>40443.0</v>
      </c>
      <c r="D354" s="48">
        <f t="shared" si="5"/>
        <v>15</v>
      </c>
      <c r="E354" s="48">
        <v>3.35027371E8</v>
      </c>
      <c r="F354" s="49" t="s">
        <v>1329</v>
      </c>
      <c r="G354" s="48" t="s">
        <v>1330</v>
      </c>
      <c r="H354" s="47" t="s">
        <v>201</v>
      </c>
      <c r="I354" s="47" t="s">
        <v>188</v>
      </c>
      <c r="J354" s="47"/>
      <c r="K354" s="47"/>
      <c r="L354" s="47" t="s">
        <v>189</v>
      </c>
      <c r="M354" s="51"/>
      <c r="N354" s="51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</row>
    <row r="355" hidden="1">
      <c r="A355" s="59" t="s">
        <v>1331</v>
      </c>
      <c r="B355" s="47" t="s">
        <v>119</v>
      </c>
      <c r="C355" s="48">
        <v>17.0</v>
      </c>
      <c r="D355" s="48">
        <f t="shared" si="5"/>
        <v>125</v>
      </c>
      <c r="E355" s="48">
        <v>2.16526194E8</v>
      </c>
      <c r="F355" s="49" t="s">
        <v>1332</v>
      </c>
      <c r="G355" s="48" t="s">
        <v>1333</v>
      </c>
      <c r="H355" s="47" t="s">
        <v>840</v>
      </c>
      <c r="I355" s="47" t="s">
        <v>188</v>
      </c>
      <c r="J355" s="47"/>
      <c r="K355" s="47"/>
      <c r="L355" s="47" t="s">
        <v>189</v>
      </c>
      <c r="M355" s="51"/>
      <c r="N355" s="51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</row>
    <row r="356">
      <c r="A356" s="47" t="s">
        <v>1334</v>
      </c>
      <c r="B356" s="47" t="s">
        <v>119</v>
      </c>
      <c r="C356" s="52">
        <v>33653.0</v>
      </c>
      <c r="D356" s="48">
        <f t="shared" si="5"/>
        <v>33</v>
      </c>
      <c r="E356" s="48">
        <v>2.03390273E8</v>
      </c>
      <c r="F356" s="49" t="s">
        <v>1335</v>
      </c>
      <c r="G356" s="48" t="s">
        <v>1336</v>
      </c>
      <c r="H356" s="47" t="s">
        <v>1337</v>
      </c>
      <c r="I356" s="47" t="s">
        <v>194</v>
      </c>
      <c r="J356" s="47" t="s">
        <v>195</v>
      </c>
      <c r="K356" s="47" t="s">
        <v>1338</v>
      </c>
      <c r="L356" s="47" t="s">
        <v>197</v>
      </c>
      <c r="M356" s="51"/>
      <c r="N356" s="51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</row>
    <row r="357">
      <c r="A357" s="47" t="s">
        <v>1339</v>
      </c>
      <c r="B357" s="47" t="s">
        <v>133</v>
      </c>
      <c r="C357" s="52">
        <v>40486.0</v>
      </c>
      <c r="D357" s="48">
        <f t="shared" si="5"/>
        <v>15</v>
      </c>
      <c r="E357" s="48">
        <v>2.19640364E8</v>
      </c>
      <c r="F357" s="49" t="s">
        <v>1340</v>
      </c>
      <c r="G357" s="48" t="s">
        <v>1341</v>
      </c>
      <c r="H357" s="47" t="s">
        <v>247</v>
      </c>
      <c r="I357" s="47" t="s">
        <v>141</v>
      </c>
      <c r="J357" s="47"/>
      <c r="K357" s="47"/>
      <c r="L357" s="47" t="s">
        <v>197</v>
      </c>
      <c r="M357" s="51"/>
      <c r="N357" s="51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 hidden="1">
      <c r="A358" s="59" t="s">
        <v>580</v>
      </c>
      <c r="B358" s="47" t="s">
        <v>119</v>
      </c>
      <c r="C358" s="66">
        <v>21.0</v>
      </c>
      <c r="D358" s="48">
        <f t="shared" si="5"/>
        <v>125</v>
      </c>
      <c r="E358" s="65">
        <v>2.13903289E8</v>
      </c>
      <c r="F358" s="48">
        <v>5.09436565E8</v>
      </c>
      <c r="G358" s="65" t="s">
        <v>1342</v>
      </c>
      <c r="H358" s="59" t="s">
        <v>247</v>
      </c>
      <c r="I358" s="47" t="s">
        <v>188</v>
      </c>
      <c r="J358" s="47"/>
      <c r="K358" s="50"/>
      <c r="L358" s="47" t="s">
        <v>189</v>
      </c>
      <c r="M358" s="59"/>
      <c r="N358" s="59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</row>
    <row r="359" hidden="1">
      <c r="A359" s="59" t="s">
        <v>1343</v>
      </c>
      <c r="B359" s="47" t="s">
        <v>119</v>
      </c>
      <c r="C359" s="48">
        <v>18.0</v>
      </c>
      <c r="D359" s="48">
        <f t="shared" si="5"/>
        <v>125</v>
      </c>
      <c r="E359" s="48">
        <v>3.30941725E8</v>
      </c>
      <c r="F359" s="49" t="s">
        <v>1344</v>
      </c>
      <c r="G359" s="48" t="s">
        <v>1345</v>
      </c>
      <c r="H359" s="47" t="s">
        <v>701</v>
      </c>
      <c r="I359" s="47" t="s">
        <v>188</v>
      </c>
      <c r="J359" s="47"/>
      <c r="K359" s="50"/>
      <c r="L359" s="47" t="s">
        <v>189</v>
      </c>
      <c r="M359" s="51"/>
      <c r="N359" s="51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>
      <c r="A360" s="47" t="s">
        <v>1346</v>
      </c>
      <c r="B360" s="47" t="s">
        <v>133</v>
      </c>
      <c r="C360" s="52">
        <v>39894.0</v>
      </c>
      <c r="D360" s="48">
        <f t="shared" si="5"/>
        <v>16</v>
      </c>
      <c r="E360" s="48">
        <v>3.322224971E9</v>
      </c>
      <c r="F360" s="49" t="s">
        <v>1347</v>
      </c>
      <c r="G360" s="48" t="s">
        <v>1348</v>
      </c>
      <c r="H360" s="47" t="s">
        <v>201</v>
      </c>
      <c r="I360" s="47" t="s">
        <v>194</v>
      </c>
      <c r="J360" s="47" t="s">
        <v>209</v>
      </c>
      <c r="K360" s="47"/>
      <c r="L360" s="47" t="s">
        <v>197</v>
      </c>
      <c r="M360" s="51"/>
      <c r="N360" s="51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>
      <c r="A361" s="47" t="s">
        <v>1349</v>
      </c>
      <c r="B361" s="47" t="s">
        <v>119</v>
      </c>
      <c r="C361" s="52">
        <v>40020.0</v>
      </c>
      <c r="D361" s="48">
        <f t="shared" si="5"/>
        <v>16</v>
      </c>
      <c r="E361" s="48">
        <v>2.18551299E8</v>
      </c>
      <c r="F361" s="49" t="s">
        <v>1350</v>
      </c>
      <c r="G361" s="48" t="s">
        <v>1351</v>
      </c>
      <c r="H361" s="47" t="s">
        <v>840</v>
      </c>
      <c r="I361" s="47" t="s">
        <v>194</v>
      </c>
      <c r="J361" s="47" t="s">
        <v>195</v>
      </c>
      <c r="K361" s="47" t="s">
        <v>1048</v>
      </c>
      <c r="L361" s="47" t="s">
        <v>197</v>
      </c>
      <c r="M361" s="57"/>
      <c r="N361" s="67" t="s">
        <v>1352</v>
      </c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>
      <c r="A362" s="47" t="s">
        <v>1353</v>
      </c>
      <c r="B362" s="47" t="s">
        <v>133</v>
      </c>
      <c r="C362" s="52">
        <v>37089.0</v>
      </c>
      <c r="D362" s="48">
        <f t="shared" si="5"/>
        <v>24</v>
      </c>
      <c r="E362" s="48">
        <v>2.12062434E8</v>
      </c>
      <c r="F362" s="49" t="s">
        <v>1354</v>
      </c>
      <c r="G362" s="48" t="s">
        <v>1355</v>
      </c>
      <c r="H362" s="47" t="s">
        <v>583</v>
      </c>
      <c r="I362" s="47" t="s">
        <v>141</v>
      </c>
      <c r="J362" s="47"/>
      <c r="K362" s="47"/>
      <c r="L362" s="47" t="s">
        <v>197</v>
      </c>
      <c r="M362" s="51"/>
      <c r="N362" s="51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>
      <c r="A363" s="47" t="s">
        <v>1356</v>
      </c>
      <c r="B363" s="47" t="s">
        <v>119</v>
      </c>
      <c r="C363" s="52">
        <v>39485.0</v>
      </c>
      <c r="D363" s="48">
        <f t="shared" si="5"/>
        <v>17</v>
      </c>
      <c r="E363" s="48">
        <v>3.31433417E8</v>
      </c>
      <c r="F363" s="49" t="s">
        <v>1357</v>
      </c>
      <c r="G363" s="48" t="s">
        <v>1358</v>
      </c>
      <c r="H363" s="47" t="s">
        <v>201</v>
      </c>
      <c r="I363" s="47" t="s">
        <v>141</v>
      </c>
      <c r="J363" s="47"/>
      <c r="K363" s="47"/>
      <c r="L363" s="47" t="s">
        <v>197</v>
      </c>
      <c r="M363" s="51"/>
      <c r="N363" s="51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>
      <c r="A364" s="47" t="s">
        <v>1359</v>
      </c>
      <c r="B364" s="47" t="s">
        <v>119</v>
      </c>
      <c r="C364" s="52">
        <v>39659.0</v>
      </c>
      <c r="D364" s="48">
        <f t="shared" si="5"/>
        <v>17</v>
      </c>
      <c r="E364" s="48">
        <v>2.18010528E8</v>
      </c>
      <c r="F364" s="49" t="s">
        <v>1360</v>
      </c>
      <c r="G364" s="48" t="s">
        <v>1361</v>
      </c>
      <c r="H364" s="47" t="s">
        <v>130</v>
      </c>
      <c r="I364" s="47" t="s">
        <v>141</v>
      </c>
      <c r="J364" s="47"/>
      <c r="K364" s="47"/>
      <c r="L364" s="47" t="s">
        <v>197</v>
      </c>
      <c r="M364" s="51"/>
      <c r="N364" s="51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</row>
    <row r="365">
      <c r="A365" s="47" t="s">
        <v>1362</v>
      </c>
      <c r="B365" s="47" t="s">
        <v>119</v>
      </c>
      <c r="C365" s="52">
        <v>39510.0</v>
      </c>
      <c r="D365" s="48">
        <f t="shared" si="5"/>
        <v>17</v>
      </c>
      <c r="E365" s="48">
        <v>3.31417113E8</v>
      </c>
      <c r="F365" s="49" t="s">
        <v>1363</v>
      </c>
      <c r="G365" s="48" t="s">
        <v>1364</v>
      </c>
      <c r="H365" s="47" t="s">
        <v>53</v>
      </c>
      <c r="I365" s="47" t="s">
        <v>141</v>
      </c>
      <c r="J365" s="47"/>
      <c r="K365" s="47"/>
      <c r="L365" s="47" t="s">
        <v>197</v>
      </c>
      <c r="M365" s="51"/>
      <c r="N365" s="51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</row>
    <row r="366">
      <c r="A366" s="47" t="s">
        <v>1365</v>
      </c>
      <c r="B366" s="47" t="s">
        <v>119</v>
      </c>
      <c r="C366" s="55">
        <v>39611.0</v>
      </c>
      <c r="D366" s="48">
        <f t="shared" si="5"/>
        <v>17</v>
      </c>
      <c r="E366" s="48">
        <v>3.31750745E8</v>
      </c>
      <c r="F366" s="49" t="s">
        <v>1366</v>
      </c>
      <c r="G366" s="48" t="s">
        <v>1367</v>
      </c>
      <c r="H366" s="47" t="s">
        <v>161</v>
      </c>
      <c r="I366" s="47" t="s">
        <v>141</v>
      </c>
      <c r="J366" s="47"/>
      <c r="K366" s="50"/>
      <c r="L366" s="47" t="s">
        <v>197</v>
      </c>
      <c r="M366" s="51"/>
      <c r="N366" s="51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</row>
    <row r="367">
      <c r="A367" s="47" t="s">
        <v>1368</v>
      </c>
      <c r="B367" s="47" t="s">
        <v>119</v>
      </c>
      <c r="C367" s="52">
        <v>41519.0</v>
      </c>
      <c r="D367" s="48">
        <f t="shared" si="5"/>
        <v>12</v>
      </c>
      <c r="E367" s="48">
        <v>3.33143238E8</v>
      </c>
      <c r="F367" s="49" t="s">
        <v>1369</v>
      </c>
      <c r="G367" s="48" t="s">
        <v>1370</v>
      </c>
      <c r="H367" s="47" t="s">
        <v>451</v>
      </c>
      <c r="I367" s="47" t="s">
        <v>141</v>
      </c>
      <c r="J367" s="47" t="s">
        <v>209</v>
      </c>
      <c r="K367" s="47"/>
      <c r="L367" s="47" t="s">
        <v>197</v>
      </c>
      <c r="M367" s="51"/>
      <c r="N367" s="51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</row>
    <row r="368" hidden="1">
      <c r="A368" s="59" t="s">
        <v>1371</v>
      </c>
      <c r="B368" s="47" t="s">
        <v>119</v>
      </c>
      <c r="C368" s="48">
        <v>18.0</v>
      </c>
      <c r="D368" s="48">
        <f t="shared" si="5"/>
        <v>125</v>
      </c>
      <c r="E368" s="48">
        <v>2.15824673E8</v>
      </c>
      <c r="F368" s="49" t="s">
        <v>1372</v>
      </c>
      <c r="G368" s="48" t="s">
        <v>1373</v>
      </c>
      <c r="H368" s="47" t="s">
        <v>1042</v>
      </c>
      <c r="I368" s="47" t="s">
        <v>188</v>
      </c>
      <c r="J368" s="47"/>
      <c r="K368" s="47"/>
      <c r="L368" s="47" t="s">
        <v>189</v>
      </c>
      <c r="M368" s="51"/>
      <c r="N368" s="51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>
      <c r="A369" s="47" t="s">
        <v>1374</v>
      </c>
      <c r="B369" s="47" t="s">
        <v>119</v>
      </c>
      <c r="C369" s="52">
        <v>39365.0</v>
      </c>
      <c r="D369" s="48">
        <f t="shared" si="5"/>
        <v>18</v>
      </c>
      <c r="E369" s="48">
        <v>2.16397232E8</v>
      </c>
      <c r="F369" s="49" t="s">
        <v>1375</v>
      </c>
      <c r="G369" s="48" t="s">
        <v>1376</v>
      </c>
      <c r="H369" s="47" t="s">
        <v>16</v>
      </c>
      <c r="I369" s="47" t="s">
        <v>141</v>
      </c>
      <c r="J369" s="47"/>
      <c r="K369" s="47"/>
      <c r="L369" s="47" t="s">
        <v>197</v>
      </c>
      <c r="M369" s="51"/>
      <c r="N369" s="51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>
      <c r="A370" s="47" t="s">
        <v>1377</v>
      </c>
      <c r="B370" s="47" t="s">
        <v>119</v>
      </c>
      <c r="C370" s="55">
        <v>38328.0</v>
      </c>
      <c r="D370" s="48">
        <f t="shared" si="5"/>
        <v>21</v>
      </c>
      <c r="E370" s="48">
        <v>2.14984403E8</v>
      </c>
      <c r="F370" s="48">
        <v>5.26286233E8</v>
      </c>
      <c r="G370" s="48" t="s">
        <v>1378</v>
      </c>
      <c r="H370" s="47" t="s">
        <v>1379</v>
      </c>
      <c r="I370" s="47" t="s">
        <v>194</v>
      </c>
      <c r="J370" s="47" t="s">
        <v>218</v>
      </c>
      <c r="K370" s="47"/>
      <c r="L370" s="47" t="s">
        <v>197</v>
      </c>
      <c r="M370" s="51"/>
      <c r="N370" s="51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</row>
    <row r="371">
      <c r="A371" s="47" t="s">
        <v>1380</v>
      </c>
      <c r="B371" s="47" t="s">
        <v>119</v>
      </c>
      <c r="C371" s="52">
        <v>39464.0</v>
      </c>
      <c r="D371" s="48">
        <f t="shared" si="5"/>
        <v>17</v>
      </c>
      <c r="E371" s="48">
        <v>3.31646695E8</v>
      </c>
      <c r="F371" s="49" t="s">
        <v>1381</v>
      </c>
      <c r="G371" s="48" t="s">
        <v>1382</v>
      </c>
      <c r="H371" s="47" t="s">
        <v>201</v>
      </c>
      <c r="I371" s="47" t="s">
        <v>194</v>
      </c>
      <c r="J371" s="47" t="s">
        <v>218</v>
      </c>
      <c r="K371" s="47"/>
      <c r="L371" s="47" t="s">
        <v>197</v>
      </c>
      <c r="M371" s="51"/>
      <c r="N371" s="51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</row>
    <row r="372">
      <c r="A372" s="47" t="s">
        <v>1383</v>
      </c>
      <c r="B372" s="47" t="s">
        <v>119</v>
      </c>
      <c r="C372" s="52">
        <v>38517.0</v>
      </c>
      <c r="D372" s="48">
        <f t="shared" si="5"/>
        <v>20</v>
      </c>
      <c r="E372" s="48">
        <v>3.27734356E8</v>
      </c>
      <c r="F372" s="49" t="s">
        <v>1384</v>
      </c>
      <c r="G372" s="48" t="s">
        <v>1385</v>
      </c>
      <c r="H372" s="47" t="s">
        <v>201</v>
      </c>
      <c r="I372" s="47" t="s">
        <v>194</v>
      </c>
      <c r="J372" s="47" t="s">
        <v>195</v>
      </c>
      <c r="K372" s="47" t="s">
        <v>1386</v>
      </c>
      <c r="L372" s="47" t="s">
        <v>197</v>
      </c>
      <c r="M372" s="51"/>
      <c r="N372" s="51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</row>
    <row r="373">
      <c r="A373" s="47" t="s">
        <v>1387</v>
      </c>
      <c r="B373" s="47" t="s">
        <v>119</v>
      </c>
      <c r="C373" s="52">
        <v>40007.0</v>
      </c>
      <c r="D373" s="48">
        <f t="shared" si="5"/>
        <v>16</v>
      </c>
      <c r="E373" s="48">
        <v>2.18534329E8</v>
      </c>
      <c r="F373" s="48">
        <v>5.46241338E8</v>
      </c>
      <c r="G373" s="48" t="s">
        <v>1388</v>
      </c>
      <c r="H373" s="48" t="s">
        <v>34</v>
      </c>
      <c r="I373" s="47" t="s">
        <v>194</v>
      </c>
      <c r="J373" s="47" t="s">
        <v>209</v>
      </c>
      <c r="K373" s="47"/>
      <c r="L373" s="47" t="s">
        <v>197</v>
      </c>
      <c r="M373" s="51"/>
      <c r="N373" s="51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</row>
    <row r="374">
      <c r="A374" s="47" t="s">
        <v>1389</v>
      </c>
      <c r="B374" s="47" t="s">
        <v>133</v>
      </c>
      <c r="C374" s="52">
        <v>39488.0</v>
      </c>
      <c r="D374" s="48">
        <f t="shared" si="5"/>
        <v>17</v>
      </c>
      <c r="E374" s="48">
        <v>3.31432203E8</v>
      </c>
      <c r="F374" s="49" t="s">
        <v>1390</v>
      </c>
      <c r="G374" s="48" t="s">
        <v>1391</v>
      </c>
      <c r="H374" s="48" t="s">
        <v>53</v>
      </c>
      <c r="I374" s="47" t="s">
        <v>194</v>
      </c>
      <c r="J374" s="47" t="s">
        <v>195</v>
      </c>
      <c r="K374" s="47" t="s">
        <v>1392</v>
      </c>
      <c r="L374" s="47" t="s">
        <v>197</v>
      </c>
      <c r="M374" s="51"/>
      <c r="N374" s="51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>
      <c r="A375" s="47" t="s">
        <v>1393</v>
      </c>
      <c r="B375" s="47" t="s">
        <v>119</v>
      </c>
      <c r="C375" s="52">
        <v>40007.0</v>
      </c>
      <c r="D375" s="48">
        <f t="shared" si="5"/>
        <v>16</v>
      </c>
      <c r="E375" s="48">
        <v>2.18372431E8</v>
      </c>
      <c r="F375" s="49" t="s">
        <v>1394</v>
      </c>
      <c r="G375" s="48" t="s">
        <v>1395</v>
      </c>
      <c r="H375" s="48" t="s">
        <v>840</v>
      </c>
      <c r="I375" s="47" t="s">
        <v>194</v>
      </c>
      <c r="J375" s="47" t="s">
        <v>209</v>
      </c>
      <c r="K375" s="47"/>
      <c r="L375" s="47" t="s">
        <v>197</v>
      </c>
      <c r="M375" s="51"/>
      <c r="N375" s="51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</row>
    <row r="376">
      <c r="A376" s="47" t="s">
        <v>1396</v>
      </c>
      <c r="B376" s="47" t="s">
        <v>133</v>
      </c>
      <c r="C376" s="52">
        <v>40040.0</v>
      </c>
      <c r="D376" s="48">
        <f t="shared" si="5"/>
        <v>16</v>
      </c>
      <c r="E376" s="48">
        <v>2.17890243E8</v>
      </c>
      <c r="F376" s="49" t="s">
        <v>1397</v>
      </c>
      <c r="G376" s="48" t="s">
        <v>1398</v>
      </c>
      <c r="H376" s="48" t="s">
        <v>201</v>
      </c>
      <c r="I376" s="47" t="s">
        <v>141</v>
      </c>
      <c r="J376" s="47"/>
      <c r="K376" s="47"/>
      <c r="L376" s="47" t="s">
        <v>197</v>
      </c>
      <c r="M376" s="51"/>
      <c r="N376" s="51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</row>
    <row r="377">
      <c r="A377" s="47" t="s">
        <v>1399</v>
      </c>
      <c r="B377" s="47" t="s">
        <v>119</v>
      </c>
      <c r="C377" s="52">
        <v>36747.0</v>
      </c>
      <c r="D377" s="48">
        <f t="shared" si="5"/>
        <v>25</v>
      </c>
      <c r="E377" s="48">
        <v>2.11903828E8</v>
      </c>
      <c r="F377" s="49" t="s">
        <v>1400</v>
      </c>
      <c r="G377" s="48" t="s">
        <v>1401</v>
      </c>
      <c r="H377" s="48" t="s">
        <v>161</v>
      </c>
      <c r="I377" s="47" t="s">
        <v>141</v>
      </c>
      <c r="J377" s="47"/>
      <c r="K377" s="47"/>
      <c r="L377" s="47" t="s">
        <v>197</v>
      </c>
      <c r="M377" s="51"/>
      <c r="N377" s="51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</row>
    <row r="378">
      <c r="A378" s="47" t="s">
        <v>1402</v>
      </c>
      <c r="B378" s="47" t="s">
        <v>119</v>
      </c>
      <c r="C378" s="52">
        <v>37471.0</v>
      </c>
      <c r="D378" s="48">
        <f t="shared" si="5"/>
        <v>23</v>
      </c>
      <c r="E378" s="48">
        <v>3.25188084E8</v>
      </c>
      <c r="F378" s="49" t="s">
        <v>1403</v>
      </c>
      <c r="G378" s="48" t="s">
        <v>1404</v>
      </c>
      <c r="H378" s="48" t="s">
        <v>800</v>
      </c>
      <c r="I378" s="47" t="s">
        <v>141</v>
      </c>
      <c r="J378" s="47"/>
      <c r="K378" s="47"/>
      <c r="L378" s="47" t="s">
        <v>197</v>
      </c>
      <c r="M378" s="51"/>
      <c r="N378" s="51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</row>
    <row r="379">
      <c r="A379" s="47" t="s">
        <v>1405</v>
      </c>
      <c r="B379" s="47" t="s">
        <v>119</v>
      </c>
      <c r="C379" s="52">
        <v>39698.0</v>
      </c>
      <c r="D379" s="48">
        <f t="shared" si="5"/>
        <v>17</v>
      </c>
      <c r="E379" s="48">
        <v>2.1754455E8</v>
      </c>
      <c r="F379" s="49" t="s">
        <v>1406</v>
      </c>
      <c r="G379" s="48" t="s">
        <v>1407</v>
      </c>
      <c r="H379" s="48" t="s">
        <v>1408</v>
      </c>
      <c r="I379" s="47" t="s">
        <v>194</v>
      </c>
      <c r="J379" s="47" t="s">
        <v>209</v>
      </c>
      <c r="K379" s="47"/>
      <c r="L379" s="47" t="s">
        <v>197</v>
      </c>
      <c r="M379" s="51" t="s">
        <v>1409</v>
      </c>
      <c r="N379" s="51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</row>
    <row r="380">
      <c r="A380" s="47" t="s">
        <v>1410</v>
      </c>
      <c r="B380" s="47" t="s">
        <v>119</v>
      </c>
      <c r="C380" s="52">
        <v>39998.0</v>
      </c>
      <c r="D380" s="48">
        <f t="shared" si="5"/>
        <v>16</v>
      </c>
      <c r="E380" s="48">
        <v>3.33597284E8</v>
      </c>
      <c r="F380" s="49" t="s">
        <v>1411</v>
      </c>
      <c r="G380" s="48" t="s">
        <v>1412</v>
      </c>
      <c r="H380" s="48" t="s">
        <v>53</v>
      </c>
      <c r="I380" s="47" t="s">
        <v>141</v>
      </c>
      <c r="J380" s="47"/>
      <c r="K380" s="47"/>
      <c r="L380" s="47" t="s">
        <v>197</v>
      </c>
      <c r="M380" s="51"/>
      <c r="N380" s="51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</row>
    <row r="381">
      <c r="A381" s="47" t="s">
        <v>1413</v>
      </c>
      <c r="B381" s="47" t="s">
        <v>119</v>
      </c>
      <c r="C381" s="52">
        <v>40099.0</v>
      </c>
      <c r="D381" s="48">
        <f t="shared" si="5"/>
        <v>16</v>
      </c>
      <c r="E381" s="48">
        <v>2.18885499E8</v>
      </c>
      <c r="F381" s="49" t="s">
        <v>1414</v>
      </c>
      <c r="G381" s="48" t="s">
        <v>1415</v>
      </c>
      <c r="H381" s="48" t="s">
        <v>28</v>
      </c>
      <c r="I381" s="47" t="s">
        <v>141</v>
      </c>
      <c r="K381" s="47"/>
      <c r="L381" s="47" t="s">
        <v>197</v>
      </c>
      <c r="M381" s="47" t="s">
        <v>1416</v>
      </c>
      <c r="N381" s="51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</row>
    <row r="382">
      <c r="A382" s="47" t="s">
        <v>1417</v>
      </c>
      <c r="B382" s="47" t="s">
        <v>119</v>
      </c>
      <c r="C382" s="52">
        <v>38610.0</v>
      </c>
      <c r="D382" s="48">
        <f t="shared" si="5"/>
        <v>20</v>
      </c>
      <c r="E382" s="48">
        <v>3.39731168E8</v>
      </c>
      <c r="F382" s="49" t="s">
        <v>1418</v>
      </c>
      <c r="G382" s="48" t="s">
        <v>1419</v>
      </c>
      <c r="H382" s="48" t="s">
        <v>34</v>
      </c>
      <c r="I382" s="47" t="s">
        <v>194</v>
      </c>
      <c r="J382" s="47" t="s">
        <v>195</v>
      </c>
      <c r="K382" s="47" t="s">
        <v>1420</v>
      </c>
      <c r="L382" s="47" t="s">
        <v>197</v>
      </c>
      <c r="M382" s="51"/>
      <c r="N382" s="51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</row>
    <row r="383">
      <c r="A383" s="47" t="s">
        <v>1421</v>
      </c>
      <c r="B383" s="47" t="s">
        <v>119</v>
      </c>
      <c r="C383" s="52">
        <v>39479.0</v>
      </c>
      <c r="D383" s="48">
        <f t="shared" si="5"/>
        <v>17</v>
      </c>
      <c r="E383" s="48">
        <v>3.31695015E8</v>
      </c>
      <c r="F383" s="49" t="s">
        <v>1422</v>
      </c>
      <c r="G383" s="48" t="s">
        <v>1423</v>
      </c>
      <c r="H383" s="48" t="s">
        <v>268</v>
      </c>
      <c r="I383" s="47" t="s">
        <v>141</v>
      </c>
      <c r="J383" s="47"/>
      <c r="K383" s="47"/>
      <c r="L383" s="47" t="s">
        <v>197</v>
      </c>
      <c r="M383" s="51" t="s">
        <v>131</v>
      </c>
      <c r="N383" s="51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</row>
    <row r="384">
      <c r="A384" s="47" t="s">
        <v>1424</v>
      </c>
      <c r="B384" s="47" t="s">
        <v>119</v>
      </c>
      <c r="C384" s="52">
        <v>33663.0</v>
      </c>
      <c r="D384" s="48">
        <f t="shared" si="5"/>
        <v>33</v>
      </c>
      <c r="E384" s="48">
        <v>2.03784624E8</v>
      </c>
      <c r="F384" s="49" t="s">
        <v>1425</v>
      </c>
      <c r="G384" s="48" t="s">
        <v>1426</v>
      </c>
      <c r="H384" s="48" t="s">
        <v>1427</v>
      </c>
      <c r="I384" s="47" t="s">
        <v>194</v>
      </c>
      <c r="J384" s="47" t="s">
        <v>209</v>
      </c>
      <c r="K384" s="47"/>
      <c r="L384" s="47" t="s">
        <v>197</v>
      </c>
      <c r="M384" s="51" t="s">
        <v>131</v>
      </c>
      <c r="N384" s="51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</row>
    <row r="385">
      <c r="A385" s="47" t="s">
        <v>1428</v>
      </c>
      <c r="B385" s="47" t="s">
        <v>133</v>
      </c>
      <c r="C385" s="52">
        <v>39981.0</v>
      </c>
      <c r="D385" s="48">
        <f t="shared" si="5"/>
        <v>16</v>
      </c>
      <c r="E385" s="48">
        <v>3.3354407E8</v>
      </c>
      <c r="F385" s="49" t="s">
        <v>1429</v>
      </c>
      <c r="G385" s="48" t="s">
        <v>1430</v>
      </c>
      <c r="H385" s="48" t="s">
        <v>247</v>
      </c>
      <c r="I385" s="47" t="s">
        <v>141</v>
      </c>
      <c r="J385" s="47"/>
      <c r="K385" s="47"/>
      <c r="L385" s="47" t="s">
        <v>197</v>
      </c>
      <c r="M385" s="47" t="s">
        <v>1431</v>
      </c>
      <c r="N385" s="51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>
      <c r="A386" s="47" t="s">
        <v>1432</v>
      </c>
      <c r="B386" s="47" t="s">
        <v>133</v>
      </c>
      <c r="C386" s="52">
        <v>39846.0</v>
      </c>
      <c r="D386" s="48">
        <f t="shared" si="5"/>
        <v>16</v>
      </c>
      <c r="E386" s="48">
        <v>3.32877851E8</v>
      </c>
      <c r="F386" s="49" t="s">
        <v>1433</v>
      </c>
      <c r="G386" s="48" t="s">
        <v>1434</v>
      </c>
      <c r="H386" s="48" t="s">
        <v>53</v>
      </c>
      <c r="I386" s="47" t="s">
        <v>141</v>
      </c>
      <c r="J386" s="47"/>
      <c r="K386" s="47"/>
      <c r="L386" s="47" t="s">
        <v>197</v>
      </c>
      <c r="M386" s="47" t="s">
        <v>1435</v>
      </c>
      <c r="N386" s="51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>
      <c r="A387" s="47" t="s">
        <v>1436</v>
      </c>
      <c r="B387" s="47" t="s">
        <v>119</v>
      </c>
      <c r="C387" s="52">
        <v>39797.0</v>
      </c>
      <c r="D387" s="48">
        <f t="shared" si="5"/>
        <v>17</v>
      </c>
      <c r="E387" s="48">
        <v>2.1806949E8</v>
      </c>
      <c r="F387" s="49" t="s">
        <v>1437</v>
      </c>
      <c r="G387" s="48" t="s">
        <v>1438</v>
      </c>
      <c r="H387" s="48" t="s">
        <v>53</v>
      </c>
      <c r="I387" s="47" t="s">
        <v>194</v>
      </c>
      <c r="J387" s="47" t="s">
        <v>218</v>
      </c>
      <c r="K387" s="47"/>
      <c r="L387" s="47" t="s">
        <v>197</v>
      </c>
      <c r="M387" s="51"/>
      <c r="N387" s="51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</row>
    <row r="388">
      <c r="A388" s="47" t="s">
        <v>1439</v>
      </c>
      <c r="B388" s="47" t="s">
        <v>133</v>
      </c>
      <c r="C388" s="52">
        <v>38243.0</v>
      </c>
      <c r="D388" s="48">
        <f t="shared" si="5"/>
        <v>21</v>
      </c>
      <c r="E388" s="48">
        <v>2.14676058E8</v>
      </c>
      <c r="F388" s="49" t="s">
        <v>1440</v>
      </c>
      <c r="G388" s="48" t="s">
        <v>1441</v>
      </c>
      <c r="H388" s="48" t="s">
        <v>213</v>
      </c>
      <c r="I388" s="47" t="s">
        <v>141</v>
      </c>
      <c r="J388" s="47"/>
      <c r="K388" s="47"/>
      <c r="L388" s="47" t="s">
        <v>197</v>
      </c>
      <c r="M388" s="51"/>
      <c r="N388" s="51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</row>
    <row r="389">
      <c r="A389" s="47" t="s">
        <v>1442</v>
      </c>
      <c r="B389" s="47" t="s">
        <v>133</v>
      </c>
      <c r="C389" s="52">
        <v>38734.0</v>
      </c>
      <c r="D389" s="48">
        <f t="shared" si="5"/>
        <v>19</v>
      </c>
      <c r="E389" s="48">
        <v>2.15754185E8</v>
      </c>
      <c r="F389" s="49" t="s">
        <v>1443</v>
      </c>
      <c r="G389" s="48" t="s">
        <v>1444</v>
      </c>
      <c r="H389" s="48" t="s">
        <v>318</v>
      </c>
      <c r="I389" s="47" t="s">
        <v>194</v>
      </c>
      <c r="J389" s="47" t="s">
        <v>209</v>
      </c>
      <c r="K389" s="47"/>
      <c r="L389" s="47" t="s">
        <v>197</v>
      </c>
      <c r="M389" s="51"/>
      <c r="N389" s="51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</row>
    <row r="390">
      <c r="A390" s="47" t="s">
        <v>1445</v>
      </c>
      <c r="B390" s="47" t="s">
        <v>133</v>
      </c>
      <c r="C390" s="52">
        <v>37948.0</v>
      </c>
      <c r="D390" s="48">
        <f t="shared" si="5"/>
        <v>22</v>
      </c>
      <c r="E390" s="48">
        <v>2.14459992E8</v>
      </c>
      <c r="F390" s="49" t="s">
        <v>1446</v>
      </c>
      <c r="G390" s="48" t="s">
        <v>1447</v>
      </c>
      <c r="H390" s="48" t="s">
        <v>1448</v>
      </c>
      <c r="I390" s="47" t="s">
        <v>141</v>
      </c>
      <c r="J390" s="47"/>
      <c r="K390" s="47"/>
      <c r="L390" s="47" t="s">
        <v>197</v>
      </c>
      <c r="M390" s="51"/>
      <c r="N390" s="51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</row>
    <row r="391">
      <c r="A391" s="47" t="s">
        <v>1449</v>
      </c>
      <c r="B391" s="47" t="s">
        <v>119</v>
      </c>
      <c r="C391" s="52">
        <v>40310.0</v>
      </c>
      <c r="D391" s="48">
        <f t="shared" si="5"/>
        <v>15</v>
      </c>
      <c r="E391" s="48">
        <v>2.19212958E8</v>
      </c>
      <c r="F391" s="49" t="s">
        <v>1450</v>
      </c>
      <c r="G391" s="48" t="s">
        <v>1451</v>
      </c>
      <c r="H391" s="48" t="s">
        <v>257</v>
      </c>
      <c r="I391" s="47" t="s">
        <v>141</v>
      </c>
      <c r="J391" s="47"/>
      <c r="K391" s="47"/>
      <c r="L391" s="47" t="s">
        <v>197</v>
      </c>
      <c r="M391" s="51"/>
      <c r="N391" s="51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</row>
    <row r="392" hidden="1">
      <c r="A392" s="47" t="s">
        <v>1452</v>
      </c>
      <c r="B392" s="47" t="s">
        <v>119</v>
      </c>
      <c r="C392" s="52">
        <v>28426.0</v>
      </c>
      <c r="D392" s="48">
        <f t="shared" si="5"/>
        <v>48</v>
      </c>
      <c r="E392" s="48">
        <v>3.4266411E7</v>
      </c>
      <c r="F392" s="49" t="s">
        <v>1453</v>
      </c>
      <c r="G392" s="48" t="s">
        <v>1454</v>
      </c>
      <c r="H392" s="48" t="s">
        <v>540</v>
      </c>
      <c r="I392" s="47" t="s">
        <v>188</v>
      </c>
      <c r="J392" s="47"/>
      <c r="K392" s="47"/>
      <c r="L392" s="47" t="s">
        <v>189</v>
      </c>
      <c r="M392" s="51"/>
      <c r="N392" s="51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</row>
    <row r="393">
      <c r="A393" s="47" t="s">
        <v>1455</v>
      </c>
      <c r="B393" s="47" t="s">
        <v>133</v>
      </c>
      <c r="C393" s="52">
        <v>37588.0</v>
      </c>
      <c r="D393" s="48">
        <f t="shared" si="5"/>
        <v>23</v>
      </c>
      <c r="E393" s="48">
        <v>2.1350973E8</v>
      </c>
      <c r="F393" s="49" t="s">
        <v>1456</v>
      </c>
      <c r="G393" s="48" t="s">
        <v>1457</v>
      </c>
      <c r="H393" s="48" t="s">
        <v>618</v>
      </c>
      <c r="I393" s="47" t="s">
        <v>141</v>
      </c>
      <c r="J393" s="47"/>
      <c r="K393" s="47"/>
      <c r="L393" s="47" t="s">
        <v>197</v>
      </c>
      <c r="M393" s="51"/>
      <c r="N393" s="51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</row>
    <row r="394">
      <c r="A394" s="47" t="s">
        <v>1458</v>
      </c>
      <c r="B394" s="47" t="s">
        <v>133</v>
      </c>
      <c r="C394" s="52">
        <v>40176.0</v>
      </c>
      <c r="D394" s="48">
        <f t="shared" si="5"/>
        <v>16</v>
      </c>
      <c r="E394" s="48">
        <v>2.18917581E8</v>
      </c>
      <c r="F394" s="49" t="s">
        <v>1459</v>
      </c>
      <c r="G394" s="48" t="s">
        <v>1460</v>
      </c>
      <c r="H394" s="48" t="s">
        <v>53</v>
      </c>
      <c r="I394" s="47" t="s">
        <v>141</v>
      </c>
      <c r="J394" s="47"/>
      <c r="K394" s="47"/>
      <c r="L394" s="47" t="s">
        <v>197</v>
      </c>
      <c r="M394" s="51"/>
      <c r="N394" s="51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</row>
    <row r="395">
      <c r="A395" s="47" t="s">
        <v>1461</v>
      </c>
      <c r="B395" s="47" t="s">
        <v>119</v>
      </c>
      <c r="C395" s="52">
        <v>39646.0</v>
      </c>
      <c r="D395" s="48">
        <f t="shared" si="5"/>
        <v>17</v>
      </c>
      <c r="E395" s="48">
        <v>3.28396445E8</v>
      </c>
      <c r="F395" s="49" t="s">
        <v>1462</v>
      </c>
      <c r="G395" s="48" t="s">
        <v>1463</v>
      </c>
      <c r="H395" s="48" t="s">
        <v>1464</v>
      </c>
      <c r="I395" s="47" t="s">
        <v>194</v>
      </c>
      <c r="J395" s="47" t="s">
        <v>209</v>
      </c>
      <c r="K395" s="47"/>
      <c r="L395" s="47" t="s">
        <v>197</v>
      </c>
      <c r="M395" s="51"/>
      <c r="N395" s="51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</row>
    <row r="396">
      <c r="A396" s="47" t="s">
        <v>1465</v>
      </c>
      <c r="B396" s="47" t="s">
        <v>119</v>
      </c>
      <c r="C396" s="52">
        <v>39574.0</v>
      </c>
      <c r="D396" s="48">
        <f t="shared" si="5"/>
        <v>17</v>
      </c>
      <c r="E396" s="48">
        <v>3.31753095E8</v>
      </c>
      <c r="F396" s="49" t="s">
        <v>1466</v>
      </c>
      <c r="G396" s="48" t="s">
        <v>1467</v>
      </c>
      <c r="H396" s="48" t="s">
        <v>647</v>
      </c>
      <c r="I396" s="47" t="s">
        <v>141</v>
      </c>
      <c r="J396" s="47"/>
      <c r="K396" s="47"/>
      <c r="L396" s="47" t="s">
        <v>197</v>
      </c>
      <c r="M396" s="51"/>
      <c r="N396" s="51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</row>
    <row r="397">
      <c r="A397" s="47" t="s">
        <v>1468</v>
      </c>
      <c r="B397" s="47" t="s">
        <v>119</v>
      </c>
      <c r="C397" s="52">
        <v>37820.0</v>
      </c>
      <c r="D397" s="48">
        <f t="shared" si="5"/>
        <v>22</v>
      </c>
      <c r="E397" s="48">
        <v>2.13932213E8</v>
      </c>
      <c r="F397" s="49" t="s">
        <v>1469</v>
      </c>
      <c r="G397" s="48" t="s">
        <v>1470</v>
      </c>
      <c r="H397" s="48" t="s">
        <v>564</v>
      </c>
      <c r="I397" s="47" t="s">
        <v>194</v>
      </c>
      <c r="J397" s="47" t="s">
        <v>195</v>
      </c>
      <c r="K397" s="47" t="s">
        <v>1471</v>
      </c>
      <c r="L397" s="47" t="s">
        <v>197</v>
      </c>
      <c r="M397" s="51"/>
      <c r="N397" s="51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</row>
    <row r="398">
      <c r="A398" s="47" t="s">
        <v>1472</v>
      </c>
      <c r="B398" s="47" t="s">
        <v>119</v>
      </c>
      <c r="C398" s="52">
        <v>38530.0</v>
      </c>
      <c r="D398" s="48">
        <f t="shared" si="5"/>
        <v>20</v>
      </c>
      <c r="E398" s="48">
        <v>2.15082157E8</v>
      </c>
      <c r="F398" s="49" t="s">
        <v>1473</v>
      </c>
      <c r="G398" s="48" t="s">
        <v>1474</v>
      </c>
      <c r="H398" s="48" t="s">
        <v>1475</v>
      </c>
      <c r="I398" s="47" t="s">
        <v>194</v>
      </c>
      <c r="J398" s="47" t="s">
        <v>209</v>
      </c>
      <c r="K398" s="47"/>
      <c r="L398" s="47" t="s">
        <v>197</v>
      </c>
      <c r="M398" s="51"/>
      <c r="N398" s="51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</row>
    <row r="399">
      <c r="A399" s="47" t="s">
        <v>1476</v>
      </c>
      <c r="B399" s="47" t="s">
        <v>119</v>
      </c>
      <c r="C399" s="52">
        <v>37663.0</v>
      </c>
      <c r="D399" s="48">
        <f t="shared" si="5"/>
        <v>22</v>
      </c>
      <c r="E399" s="48">
        <v>3.25162444E8</v>
      </c>
      <c r="F399" s="49" t="s">
        <v>1477</v>
      </c>
      <c r="G399" s="48" t="s">
        <v>1478</v>
      </c>
      <c r="H399" s="48" t="s">
        <v>1479</v>
      </c>
      <c r="I399" s="47" t="s">
        <v>141</v>
      </c>
      <c r="J399" s="47"/>
      <c r="K399" s="47"/>
      <c r="L399" s="47" t="s">
        <v>197</v>
      </c>
      <c r="M399" s="51"/>
      <c r="N399" s="51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</row>
    <row r="400">
      <c r="A400" s="47" t="s">
        <v>1480</v>
      </c>
      <c r="B400" s="47" t="s">
        <v>119</v>
      </c>
      <c r="C400" s="52">
        <v>40327.0</v>
      </c>
      <c r="D400" s="48">
        <f t="shared" si="5"/>
        <v>15</v>
      </c>
      <c r="E400" s="48">
        <v>3.34430774E8</v>
      </c>
      <c r="F400" s="49" t="s">
        <v>1481</v>
      </c>
      <c r="G400" s="48" t="s">
        <v>1482</v>
      </c>
      <c r="H400" s="48" t="s">
        <v>257</v>
      </c>
      <c r="I400" s="47" t="s">
        <v>194</v>
      </c>
      <c r="J400" s="47" t="s">
        <v>209</v>
      </c>
      <c r="K400" s="47"/>
      <c r="L400" s="47" t="s">
        <v>197</v>
      </c>
      <c r="M400" s="51" t="s">
        <v>1483</v>
      </c>
      <c r="N400" s="51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</row>
    <row r="401">
      <c r="A401" s="47" t="s">
        <v>1484</v>
      </c>
      <c r="B401" s="47" t="s">
        <v>119</v>
      </c>
      <c r="C401" s="52">
        <v>39534.0</v>
      </c>
      <c r="D401" s="48">
        <f t="shared" si="5"/>
        <v>17</v>
      </c>
      <c r="E401" s="48">
        <v>3.32889807E8</v>
      </c>
      <c r="F401" s="49" t="s">
        <v>1485</v>
      </c>
      <c r="G401" s="48" t="s">
        <v>1486</v>
      </c>
      <c r="H401" s="48" t="s">
        <v>148</v>
      </c>
      <c r="I401" s="47" t="s">
        <v>141</v>
      </c>
      <c r="J401" s="47"/>
      <c r="K401" s="47"/>
      <c r="L401" s="47" t="s">
        <v>197</v>
      </c>
      <c r="M401" s="51"/>
      <c r="N401" s="51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</row>
    <row r="402">
      <c r="A402" s="47" t="s">
        <v>1487</v>
      </c>
      <c r="B402" s="47" t="s">
        <v>119</v>
      </c>
      <c r="C402" s="52">
        <v>38012.0</v>
      </c>
      <c r="D402" s="48">
        <f t="shared" si="5"/>
        <v>21</v>
      </c>
      <c r="E402" s="48">
        <v>3.25935617E8</v>
      </c>
      <c r="F402" s="48">
        <v>5.37172518E8</v>
      </c>
      <c r="G402" s="48" t="s">
        <v>1488</v>
      </c>
      <c r="H402" s="48" t="s">
        <v>1489</v>
      </c>
      <c r="I402" s="47" t="s">
        <v>141</v>
      </c>
      <c r="J402" s="47"/>
      <c r="K402" s="47"/>
      <c r="L402" s="47" t="s">
        <v>197</v>
      </c>
      <c r="M402" s="51"/>
      <c r="N402" s="51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</row>
    <row r="403">
      <c r="A403" s="47" t="s">
        <v>1490</v>
      </c>
      <c r="B403" s="47" t="s">
        <v>119</v>
      </c>
      <c r="C403" s="52">
        <v>39150.0</v>
      </c>
      <c r="D403" s="48">
        <f t="shared" si="5"/>
        <v>18</v>
      </c>
      <c r="E403" s="48">
        <v>3.30847716E8</v>
      </c>
      <c r="F403" s="49" t="s">
        <v>1491</v>
      </c>
      <c r="G403" s="48" t="s">
        <v>1492</v>
      </c>
      <c r="H403" s="48" t="s">
        <v>53</v>
      </c>
      <c r="I403" s="47" t="s">
        <v>141</v>
      </c>
      <c r="J403" s="47"/>
      <c r="K403" s="47"/>
      <c r="L403" s="47" t="s">
        <v>197</v>
      </c>
      <c r="M403" s="51"/>
      <c r="N403" s="51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</row>
    <row r="404">
      <c r="A404" s="47" t="s">
        <v>1493</v>
      </c>
      <c r="B404" s="47" t="s">
        <v>119</v>
      </c>
      <c r="C404" s="52">
        <v>37908.0</v>
      </c>
      <c r="D404" s="48">
        <f t="shared" si="5"/>
        <v>22</v>
      </c>
      <c r="E404" s="48">
        <v>3.25511418E8</v>
      </c>
      <c r="F404" s="49" t="s">
        <v>1494</v>
      </c>
      <c r="G404" s="48" t="s">
        <v>1495</v>
      </c>
      <c r="H404" s="48" t="s">
        <v>136</v>
      </c>
      <c r="I404" s="47" t="s">
        <v>141</v>
      </c>
      <c r="J404" s="47"/>
      <c r="K404" s="47"/>
      <c r="L404" s="47" t="s">
        <v>197</v>
      </c>
      <c r="M404" s="51"/>
      <c r="N404" s="51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</row>
    <row r="405">
      <c r="A405" s="47" t="s">
        <v>1496</v>
      </c>
      <c r="B405" s="47" t="s">
        <v>133</v>
      </c>
      <c r="C405" s="52">
        <v>40209.0</v>
      </c>
      <c r="D405" s="48">
        <f t="shared" si="5"/>
        <v>15</v>
      </c>
      <c r="E405" s="48">
        <v>3.34349255E8</v>
      </c>
      <c r="F405" s="49" t="s">
        <v>1497</v>
      </c>
      <c r="G405" s="48" t="s">
        <v>1498</v>
      </c>
      <c r="H405" s="48" t="s">
        <v>53</v>
      </c>
      <c r="I405" s="47" t="s">
        <v>194</v>
      </c>
      <c r="J405" s="47" t="s">
        <v>195</v>
      </c>
      <c r="K405" s="47" t="s">
        <v>1499</v>
      </c>
      <c r="L405" s="47" t="s">
        <v>197</v>
      </c>
      <c r="M405" s="51" t="s">
        <v>1500</v>
      </c>
      <c r="N405" s="51" t="s">
        <v>1501</v>
      </c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</row>
    <row r="406">
      <c r="A406" s="47" t="s">
        <v>1502</v>
      </c>
      <c r="B406" s="47" t="s">
        <v>119</v>
      </c>
      <c r="C406" s="52">
        <v>38646.0</v>
      </c>
      <c r="D406" s="48">
        <f t="shared" si="5"/>
        <v>20</v>
      </c>
      <c r="E406" s="48">
        <v>3.28411053E8</v>
      </c>
      <c r="F406" s="49" t="s">
        <v>1503</v>
      </c>
      <c r="G406" s="48" t="s">
        <v>1504</v>
      </c>
      <c r="H406" s="48" t="s">
        <v>257</v>
      </c>
      <c r="I406" s="47" t="s">
        <v>194</v>
      </c>
      <c r="J406" s="47" t="s">
        <v>209</v>
      </c>
      <c r="K406" s="47"/>
      <c r="L406" s="47" t="s">
        <v>197</v>
      </c>
      <c r="M406" s="51" t="s">
        <v>1505</v>
      </c>
      <c r="N406" s="51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</row>
    <row r="407">
      <c r="A407" s="47" t="s">
        <v>1506</v>
      </c>
      <c r="B407" s="47" t="s">
        <v>119</v>
      </c>
      <c r="C407" s="52">
        <v>40288.0</v>
      </c>
      <c r="D407" s="48">
        <f t="shared" si="5"/>
        <v>15</v>
      </c>
      <c r="E407" s="48">
        <v>3.29800551E8</v>
      </c>
      <c r="F407" s="49" t="s">
        <v>1507</v>
      </c>
      <c r="G407" s="48" t="s">
        <v>1508</v>
      </c>
      <c r="H407" s="48" t="s">
        <v>53</v>
      </c>
      <c r="I407" s="47" t="s">
        <v>141</v>
      </c>
      <c r="J407" s="47"/>
      <c r="K407" s="47"/>
      <c r="L407" s="47" t="s">
        <v>197</v>
      </c>
      <c r="M407" s="51" t="s">
        <v>1509</v>
      </c>
      <c r="N407" s="51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</row>
    <row r="408">
      <c r="A408" s="47" t="s">
        <v>127</v>
      </c>
      <c r="B408" s="47" t="s">
        <v>119</v>
      </c>
      <c r="C408" s="52">
        <v>40330.0</v>
      </c>
      <c r="D408" s="48">
        <f t="shared" si="5"/>
        <v>15</v>
      </c>
      <c r="E408" s="48">
        <v>3.34431251E8</v>
      </c>
      <c r="F408" s="49" t="s">
        <v>128</v>
      </c>
      <c r="G408" s="48" t="s">
        <v>1510</v>
      </c>
      <c r="H408" s="48" t="s">
        <v>130</v>
      </c>
      <c r="I408" s="47" t="s">
        <v>141</v>
      </c>
      <c r="J408" s="47"/>
      <c r="K408" s="47"/>
      <c r="L408" s="47" t="s">
        <v>197</v>
      </c>
      <c r="M408" s="51" t="s">
        <v>1511</v>
      </c>
      <c r="N408" s="51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</row>
    <row r="409">
      <c r="A409" s="47" t="s">
        <v>124</v>
      </c>
      <c r="B409" s="47" t="s">
        <v>119</v>
      </c>
      <c r="C409" s="52">
        <v>40504.0</v>
      </c>
      <c r="D409" s="48">
        <f t="shared" si="5"/>
        <v>15</v>
      </c>
      <c r="E409" s="48">
        <v>2.19638632E8</v>
      </c>
      <c r="F409" s="49" t="s">
        <v>125</v>
      </c>
      <c r="G409" s="48" t="s">
        <v>126</v>
      </c>
      <c r="H409" s="48" t="s">
        <v>130</v>
      </c>
      <c r="I409" s="47" t="s">
        <v>141</v>
      </c>
      <c r="J409" s="47"/>
      <c r="K409" s="47"/>
      <c r="L409" s="47" t="s">
        <v>197</v>
      </c>
      <c r="M409" s="51"/>
      <c r="N409" s="51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</row>
    <row r="410">
      <c r="A410" s="47" t="s">
        <v>1512</v>
      </c>
      <c r="B410" s="47" t="s">
        <v>133</v>
      </c>
      <c r="C410" s="52">
        <v>39268.0</v>
      </c>
      <c r="D410" s="48">
        <f t="shared" si="5"/>
        <v>18</v>
      </c>
      <c r="E410" s="48">
        <v>2.1739101E8</v>
      </c>
      <c r="F410" s="49" t="s">
        <v>1513</v>
      </c>
      <c r="G410" s="48" t="s">
        <v>1514</v>
      </c>
      <c r="H410" s="48" t="s">
        <v>34</v>
      </c>
      <c r="I410" s="47" t="s">
        <v>194</v>
      </c>
      <c r="J410" s="47" t="s">
        <v>195</v>
      </c>
      <c r="K410" s="47" t="s">
        <v>1515</v>
      </c>
      <c r="L410" s="47" t="s">
        <v>197</v>
      </c>
      <c r="M410" s="51"/>
      <c r="N410" s="51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</row>
    <row r="411" hidden="1">
      <c r="A411" s="47" t="s">
        <v>1516</v>
      </c>
      <c r="B411" s="47" t="s">
        <v>119</v>
      </c>
      <c r="C411" s="52">
        <v>37547.0</v>
      </c>
      <c r="D411" s="48">
        <f t="shared" si="5"/>
        <v>23</v>
      </c>
      <c r="E411" s="48">
        <v>2.13239403E8</v>
      </c>
      <c r="F411" s="49" t="s">
        <v>1183</v>
      </c>
      <c r="G411" s="48" t="s">
        <v>1184</v>
      </c>
      <c r="H411" s="48" t="s">
        <v>12</v>
      </c>
      <c r="I411" s="47" t="s">
        <v>188</v>
      </c>
      <c r="J411" s="47"/>
      <c r="K411" s="47"/>
      <c r="L411" s="47" t="s">
        <v>189</v>
      </c>
      <c r="M411" s="51" t="s">
        <v>1517</v>
      </c>
      <c r="N411" s="51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</row>
    <row r="412">
      <c r="A412" s="47" t="s">
        <v>1518</v>
      </c>
      <c r="B412" s="47" t="s">
        <v>119</v>
      </c>
      <c r="C412" s="52">
        <v>39653.0</v>
      </c>
      <c r="D412" s="48">
        <f t="shared" si="5"/>
        <v>17</v>
      </c>
      <c r="E412" s="48">
        <v>3.31858597E8</v>
      </c>
      <c r="F412" s="49" t="s">
        <v>1519</v>
      </c>
      <c r="G412" s="48" t="s">
        <v>1520</v>
      </c>
      <c r="H412" s="48" t="s">
        <v>140</v>
      </c>
      <c r="I412" s="47" t="s">
        <v>194</v>
      </c>
      <c r="J412" s="47" t="s">
        <v>209</v>
      </c>
      <c r="K412" s="47"/>
      <c r="L412" s="47" t="s">
        <v>197</v>
      </c>
      <c r="M412" s="51"/>
      <c r="N412" s="51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</row>
    <row r="413">
      <c r="A413" s="47" t="s">
        <v>1521</v>
      </c>
      <c r="B413" s="47" t="s">
        <v>119</v>
      </c>
      <c r="C413" s="52">
        <v>40429.0</v>
      </c>
      <c r="D413" s="48">
        <f t="shared" si="5"/>
        <v>15</v>
      </c>
      <c r="E413" s="48">
        <v>2.1950814E8</v>
      </c>
      <c r="F413" s="49" t="s">
        <v>1522</v>
      </c>
      <c r="G413" s="48" t="s">
        <v>1523</v>
      </c>
      <c r="H413" s="48" t="s">
        <v>53</v>
      </c>
      <c r="I413" s="47" t="s">
        <v>194</v>
      </c>
      <c r="J413" s="47" t="s">
        <v>209</v>
      </c>
      <c r="K413" s="47"/>
      <c r="L413" s="47" t="s">
        <v>197</v>
      </c>
      <c r="M413" s="51"/>
      <c r="N413" s="51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</row>
    <row r="414">
      <c r="A414" s="47" t="s">
        <v>1524</v>
      </c>
      <c r="B414" s="47" t="s">
        <v>119</v>
      </c>
      <c r="C414" s="52">
        <v>40496.0</v>
      </c>
      <c r="D414" s="48">
        <f t="shared" si="5"/>
        <v>15</v>
      </c>
      <c r="E414" s="48">
        <v>2.20342455E8</v>
      </c>
      <c r="F414" s="49" t="s">
        <v>1525</v>
      </c>
      <c r="G414" s="48" t="s">
        <v>1526</v>
      </c>
      <c r="H414" s="48" t="s">
        <v>53</v>
      </c>
      <c r="I414" s="47" t="s">
        <v>194</v>
      </c>
      <c r="J414" s="47" t="s">
        <v>209</v>
      </c>
      <c r="K414" s="47"/>
      <c r="L414" s="47" t="s">
        <v>197</v>
      </c>
      <c r="M414" s="51"/>
      <c r="N414" s="51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>
      <c r="A415" s="47" t="s">
        <v>1527</v>
      </c>
      <c r="B415" s="47" t="s">
        <v>119</v>
      </c>
      <c r="C415" s="52">
        <v>39568.0</v>
      </c>
      <c r="D415" s="48">
        <f t="shared" si="5"/>
        <v>17</v>
      </c>
      <c r="E415" s="48">
        <v>3.32068568E8</v>
      </c>
      <c r="F415" s="49" t="s">
        <v>1528</v>
      </c>
      <c r="G415" s="48" t="s">
        <v>1529</v>
      </c>
      <c r="H415" s="48" t="s">
        <v>430</v>
      </c>
      <c r="I415" s="47" t="s">
        <v>194</v>
      </c>
      <c r="J415" s="47" t="s">
        <v>209</v>
      </c>
      <c r="K415" s="47"/>
      <c r="L415" s="47" t="s">
        <v>197</v>
      </c>
      <c r="M415" s="51"/>
      <c r="N415" s="51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>
      <c r="A416" s="47" t="s">
        <v>1530</v>
      </c>
      <c r="B416" s="47" t="s">
        <v>119</v>
      </c>
      <c r="C416" s="52">
        <v>37168.0</v>
      </c>
      <c r="D416" s="48">
        <f t="shared" si="5"/>
        <v>24</v>
      </c>
      <c r="E416" s="48">
        <v>3.24040658E8</v>
      </c>
      <c r="F416" s="49" t="s">
        <v>1531</v>
      </c>
      <c r="G416" s="48" t="s">
        <v>1532</v>
      </c>
      <c r="H416" s="48" t="s">
        <v>800</v>
      </c>
      <c r="I416" s="47" t="s">
        <v>141</v>
      </c>
      <c r="J416" s="47"/>
      <c r="K416" s="47"/>
      <c r="L416" s="47" t="s">
        <v>197</v>
      </c>
      <c r="M416" s="51"/>
      <c r="N416" s="51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>
      <c r="A417" s="47" t="s">
        <v>1533</v>
      </c>
      <c r="B417" s="47" t="s">
        <v>133</v>
      </c>
      <c r="C417" s="52">
        <v>37039.0</v>
      </c>
      <c r="D417" s="48">
        <f t="shared" si="5"/>
        <v>24</v>
      </c>
      <c r="E417" s="48">
        <v>3.23129239E8</v>
      </c>
      <c r="F417" s="49" t="s">
        <v>1534</v>
      </c>
      <c r="G417" s="48" t="s">
        <v>1535</v>
      </c>
      <c r="H417" s="48" t="s">
        <v>536</v>
      </c>
      <c r="I417" s="47" t="s">
        <v>141</v>
      </c>
      <c r="J417" s="47"/>
      <c r="K417" s="47"/>
      <c r="L417" s="47" t="s">
        <v>197</v>
      </c>
      <c r="M417" s="51"/>
      <c r="N417" s="51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</row>
    <row r="418">
      <c r="A418" s="47" t="s">
        <v>1536</v>
      </c>
      <c r="B418" s="47" t="s">
        <v>133</v>
      </c>
      <c r="C418" s="52">
        <v>39983.0</v>
      </c>
      <c r="D418" s="48">
        <f t="shared" si="5"/>
        <v>16</v>
      </c>
      <c r="E418" s="48">
        <v>3.33589687E8</v>
      </c>
      <c r="F418" s="49" t="s">
        <v>1537</v>
      </c>
      <c r="G418" s="48" t="s">
        <v>1538</v>
      </c>
      <c r="H418" s="48" t="s">
        <v>53</v>
      </c>
      <c r="I418" s="47" t="s">
        <v>141</v>
      </c>
      <c r="J418" s="47"/>
      <c r="K418" s="47"/>
      <c r="L418" s="47" t="s">
        <v>197</v>
      </c>
      <c r="M418" s="51"/>
      <c r="N418" s="51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</row>
    <row r="419">
      <c r="A419" s="47" t="s">
        <v>1539</v>
      </c>
      <c r="B419" s="47" t="s">
        <v>133</v>
      </c>
      <c r="C419" s="52">
        <v>39476.0</v>
      </c>
      <c r="D419" s="48">
        <f t="shared" si="5"/>
        <v>17</v>
      </c>
      <c r="E419" s="48">
        <v>3.32278324E8</v>
      </c>
      <c r="F419" s="49" t="s">
        <v>1540</v>
      </c>
      <c r="G419" s="48" t="s">
        <v>1541</v>
      </c>
      <c r="H419" s="48" t="s">
        <v>130</v>
      </c>
      <c r="I419" s="47" t="s">
        <v>141</v>
      </c>
      <c r="J419" s="47"/>
      <c r="K419" s="47"/>
      <c r="L419" s="47" t="s">
        <v>197</v>
      </c>
      <c r="M419" s="51"/>
      <c r="N419" s="51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</row>
    <row r="420">
      <c r="A420" s="47" t="s">
        <v>1542</v>
      </c>
      <c r="B420" s="47" t="s">
        <v>133</v>
      </c>
      <c r="C420" s="52">
        <v>39605.0</v>
      </c>
      <c r="D420" s="48">
        <f t="shared" si="5"/>
        <v>17</v>
      </c>
      <c r="E420" s="48">
        <v>3.31750299E8</v>
      </c>
      <c r="F420" s="49" t="s">
        <v>1543</v>
      </c>
      <c r="G420" s="48" t="s">
        <v>1544</v>
      </c>
      <c r="H420" s="48" t="s">
        <v>130</v>
      </c>
      <c r="I420" s="47" t="s">
        <v>141</v>
      </c>
      <c r="J420" s="47"/>
      <c r="K420" s="47"/>
      <c r="L420" s="47" t="s">
        <v>197</v>
      </c>
      <c r="M420" s="51" t="s">
        <v>1545</v>
      </c>
      <c r="N420" s="51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</row>
    <row r="421">
      <c r="A421" s="47" t="s">
        <v>1546</v>
      </c>
      <c r="B421" s="47" t="s">
        <v>119</v>
      </c>
      <c r="C421" s="52">
        <v>40270.0</v>
      </c>
      <c r="D421" s="48">
        <f t="shared" si="5"/>
        <v>15</v>
      </c>
      <c r="E421" s="48">
        <v>3.34455888E8</v>
      </c>
      <c r="F421" s="49" t="s">
        <v>1547</v>
      </c>
      <c r="G421" s="48" t="s">
        <v>1548</v>
      </c>
      <c r="H421" s="48" t="s">
        <v>53</v>
      </c>
      <c r="I421" s="47" t="s">
        <v>141</v>
      </c>
      <c r="J421" s="47"/>
      <c r="K421" s="47"/>
      <c r="L421" s="47" t="s">
        <v>197</v>
      </c>
      <c r="M421" s="51"/>
      <c r="N421" s="51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</row>
    <row r="422">
      <c r="A422" s="47" t="s">
        <v>1549</v>
      </c>
      <c r="B422" s="47" t="s">
        <v>119</v>
      </c>
      <c r="C422" s="52">
        <v>39666.0</v>
      </c>
      <c r="D422" s="48">
        <f t="shared" si="5"/>
        <v>17</v>
      </c>
      <c r="E422" s="48">
        <v>2.17662873E8</v>
      </c>
      <c r="F422" s="49" t="s">
        <v>1550</v>
      </c>
      <c r="G422" s="48" t="s">
        <v>1551</v>
      </c>
      <c r="H422" s="48" t="s">
        <v>1552</v>
      </c>
      <c r="I422" s="47" t="s">
        <v>194</v>
      </c>
      <c r="J422" s="47" t="s">
        <v>209</v>
      </c>
      <c r="K422" s="47"/>
      <c r="L422" s="47" t="s">
        <v>197</v>
      </c>
      <c r="M422" s="51"/>
      <c r="N422" s="51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</row>
    <row r="423">
      <c r="A423" s="47" t="s">
        <v>1553</v>
      </c>
      <c r="B423" s="47" t="s">
        <v>119</v>
      </c>
      <c r="C423" s="52">
        <v>39727.0</v>
      </c>
      <c r="D423" s="48">
        <f t="shared" si="5"/>
        <v>17</v>
      </c>
      <c r="E423" s="48">
        <v>3.32985332E8</v>
      </c>
      <c r="F423" s="49" t="s">
        <v>1554</v>
      </c>
      <c r="G423" s="48" t="s">
        <v>1555</v>
      </c>
      <c r="H423" s="48" t="s">
        <v>1556</v>
      </c>
      <c r="I423" s="47" t="s">
        <v>194</v>
      </c>
      <c r="J423" s="47" t="s">
        <v>209</v>
      </c>
      <c r="K423" s="47"/>
      <c r="L423" s="47" t="s">
        <v>197</v>
      </c>
      <c r="M423" s="51"/>
      <c r="N423" s="51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</row>
    <row r="424">
      <c r="A424" s="47" t="s">
        <v>1557</v>
      </c>
      <c r="B424" s="47" t="s">
        <v>133</v>
      </c>
      <c r="C424" s="52">
        <v>40294.0</v>
      </c>
      <c r="D424" s="48">
        <f t="shared" si="5"/>
        <v>15</v>
      </c>
      <c r="E424" s="48">
        <v>3.34456456E8</v>
      </c>
      <c r="F424" s="49" t="s">
        <v>1558</v>
      </c>
      <c r="G424" s="48" t="s">
        <v>1559</v>
      </c>
      <c r="H424" s="48" t="s">
        <v>148</v>
      </c>
      <c r="I424" s="47" t="s">
        <v>141</v>
      </c>
      <c r="J424" s="47"/>
      <c r="K424" s="47"/>
      <c r="L424" s="47" t="s">
        <v>197</v>
      </c>
      <c r="M424" s="51"/>
      <c r="N424" s="51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>
      <c r="A425" s="47" t="s">
        <v>1560</v>
      </c>
      <c r="B425" s="47" t="s">
        <v>119</v>
      </c>
      <c r="C425" s="52">
        <v>39539.0</v>
      </c>
      <c r="D425" s="48">
        <f t="shared" si="5"/>
        <v>17</v>
      </c>
      <c r="E425" s="48">
        <v>2.17634823E8</v>
      </c>
      <c r="F425" s="49" t="s">
        <v>1561</v>
      </c>
      <c r="G425" s="48" t="s">
        <v>1562</v>
      </c>
      <c r="H425" s="48" t="s">
        <v>1563</v>
      </c>
      <c r="I425" s="47" t="s">
        <v>194</v>
      </c>
      <c r="J425" s="47" t="s">
        <v>209</v>
      </c>
      <c r="K425" s="47"/>
      <c r="L425" s="47" t="s">
        <v>197</v>
      </c>
      <c r="M425" s="51"/>
      <c r="N425" s="51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</row>
    <row r="426">
      <c r="A426" s="47" t="s">
        <v>1564</v>
      </c>
      <c r="B426" s="47" t="s">
        <v>119</v>
      </c>
      <c r="C426" s="52">
        <v>39542.0</v>
      </c>
      <c r="D426" s="48">
        <f t="shared" si="5"/>
        <v>17</v>
      </c>
      <c r="E426" s="48">
        <v>2.17535111E8</v>
      </c>
      <c r="F426" s="49" t="s">
        <v>1565</v>
      </c>
      <c r="G426" s="48" t="s">
        <v>1566</v>
      </c>
      <c r="H426" s="48" t="s">
        <v>1567</v>
      </c>
      <c r="I426" s="47" t="s">
        <v>194</v>
      </c>
      <c r="J426" s="47" t="s">
        <v>209</v>
      </c>
      <c r="K426" s="47"/>
      <c r="L426" s="47" t="s">
        <v>197</v>
      </c>
      <c r="M426" s="51"/>
      <c r="N426" s="51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</row>
    <row r="427">
      <c r="A427" s="47" t="s">
        <v>1568</v>
      </c>
      <c r="B427" s="47" t="s">
        <v>119</v>
      </c>
      <c r="C427" s="52">
        <v>39427.0</v>
      </c>
      <c r="D427" s="48">
        <f t="shared" si="5"/>
        <v>18</v>
      </c>
      <c r="E427" s="48">
        <v>3.31658039E8</v>
      </c>
      <c r="F427" s="49" t="s">
        <v>1569</v>
      </c>
      <c r="G427" s="48" t="s">
        <v>1570</v>
      </c>
      <c r="H427" s="48" t="s">
        <v>201</v>
      </c>
      <c r="I427" s="47" t="s">
        <v>141</v>
      </c>
      <c r="J427" s="47"/>
      <c r="K427" s="47"/>
      <c r="L427" s="47" t="s">
        <v>197</v>
      </c>
      <c r="M427" s="51"/>
      <c r="N427" s="51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>
      <c r="A428" s="47" t="s">
        <v>1571</v>
      </c>
      <c r="B428" s="47" t="s">
        <v>119</v>
      </c>
      <c r="C428" s="52">
        <v>39824.0</v>
      </c>
      <c r="D428" s="48">
        <f t="shared" si="5"/>
        <v>17</v>
      </c>
      <c r="E428" s="48">
        <v>2.17944644E8</v>
      </c>
      <c r="F428" s="49" t="s">
        <v>1572</v>
      </c>
      <c r="G428" s="48" t="s">
        <v>1573</v>
      </c>
      <c r="H428" s="48" t="s">
        <v>800</v>
      </c>
      <c r="I428" s="47" t="s">
        <v>141</v>
      </c>
      <c r="J428" s="47"/>
      <c r="K428" s="47"/>
      <c r="L428" s="47" t="s">
        <v>197</v>
      </c>
      <c r="M428" s="51" t="s">
        <v>1574</v>
      </c>
      <c r="N428" s="51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</row>
    <row r="429">
      <c r="A429" s="47" t="s">
        <v>1575</v>
      </c>
      <c r="B429" s="47" t="s">
        <v>119</v>
      </c>
      <c r="C429" s="52">
        <v>40108.0</v>
      </c>
      <c r="D429" s="48">
        <f t="shared" si="5"/>
        <v>16</v>
      </c>
      <c r="E429" s="48">
        <v>2.18804821E8</v>
      </c>
      <c r="F429" s="49" t="s">
        <v>1576</v>
      </c>
      <c r="G429" s="48" t="s">
        <v>1577</v>
      </c>
      <c r="H429" s="48" t="s">
        <v>1578</v>
      </c>
      <c r="I429" s="47" t="s">
        <v>194</v>
      </c>
      <c r="J429" s="47" t="s">
        <v>209</v>
      </c>
      <c r="K429" s="47"/>
      <c r="L429" s="47" t="s">
        <v>197</v>
      </c>
      <c r="M429" s="51"/>
      <c r="N429" s="51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</row>
    <row r="430">
      <c r="A430" s="47" t="s">
        <v>1579</v>
      </c>
      <c r="B430" s="47" t="s">
        <v>119</v>
      </c>
      <c r="C430" s="52">
        <v>39412.0</v>
      </c>
      <c r="D430" s="48">
        <f t="shared" si="5"/>
        <v>18</v>
      </c>
      <c r="E430" s="48">
        <v>2.30312092E8</v>
      </c>
      <c r="F430" s="49" t="s">
        <v>1580</v>
      </c>
      <c r="G430" s="48" t="s">
        <v>1581</v>
      </c>
      <c r="H430" s="48" t="s">
        <v>34</v>
      </c>
      <c r="I430" s="47" t="s">
        <v>141</v>
      </c>
      <c r="J430" s="47"/>
      <c r="K430" s="47"/>
      <c r="L430" s="47" t="s">
        <v>197</v>
      </c>
      <c r="M430" s="51"/>
      <c r="N430" s="51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</row>
    <row r="431">
      <c r="A431" s="47" t="s">
        <v>1582</v>
      </c>
      <c r="B431" s="47" t="s">
        <v>119</v>
      </c>
      <c r="C431" s="52">
        <v>33975.0</v>
      </c>
      <c r="D431" s="48">
        <f t="shared" si="5"/>
        <v>33</v>
      </c>
      <c r="E431" s="48">
        <v>3.08216969E8</v>
      </c>
      <c r="F431" s="49" t="s">
        <v>1583</v>
      </c>
      <c r="G431" s="48" t="s">
        <v>1584</v>
      </c>
      <c r="H431" s="48" t="s">
        <v>1585</v>
      </c>
      <c r="I431" s="47" t="s">
        <v>194</v>
      </c>
      <c r="J431" s="47" t="s">
        <v>209</v>
      </c>
      <c r="K431" s="47"/>
      <c r="L431" s="47" t="s">
        <v>197</v>
      </c>
      <c r="M431" s="51"/>
      <c r="N431" s="51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>
      <c r="A432" s="47" t="s">
        <v>1586</v>
      </c>
      <c r="B432" s="47" t="s">
        <v>133</v>
      </c>
      <c r="C432" s="52">
        <v>38793.0</v>
      </c>
      <c r="D432" s="48">
        <f t="shared" si="5"/>
        <v>19</v>
      </c>
      <c r="E432" s="48">
        <v>3.295417E8</v>
      </c>
      <c r="F432" s="49" t="s">
        <v>1587</v>
      </c>
      <c r="G432" s="48" t="s">
        <v>1588</v>
      </c>
      <c r="H432" s="48" t="s">
        <v>201</v>
      </c>
      <c r="I432" s="47" t="s">
        <v>141</v>
      </c>
      <c r="J432" s="47"/>
      <c r="K432" s="47"/>
      <c r="L432" s="47" t="s">
        <v>197</v>
      </c>
      <c r="M432" s="51"/>
      <c r="N432" s="51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</row>
    <row r="433">
      <c r="A433" s="47" t="s">
        <v>1589</v>
      </c>
      <c r="B433" s="47" t="s">
        <v>119</v>
      </c>
      <c r="C433" s="52" t="s">
        <v>1590</v>
      </c>
      <c r="D433" s="48">
        <f t="shared" si="5"/>
        <v>2018</v>
      </c>
      <c r="E433" s="48">
        <v>2.17501899E8</v>
      </c>
      <c r="F433" s="49" t="s">
        <v>1591</v>
      </c>
      <c r="G433" s="48" t="s">
        <v>1592</v>
      </c>
      <c r="H433" s="48" t="s">
        <v>1593</v>
      </c>
      <c r="I433" s="47" t="s">
        <v>194</v>
      </c>
      <c r="J433" s="47" t="s">
        <v>209</v>
      </c>
      <c r="K433" s="47"/>
      <c r="L433" s="47" t="s">
        <v>197</v>
      </c>
      <c r="M433" s="51" t="s">
        <v>1594</v>
      </c>
      <c r="N433" s="51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</row>
    <row r="434">
      <c r="A434" s="47" t="s">
        <v>1595</v>
      </c>
      <c r="B434" s="47" t="s">
        <v>133</v>
      </c>
      <c r="C434" s="52">
        <v>40061.0</v>
      </c>
      <c r="D434" s="48">
        <f t="shared" si="5"/>
        <v>16</v>
      </c>
      <c r="E434" s="48">
        <v>3.33629103E8</v>
      </c>
      <c r="F434" s="49" t="s">
        <v>1596</v>
      </c>
      <c r="G434" s="48" t="s">
        <v>1597</v>
      </c>
      <c r="H434" s="48" t="s">
        <v>140</v>
      </c>
      <c r="I434" s="47" t="s">
        <v>141</v>
      </c>
      <c r="J434" s="47"/>
      <c r="K434" s="47"/>
      <c r="L434" s="47" t="s">
        <v>197</v>
      </c>
      <c r="M434" s="51"/>
      <c r="N434" s="51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</row>
    <row r="435">
      <c r="A435" s="47" t="s">
        <v>1598</v>
      </c>
      <c r="B435" s="47" t="s">
        <v>119</v>
      </c>
      <c r="C435" s="52">
        <v>40273.0</v>
      </c>
      <c r="D435" s="48">
        <f t="shared" si="5"/>
        <v>15</v>
      </c>
      <c r="E435" s="48">
        <v>2.19214988E8</v>
      </c>
      <c r="F435" s="48" t="s">
        <v>1599</v>
      </c>
      <c r="G435" s="48" t="s">
        <v>1600</v>
      </c>
      <c r="H435" s="48" t="s">
        <v>1127</v>
      </c>
      <c r="I435" s="47" t="s">
        <v>194</v>
      </c>
      <c r="J435" s="47" t="s">
        <v>209</v>
      </c>
      <c r="K435" s="47"/>
      <c r="L435" s="47" t="s">
        <v>197</v>
      </c>
      <c r="M435" s="51" t="s">
        <v>1601</v>
      </c>
      <c r="N435" s="51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>
      <c r="A436" s="47" t="s">
        <v>1602</v>
      </c>
      <c r="B436" s="47" t="s">
        <v>119</v>
      </c>
      <c r="C436" s="52">
        <v>40266.0</v>
      </c>
      <c r="D436" s="48">
        <f t="shared" si="5"/>
        <v>15</v>
      </c>
      <c r="E436" s="48">
        <v>3.46475338E8</v>
      </c>
      <c r="F436" s="49" t="s">
        <v>1603</v>
      </c>
      <c r="G436" s="48" t="s">
        <v>1604</v>
      </c>
      <c r="H436" s="48" t="s">
        <v>34</v>
      </c>
      <c r="I436" s="47" t="s">
        <v>194</v>
      </c>
      <c r="J436" s="47" t="s">
        <v>209</v>
      </c>
      <c r="K436" s="47"/>
      <c r="L436" s="47" t="s">
        <v>197</v>
      </c>
      <c r="M436" s="51"/>
      <c r="N436" s="51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</row>
    <row r="437">
      <c r="A437" s="47" t="s">
        <v>1605</v>
      </c>
      <c r="B437" s="47" t="s">
        <v>119</v>
      </c>
      <c r="C437" s="52">
        <v>39627.0</v>
      </c>
      <c r="D437" s="48">
        <f t="shared" si="5"/>
        <v>17</v>
      </c>
      <c r="E437" s="48">
        <v>2.17323518E8</v>
      </c>
      <c r="F437" s="49" t="s">
        <v>1606</v>
      </c>
      <c r="G437" s="48" t="s">
        <v>1607</v>
      </c>
      <c r="H437" s="48" t="s">
        <v>1608</v>
      </c>
      <c r="I437" s="47" t="s">
        <v>141</v>
      </c>
      <c r="J437" s="47"/>
      <c r="K437" s="47"/>
      <c r="L437" s="47" t="s">
        <v>197</v>
      </c>
      <c r="M437" s="51"/>
      <c r="N437" s="51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</row>
    <row r="438">
      <c r="A438" s="47" t="s">
        <v>1609</v>
      </c>
      <c r="B438" s="47" t="s">
        <v>119</v>
      </c>
      <c r="C438" s="52">
        <v>37788.0</v>
      </c>
      <c r="D438" s="48">
        <f t="shared" si="5"/>
        <v>22</v>
      </c>
      <c r="E438" s="48">
        <v>3.37902563E8</v>
      </c>
      <c r="F438" s="49" t="s">
        <v>1610</v>
      </c>
      <c r="G438" s="48" t="s">
        <v>1611</v>
      </c>
      <c r="H438" s="48" t="s">
        <v>34</v>
      </c>
      <c r="I438" s="47" t="s">
        <v>141</v>
      </c>
      <c r="J438" s="47"/>
      <c r="K438" s="47"/>
      <c r="L438" s="47" t="s">
        <v>197</v>
      </c>
      <c r="M438" s="51"/>
      <c r="N438" s="51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</row>
    <row r="439">
      <c r="A439" s="47" t="s">
        <v>1612</v>
      </c>
      <c r="B439" s="47" t="s">
        <v>119</v>
      </c>
      <c r="C439" s="52">
        <v>39678.0</v>
      </c>
      <c r="D439" s="48">
        <f t="shared" si="5"/>
        <v>17</v>
      </c>
      <c r="E439" s="48">
        <v>3.31879338E8</v>
      </c>
      <c r="F439" s="49" t="s">
        <v>1613</v>
      </c>
      <c r="G439" s="48" t="s">
        <v>1614</v>
      </c>
      <c r="H439" s="48" t="s">
        <v>53</v>
      </c>
      <c r="I439" s="47" t="s">
        <v>194</v>
      </c>
      <c r="J439" s="47" t="s">
        <v>209</v>
      </c>
      <c r="K439" s="47"/>
      <c r="L439" s="47" t="s">
        <v>197</v>
      </c>
      <c r="M439" s="51"/>
      <c r="N439" s="51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</row>
    <row r="440">
      <c r="A440" s="47" t="s">
        <v>1615</v>
      </c>
      <c r="B440" s="47" t="s">
        <v>133</v>
      </c>
      <c r="C440" s="52">
        <v>35347.0</v>
      </c>
      <c r="D440" s="48">
        <f t="shared" si="5"/>
        <v>29</v>
      </c>
      <c r="E440" s="48">
        <v>3.16474865E8</v>
      </c>
      <c r="F440" s="49" t="s">
        <v>1616</v>
      </c>
      <c r="G440" s="48" t="s">
        <v>1617</v>
      </c>
      <c r="H440" s="48" t="s">
        <v>635</v>
      </c>
      <c r="I440" s="47" t="s">
        <v>141</v>
      </c>
      <c r="J440" s="47"/>
      <c r="K440" s="47"/>
      <c r="L440" s="47" t="s">
        <v>197</v>
      </c>
      <c r="M440" s="51" t="s">
        <v>1618</v>
      </c>
      <c r="N440" s="51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</row>
    <row r="441">
      <c r="A441" s="47" t="s">
        <v>1619</v>
      </c>
      <c r="B441" s="47" t="s">
        <v>119</v>
      </c>
      <c r="C441" s="52">
        <v>36911.0</v>
      </c>
      <c r="D441" s="48">
        <f t="shared" si="5"/>
        <v>24</v>
      </c>
      <c r="E441" s="48">
        <v>2.11764931E8</v>
      </c>
      <c r="F441" s="49" t="s">
        <v>1620</v>
      </c>
      <c r="G441" s="48" t="s">
        <v>1621</v>
      </c>
      <c r="H441" s="48" t="s">
        <v>12</v>
      </c>
      <c r="I441" s="47" t="s">
        <v>194</v>
      </c>
      <c r="J441" s="47" t="s">
        <v>209</v>
      </c>
      <c r="K441" s="47"/>
      <c r="L441" s="47" t="s">
        <v>197</v>
      </c>
      <c r="M441" s="51" t="s">
        <v>1622</v>
      </c>
      <c r="N441" s="51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</row>
    <row r="442">
      <c r="A442" s="47" t="s">
        <v>145</v>
      </c>
      <c r="B442" s="47" t="s">
        <v>119</v>
      </c>
      <c r="C442" s="52">
        <v>39852.0</v>
      </c>
      <c r="D442" s="48">
        <f t="shared" si="5"/>
        <v>16</v>
      </c>
      <c r="E442" s="48">
        <v>3.32879923E8</v>
      </c>
      <c r="F442" s="49" t="s">
        <v>146</v>
      </c>
      <c r="G442" s="48" t="s">
        <v>1623</v>
      </c>
      <c r="H442" s="48" t="s">
        <v>148</v>
      </c>
      <c r="I442" s="47" t="s">
        <v>141</v>
      </c>
      <c r="J442" s="47"/>
      <c r="K442" s="47"/>
      <c r="L442" s="47" t="s">
        <v>197</v>
      </c>
      <c r="M442" s="51"/>
      <c r="N442" s="51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</row>
    <row r="443">
      <c r="A443" s="47" t="s">
        <v>1624</v>
      </c>
      <c r="B443" s="47" t="s">
        <v>133</v>
      </c>
      <c r="C443" s="52">
        <v>40066.0</v>
      </c>
      <c r="D443" s="48">
        <f t="shared" si="5"/>
        <v>16</v>
      </c>
      <c r="E443" s="48">
        <v>3.29799944E8</v>
      </c>
      <c r="F443" s="49" t="s">
        <v>1625</v>
      </c>
      <c r="G443" s="48" t="s">
        <v>1626</v>
      </c>
      <c r="H443" s="48" t="s">
        <v>34</v>
      </c>
      <c r="I443" s="47" t="s">
        <v>141</v>
      </c>
      <c r="J443" s="47"/>
      <c r="K443" s="47"/>
      <c r="L443" s="47" t="s">
        <v>197</v>
      </c>
      <c r="M443" s="51" t="s">
        <v>1627</v>
      </c>
      <c r="N443" s="51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</row>
    <row r="444">
      <c r="A444" s="47" t="s">
        <v>1628</v>
      </c>
      <c r="B444" s="47" t="s">
        <v>119</v>
      </c>
      <c r="C444" s="52">
        <v>35358.0</v>
      </c>
      <c r="D444" s="48">
        <f t="shared" si="5"/>
        <v>29</v>
      </c>
      <c r="E444" s="48">
        <v>2.08541169E8</v>
      </c>
      <c r="F444" s="49" t="s">
        <v>1629</v>
      </c>
      <c r="G444" s="48" t="s">
        <v>1630</v>
      </c>
      <c r="H444" s="48" t="s">
        <v>430</v>
      </c>
      <c r="I444" s="47" t="s">
        <v>194</v>
      </c>
      <c r="J444" s="47" t="s">
        <v>209</v>
      </c>
      <c r="K444" s="47"/>
      <c r="L444" s="47" t="s">
        <v>197</v>
      </c>
      <c r="M444" s="51" t="s">
        <v>1631</v>
      </c>
      <c r="N444" s="51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</row>
    <row r="445">
      <c r="A445" s="47" t="s">
        <v>1632</v>
      </c>
      <c r="B445" s="47" t="s">
        <v>119</v>
      </c>
      <c r="C445" s="52">
        <v>36693.0</v>
      </c>
      <c r="D445" s="48">
        <f t="shared" si="5"/>
        <v>25</v>
      </c>
      <c r="E445" s="48">
        <v>2.11394159E8</v>
      </c>
      <c r="F445" s="49" t="s">
        <v>1633</v>
      </c>
      <c r="G445" s="48" t="s">
        <v>1634</v>
      </c>
      <c r="H445" s="48" t="s">
        <v>800</v>
      </c>
      <c r="I445" s="47" t="s">
        <v>194</v>
      </c>
      <c r="J445" s="47" t="s">
        <v>209</v>
      </c>
      <c r="K445" s="47"/>
      <c r="L445" s="47" t="s">
        <v>197</v>
      </c>
      <c r="M445" s="51" t="s">
        <v>1635</v>
      </c>
      <c r="N445" s="51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</row>
    <row r="446">
      <c r="A446" s="47" t="s">
        <v>1636</v>
      </c>
      <c r="B446" s="47" t="s">
        <v>119</v>
      </c>
      <c r="C446" s="52">
        <v>40158.0</v>
      </c>
      <c r="D446" s="48">
        <f t="shared" si="5"/>
        <v>16</v>
      </c>
      <c r="E446" s="48">
        <v>3.34343563E8</v>
      </c>
      <c r="F446" s="49" t="s">
        <v>1637</v>
      </c>
      <c r="G446" s="48" t="s">
        <v>1638</v>
      </c>
      <c r="H446" s="48" t="s">
        <v>130</v>
      </c>
      <c r="I446" s="47" t="s">
        <v>141</v>
      </c>
      <c r="J446" s="47"/>
      <c r="K446" s="47"/>
      <c r="L446" s="47" t="s">
        <v>197</v>
      </c>
      <c r="M446" s="51"/>
      <c r="N446" s="51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</row>
    <row r="447">
      <c r="A447" s="47" t="s">
        <v>1639</v>
      </c>
      <c r="B447" s="47" t="s">
        <v>119</v>
      </c>
      <c r="C447" s="52">
        <v>39511.0</v>
      </c>
      <c r="D447" s="48">
        <f t="shared" si="5"/>
        <v>17</v>
      </c>
      <c r="E447" s="48">
        <v>2.17067743E8</v>
      </c>
      <c r="F447" s="49" t="s">
        <v>1640</v>
      </c>
      <c r="G447" s="48" t="s">
        <v>1641</v>
      </c>
      <c r="H447" s="48" t="s">
        <v>635</v>
      </c>
      <c r="I447" s="47" t="s">
        <v>141</v>
      </c>
      <c r="J447" s="47"/>
      <c r="K447" s="47"/>
      <c r="L447" s="47" t="s">
        <v>197</v>
      </c>
      <c r="M447" s="51"/>
      <c r="N447" s="51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</row>
    <row r="448">
      <c r="A448" s="47" t="s">
        <v>1642</v>
      </c>
      <c r="B448" s="47" t="s">
        <v>119</v>
      </c>
      <c r="C448" s="52">
        <v>39100.0</v>
      </c>
      <c r="D448" s="48">
        <f t="shared" si="5"/>
        <v>18</v>
      </c>
      <c r="E448" s="48">
        <v>3.32527332E8</v>
      </c>
      <c r="F448" s="49" t="s">
        <v>1643</v>
      </c>
      <c r="G448" s="48" t="s">
        <v>1644</v>
      </c>
      <c r="H448" s="48" t="s">
        <v>34</v>
      </c>
      <c r="I448" s="47" t="s">
        <v>194</v>
      </c>
      <c r="J448" s="47" t="s">
        <v>195</v>
      </c>
      <c r="K448" s="47" t="s">
        <v>1645</v>
      </c>
      <c r="L448" s="47" t="s">
        <v>197</v>
      </c>
      <c r="M448" s="51"/>
      <c r="N448" s="51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</row>
    <row r="449">
      <c r="A449" s="47" t="s">
        <v>1646</v>
      </c>
      <c r="B449" s="47" t="s">
        <v>119</v>
      </c>
      <c r="C449" s="52">
        <v>37328.0</v>
      </c>
      <c r="D449" s="48">
        <f t="shared" si="5"/>
        <v>23</v>
      </c>
      <c r="E449" s="48">
        <v>2.09997774E8</v>
      </c>
      <c r="F449" s="49" t="s">
        <v>1647</v>
      </c>
      <c r="G449" s="48" t="s">
        <v>1648</v>
      </c>
      <c r="H449" s="48" t="s">
        <v>299</v>
      </c>
      <c r="I449" s="47" t="s">
        <v>141</v>
      </c>
      <c r="J449" s="47"/>
      <c r="K449" s="47"/>
      <c r="L449" s="47" t="s">
        <v>197</v>
      </c>
      <c r="M449" s="51"/>
      <c r="N449" s="51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58"/>
      <c r="R965" s="58"/>
      <c r="S965" s="58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46"/>
      <c r="P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</row>
  </sheetData>
  <autoFilter ref="$A$1:$N$449">
    <filterColumn colId="8">
      <filters>
        <filter val="חונכות"/>
        <filter val="התנדבות כללית"/>
      </filters>
    </filterColumn>
    <sortState ref="A1:N449">
      <sortCondition ref="H1:H449"/>
      <sortCondition ref="A1:A449"/>
      <sortCondition ref="I1:I449"/>
      <sortCondition ref="B1:B449"/>
    </sortState>
  </autoFilter>
  <dataValidations>
    <dataValidation type="list" allowBlank="1" showErrorMessage="1" sqref="I2:I449">
      <formula1>"התנדבות כללית,חונכות,חונכות + התנדבות,עזב/ה"</formula1>
    </dataValidation>
    <dataValidation type="list" allowBlank="1" showErrorMessage="1" sqref="B2:B449">
      <formula1>"זכר,נקבה"</formula1>
    </dataValidation>
    <dataValidation type="list" allowBlank="1" showErrorMessage="1" sqref="J2:J107 J109:J123 J125:J145 J147:J340 J342:J343 J347 J350 J353 J355:J356 J358:J361 J366:J368 J370:J375 J379 J382 J384 J387:J449">
      <formula1>"יש חניך,אין חניך,לא פנוי לשיבוץ כרגע,לבדוק האם ממשיך בחונכות,ממתין לראיון"</formula1>
    </dataValidation>
    <dataValidation type="list" allowBlank="1" showErrorMessage="1" sqref="L2:L449">
      <formula1>"כן,לא,נשלח קישור"</formula1>
    </dataValidation>
  </dataValidations>
  <hyperlinks>
    <hyperlink r:id="rId1" ref="G200"/>
    <hyperlink r:id="rId2" ref="G218"/>
    <hyperlink r:id="rId3" ref="G243"/>
  </hyperlinks>
  <drawing r:id="rId4"/>
</worksheet>
</file>