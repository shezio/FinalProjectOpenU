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גובות חדש רישום משפחות" sheetId="1" r:id="rId4"/>
    <sheet state="visible" name="משפחות רשומות חדש" sheetId="2" r:id="rId5"/>
    <sheet state="hidden" name="בוגרים" sheetId="3" r:id="rId6"/>
  </sheets>
  <definedNames>
    <definedName hidden="1" localSheetId="1" name="_xlnm._FilterDatabase">'משפחות רשומות חדש'!$A$1:$AF$503</definedName>
    <definedName hidden="1" localSheetId="2" name="_xlnm._FilterDatabase">'בוגרים'!$A$1:$O$3</definedName>
    <definedName hidden="1" localSheetId="1" name="Z_2A3DEFCF_CAB3_4FEB_A902_FC0B61FD7BAE_.wvu.FilterData">'משפחות רשומות חדש'!$A$1:$AF$847</definedName>
    <definedName hidden="1" localSheetId="1" name="Z_487EAD7E_38B5_4F6F_AC2F_8FAFA3FE8F5D_.wvu.FilterData">'משפחות רשומות חדש'!$A$1:$AF$847</definedName>
  </definedNames>
  <calcPr/>
  <customWorkbookViews>
    <customWorkbookView activeSheetId="0" maximized="1" windowHeight="0" windowWidth="0" guid="{487EAD7E-38B5-4F6F-AC2F-8FAFA3FE8F5D}" name="משפחות פעילות"/>
    <customWorkbookView activeSheetId="0" maximized="1" windowHeight="0" windowWidth="0" guid="{2A3DEFCF-CAB3-4FEB-A902-FC0B61FD7BAE}" name="חונכויות פעילות"/>
  </customWorkbookViews>
</workbook>
</file>

<file path=xl/sharedStrings.xml><?xml version="1.0" encoding="utf-8"?>
<sst xmlns="http://schemas.openxmlformats.org/spreadsheetml/2006/main" count="9863" uniqueCount="3920">
  <si>
    <t>Timestamp</t>
  </si>
  <si>
    <t>שם מלא של הילד/ה</t>
  </si>
  <si>
    <t>תאריך רישום</t>
  </si>
  <si>
    <t>שיחת ביקורת - פנימי</t>
  </si>
  <si>
    <t>רכז אחראי - פנימי</t>
  </si>
  <si>
    <t>מין</t>
  </si>
  <si>
    <t>גיל הילד/ה</t>
  </si>
  <si>
    <t>רחוב</t>
  </si>
  <si>
    <t>עיר</t>
  </si>
  <si>
    <t>מספר טלפון של הילד/ה (במידה ויש)</t>
  </si>
  <si>
    <t>בית חולים מטפל</t>
  </si>
  <si>
    <t>מצב רפואי עדכני</t>
  </si>
  <si>
    <t>האם סיים/ה טיפולים?</t>
  </si>
  <si>
    <t>במידה וסימנת לא, מה צפי סיום על פי פרוטוקול?</t>
  </si>
  <si>
    <t>במידה וסימנת כן, מתי סיים/ה טיפולים?</t>
  </si>
  <si>
    <t>האם נמצא במסגרת?</t>
  </si>
  <si>
    <t>תעודת זהות ילד/ה</t>
  </si>
  <si>
    <t>תאריך לידה (תאריך מלא **/**/****)</t>
  </si>
  <si>
    <t>אבחנה רפואית</t>
  </si>
  <si>
    <t>תאריך אבחון</t>
  </si>
  <si>
    <t>שם האב</t>
  </si>
  <si>
    <t>מס' טלפון של האב</t>
  </si>
  <si>
    <t>שם האם</t>
  </si>
  <si>
    <t>מס' טלפון של האם</t>
  </si>
  <si>
    <t>סטטוס זוגי</t>
  </si>
  <si>
    <t>כמה אחים יש? (בנוסף לילד/ה החולים)</t>
  </si>
  <si>
    <t>האם יש משהו ספציפי שתרצו לבקש/לדעת?</t>
  </si>
  <si>
    <t>האם מעוניינים בחונכות?</t>
  </si>
  <si>
    <t>פרטים לצורך חונכות (לצורך ליה ונעם) - פנימי</t>
  </si>
  <si>
    <t>חונך - פנימי</t>
  </si>
  <si>
    <t>אביתר</t>
  </si>
  <si>
    <t>בן</t>
  </si>
  <si>
    <t>לאה אמנו 7/6</t>
  </si>
  <si>
    <t>באר שבע</t>
  </si>
  <si>
    <t>סורוקה</t>
  </si>
  <si>
    <t>חולה לוקמיה</t>
  </si>
  <si>
    <t>לא</t>
  </si>
  <si>
    <t>שנתיים</t>
  </si>
  <si>
    <t>לוקמיה</t>
  </si>
  <si>
    <t>9.12.2025</t>
  </si>
  <si>
    <t>רועי</t>
  </si>
  <si>
    <t>0523639316</t>
  </si>
  <si>
    <t>שני</t>
  </si>
  <si>
    <t>נשואים</t>
  </si>
  <si>
    <t>כן</t>
  </si>
  <si>
    <t>אילון גפני</t>
  </si>
  <si>
    <t xml:space="preserve">דן שומרון </t>
  </si>
  <si>
    <t>רמת גן</t>
  </si>
  <si>
    <t>0528086140</t>
  </si>
  <si>
    <t>שיבא</t>
  </si>
  <si>
    <t>בטיפול של לימפומה tlbl</t>
  </si>
  <si>
    <t>קיץ - יוני יולי</t>
  </si>
  <si>
    <t>לא, בגלל טיפולים תכופים בבית החולים</t>
  </si>
  <si>
    <t>לימפומה tlbl</t>
  </si>
  <si>
    <t>27.11.2025</t>
  </si>
  <si>
    <t>אורן</t>
  </si>
  <si>
    <t>0528485092</t>
  </si>
  <si>
    <t>שרון</t>
  </si>
  <si>
    <t>תודה:)</t>
  </si>
  <si>
    <t xml:space="preserve">ליאב דץ </t>
  </si>
  <si>
    <t xml:space="preserve">הארגמן 170 </t>
  </si>
  <si>
    <t>עתלית</t>
  </si>
  <si>
    <t>0532258490</t>
  </si>
  <si>
    <t xml:space="preserve">רמב״ם </t>
  </si>
  <si>
    <t xml:space="preserve">מטופל </t>
  </si>
  <si>
    <t xml:space="preserve">ארבעה חודשים </t>
  </si>
  <si>
    <t xml:space="preserve">יואינג סרקומה </t>
  </si>
  <si>
    <t xml:space="preserve">26 ביוני </t>
  </si>
  <si>
    <t>אפריים דץ</t>
  </si>
  <si>
    <t>0529253220</t>
  </si>
  <si>
    <t xml:space="preserve">הדסה דץ </t>
  </si>
  <si>
    <t>0546378044</t>
  </si>
  <si>
    <t>אביתר אהרוני</t>
  </si>
  <si>
    <t xml:space="preserve">חונכת </t>
  </si>
  <si>
    <t>שליו ביטון</t>
  </si>
  <si>
    <t>דרך הנחל 53</t>
  </si>
  <si>
    <t>שדה יעקב</t>
  </si>
  <si>
    <t>0555578528</t>
  </si>
  <si>
    <t>רמב״ם</t>
  </si>
  <si>
    <t>בטיפולים</t>
  </si>
  <si>
    <t xml:space="preserve">לא ידוע יש ct </t>
  </si>
  <si>
    <t>תלמיד ביב כרגע בטיפולים</t>
  </si>
  <si>
    <t>לימפומה</t>
  </si>
  <si>
    <t>30/11/25</t>
  </si>
  <si>
    <t>יוסי</t>
  </si>
  <si>
    <t>0534296403</t>
  </si>
  <si>
    <t>מירי</t>
  </si>
  <si>
    <t>0506219100</t>
  </si>
  <si>
    <t>אני יכול לקבל את טליה כחונכת</t>
  </si>
  <si>
    <t xml:space="preserve">נועה חיה דיין </t>
  </si>
  <si>
    <t>בת</t>
  </si>
  <si>
    <t xml:space="preserve">נחל משמר </t>
  </si>
  <si>
    <t>שניידר</t>
  </si>
  <si>
    <t xml:space="preserve">אחרי השתלה </t>
  </si>
  <si>
    <t>20.12.2025</t>
  </si>
  <si>
    <t>Dba</t>
  </si>
  <si>
    <t>מלידה</t>
  </si>
  <si>
    <t>דוד</t>
  </si>
  <si>
    <t>חגית</t>
  </si>
  <si>
    <t>0545371411</t>
  </si>
  <si>
    <t>אופאל צפורי</t>
  </si>
  <si>
    <t>רחל המשוררת 12</t>
  </si>
  <si>
    <t>יבנה</t>
  </si>
  <si>
    <t>איכילוב</t>
  </si>
  <si>
    <t>אונקולוגית</t>
  </si>
  <si>
    <t>סוף 2026</t>
  </si>
  <si>
    <t>באופן חלקי עם סייעת צמודה</t>
  </si>
  <si>
    <t>Nf1 +גליומה אופטית</t>
  </si>
  <si>
    <t>גיא</t>
  </si>
  <si>
    <t>0522442557</t>
  </si>
  <si>
    <t>אנה</t>
  </si>
  <si>
    <t>0528082699</t>
  </si>
  <si>
    <t>עידן חילר</t>
  </si>
  <si>
    <t>אריה דולצ׳ין</t>
  </si>
  <si>
    <t>0538219093</t>
  </si>
  <si>
    <t>מחלים מסרטן</t>
  </si>
  <si>
    <t>אולי עוד כמה חודשים.</t>
  </si>
  <si>
    <t>ניאורובלסטומה</t>
  </si>
  <si>
    <t>דצמבר 2024</t>
  </si>
  <si>
    <t>מיכאל</t>
  </si>
  <si>
    <t>0502165505</t>
  </si>
  <si>
    <t>אולגה</t>
  </si>
  <si>
    <t>0545332096</t>
  </si>
  <si>
    <t>רווק/ה</t>
  </si>
  <si>
    <t>סוג</t>
  </si>
  <si>
    <t>רכז אחראי</t>
  </si>
  <si>
    <t>סטטוס</t>
  </si>
  <si>
    <t>שיחת ביקורת</t>
  </si>
  <si>
    <t>גיל</t>
  </si>
  <si>
    <t>רחוב ומס׳ דירה</t>
  </si>
  <si>
    <t>מספר טלפון של הילד/ה</t>
  </si>
  <si>
    <t>צפי סיום על פי פרוטוקול?</t>
  </si>
  <si>
    <t>מתי סיים/ה טיפולים?</t>
  </si>
  <si>
    <t>תאריך לידה</t>
  </si>
  <si>
    <t>מס׳ טלפון של האם</t>
  </si>
  <si>
    <t>מצב חונכות</t>
  </si>
  <si>
    <t>פרטים לצורך חונכות (לצורך ליה ונעם)</t>
  </si>
  <si>
    <t>חונך</t>
  </si>
  <si>
    <t>הערות ליה</t>
  </si>
  <si>
    <t>בוגר/ת</t>
  </si>
  <si>
    <t>נבו</t>
  </si>
  <si>
    <t>אחזקה</t>
  </si>
  <si>
    <t>לא צריך</t>
  </si>
  <si>
    <t>נועה אזנקוט</t>
  </si>
  <si>
    <t xml:space="preserve">פרופ אהרון צ׳חנובר </t>
  </si>
  <si>
    <t>רחובות</t>
  </si>
  <si>
    <t>0523613465</t>
  </si>
  <si>
    <t>ספרא שיבא תל השומר</t>
  </si>
  <si>
    <t>לימפומה הודגקין טיפולי כימו</t>
  </si>
  <si>
    <t>עוד 2 טיפולים בע״ה</t>
  </si>
  <si>
    <t>תלמידת י״ב אך לא מגיעה לבית הספר</t>
  </si>
  <si>
    <t>לימפומה הודגקין דרגה 2</t>
  </si>
  <si>
    <t>חודש מרץ</t>
  </si>
  <si>
    <t>0527203516</t>
  </si>
  <si>
    <t>יוספה</t>
  </si>
  <si>
    <t>בתקופה מאתגרת שכזאת נשמח לחופשה או לטיול התאווררות וצבירת חוויות, תודה רבה🙏🏻</t>
  </si>
  <si>
    <t>לא רוצים</t>
  </si>
  <si>
    <t>משפחה</t>
  </si>
  <si>
    <t>ללא</t>
  </si>
  <si>
    <t>מחלים/בריא</t>
  </si>
  <si>
    <t>נריה אלופר</t>
  </si>
  <si>
    <t>27/04/2021</t>
  </si>
  <si>
    <t>רמבם 1</t>
  </si>
  <si>
    <t>גבעת שמואל</t>
  </si>
  <si>
    <t>תל השומר (שיבא)</t>
  </si>
  <si>
    <t>בריא</t>
  </si>
  <si>
    <t>אסטוסורקומה בהרך ימין</t>
  </si>
  <si>
    <t>ליבנת</t>
  </si>
  <si>
    <t>גרושים</t>
  </si>
  <si>
    <t>לא רלוונטי</t>
  </si>
  <si>
    <t>עטרה שושן</t>
  </si>
  <si>
    <t>הנצחון 54 דירה 5</t>
  </si>
  <si>
    <t>גן יבנה</t>
  </si>
  <si>
    <t>סיימה טיפולים, נמצאת במעקבים.</t>
  </si>
  <si>
    <t>לימפה בירקיט</t>
  </si>
  <si>
    <t>שמעון</t>
  </si>
  <si>
    <t>נירה</t>
  </si>
  <si>
    <t>נועם גניש</t>
  </si>
  <si>
    <t>29/08/2022</t>
  </si>
  <si>
    <t>שלמה הכהן 6/1</t>
  </si>
  <si>
    <t>אשקלון</t>
  </si>
  <si>
    <t>טיפולי אחזקה, חזר חלקית לבית ספר, שיעורים פרטיים.</t>
  </si>
  <si>
    <t>חלקית</t>
  </si>
  <si>
    <t>מאיר</t>
  </si>
  <si>
    <t>גילה</t>
  </si>
  <si>
    <t>עדי לסרי</t>
  </si>
  <si>
    <t>13/07/2021</t>
  </si>
  <si>
    <t>נופך 242/24 ירושלים</t>
  </si>
  <si>
    <t>ירושלים</t>
  </si>
  <si>
    <t>הדסה עין כרם</t>
  </si>
  <si>
    <t>מעקבים כל שלושה חודשים, בשירות לאומי</t>
  </si>
  <si>
    <t>חזרה של הוד'ג'קין לימפומה</t>
  </si>
  <si>
    <t>אברהם</t>
  </si>
  <si>
    <t>דבורה</t>
  </si>
  <si>
    <t>אייל לוי</t>
  </si>
  <si>
    <t>16/02/2024</t>
  </si>
  <si>
    <t>ההדרים 38</t>
  </si>
  <si>
    <t>צורן</t>
  </si>
  <si>
    <t>-</t>
  </si>
  <si>
    <t>בריא, חזר למסגרת, לבדוק למיאמי</t>
  </si>
  <si>
    <t>ויחמס טיומר</t>
  </si>
  <si>
    <t>31.1.23</t>
  </si>
  <si>
    <t>עידן</t>
  </si>
  <si>
    <t>מיטל</t>
  </si>
  <si>
    <t>21/08/2025</t>
  </si>
  <si>
    <t>אילת ריכטר</t>
  </si>
  <si>
    <t>אריה בן אליעזר 22 דירה 54</t>
  </si>
  <si>
    <t>פתח תקוה</t>
  </si>
  <si>
    <t>שניידר ובעמק</t>
  </si>
  <si>
    <t>סיימה טיפולים, החלימה וחזרה למסגרות</t>
  </si>
  <si>
    <t>Ger mcell toumor</t>
  </si>
  <si>
    <t>ישראל</t>
  </si>
  <si>
    <t>ענת</t>
  </si>
  <si>
    <t>נופש לנשימה :),</t>
  </si>
  <si>
    <t>אילת ריכטר, בת 14.5 מפתח תקווה. נמצאת בטיפול ביולוגי. אוהבת לאפות לבשל ולאכול. שופינג אומנות ויצירה. ישמחו לחונכת דתיה, גדולה.</t>
  </si>
  <si>
    <t xml:space="preserve">הילדה החלימה תודה לאל, חזרה למסגרות ותשמח לעשות ימי כיף האמא נמצאת בקבוצה </t>
  </si>
  <si>
    <t>רועי עמר</t>
  </si>
  <si>
    <t>18/07/2022</t>
  </si>
  <si>
    <t>השלושה 8</t>
  </si>
  <si>
    <t>מושב זיתן</t>
  </si>
  <si>
    <t>סיים אחזקה</t>
  </si>
  <si>
    <t>רמי</t>
  </si>
  <si>
    <t>זהבית</t>
  </si>
  <si>
    <t>הדר נחייסי</t>
  </si>
  <si>
    <t xml:space="preserve">יסעור 3 ב, באר יעקב </t>
  </si>
  <si>
    <t>באר יעקב</t>
  </si>
  <si>
    <t>0528424411</t>
  </si>
  <si>
    <t xml:space="preserve">סיימתי טיפולים </t>
  </si>
  <si>
    <t xml:space="preserve">סרטן שד </t>
  </si>
  <si>
    <t xml:space="preserve">דודו נחייסי </t>
  </si>
  <si>
    <t>0546741876</t>
  </si>
  <si>
    <t>אשמח להצטרף :)</t>
  </si>
  <si>
    <t xml:space="preserve">אופיר רחל כפרי </t>
  </si>
  <si>
    <t xml:space="preserve">גן יבנה </t>
  </si>
  <si>
    <t xml:space="preserve">דיכוי הורמונלי </t>
  </si>
  <si>
    <t xml:space="preserve">סרטן שחלות Low grade serous carcinoma </t>
  </si>
  <si>
    <t>אנט</t>
  </si>
  <si>
    <t>0532238386</t>
  </si>
  <si>
    <t>טיפולים</t>
  </si>
  <si>
    <t>רחל רוזנפלד</t>
  </si>
  <si>
    <t>רב חנן 24 בית שמש</t>
  </si>
  <si>
    <t>בית שמש</t>
  </si>
  <si>
    <t>0508339225</t>
  </si>
  <si>
    <t>טיפולים ובירורים</t>
  </si>
  <si>
    <t>נוירובלסטומה</t>
  </si>
  <si>
    <t>אסתר</t>
  </si>
  <si>
    <t>0526443500</t>
  </si>
  <si>
    <t>אני אחות בכורה מתוך 9 בלי עין הרע
ואשמח לכל דבר שאפשרי לעשות עם האחיות הקטנות שלי
תודה לכם על כל הפעילות המטורפת שלכם</t>
  </si>
  <si>
    <t xml:space="preserve">יעקב ישראל עקיבא </t>
  </si>
  <si>
    <t>יוסף חכמי 44/15</t>
  </si>
  <si>
    <t xml:space="preserve">אחרי השתלת מוח עצם מעומד לטיפול אחזקתי </t>
  </si>
  <si>
    <t>Hodsking</t>
  </si>
  <si>
    <t>אליהו</t>
  </si>
  <si>
    <t>0532245565</t>
  </si>
  <si>
    <t>ליאור כרמל</t>
  </si>
  <si>
    <t>26/05/2021</t>
  </si>
  <si>
    <t>משאול סטרומה 2, דירה 13</t>
  </si>
  <si>
    <t>שדרות</t>
  </si>
  <si>
    <t>סיים טיפולים לפני ארבעה חודשים, ישמחו לביקור מידי פעם. עדיין קשה לו להסתגל</t>
  </si>
  <si>
    <t>יואינג סרקומה</t>
  </si>
  <si>
    <t>נועה</t>
  </si>
  <si>
    <t>תהילה צור</t>
  </si>
  <si>
    <t>20/08/2021</t>
  </si>
  <si>
    <t>חפץ חיים1</t>
  </si>
  <si>
    <t>חפץ חיים</t>
  </si>
  <si>
    <t>מחלימה, שנה אחרי כימו</t>
  </si>
  <si>
    <t>הודגקין לימפומה</t>
  </si>
  <si>
    <t>שמאי</t>
  </si>
  <si>
    <t>יפה</t>
  </si>
  <si>
    <t>ידידיה חדד</t>
  </si>
  <si>
    <t>ירושלים רחוב הרב יצחק ניסים 36/5</t>
  </si>
  <si>
    <t>0546336881</t>
  </si>
  <si>
    <t>מעקב למשך 5 שנים כל שלושה חודשים נקי מסרטן</t>
  </si>
  <si>
    <t>מחלת הודג'קין קלאסי</t>
  </si>
  <si>
    <t>ציפי</t>
  </si>
  <si>
    <t>0546331041</t>
  </si>
  <si>
    <t>נויה סוויסה</t>
  </si>
  <si>
    <t xml:space="preserve">הר חומה ירושלים </t>
  </si>
  <si>
    <t>054359979</t>
  </si>
  <si>
    <t>סיימתי ב24.9.24</t>
  </si>
  <si>
    <t>הודקין לימפומה</t>
  </si>
  <si>
    <t>בן מיכה</t>
  </si>
  <si>
    <t>0543599790</t>
  </si>
  <si>
    <t>בעלי בן מיכה</t>
  </si>
  <si>
    <t>ענר בלוססקי</t>
  </si>
  <si>
    <t>חרצית 5</t>
  </si>
  <si>
    <t>קריית טבעון</t>
  </si>
  <si>
    <t>טיפולי אחזקה, מתנדב בצה"ל.</t>
  </si>
  <si>
    <t>יואינג סרקומה סרטן העצמות</t>
  </si>
  <si>
    <t>ישעהו</t>
  </si>
  <si>
    <t>יפעת</t>
  </si>
  <si>
    <t>אמיתי סלע</t>
  </si>
  <si>
    <t>ירדן</t>
  </si>
  <si>
    <t>מושב נחלים</t>
  </si>
  <si>
    <t>0559920006</t>
  </si>
  <si>
    <t>לפני תחילת טיפול כימותרפי</t>
  </si>
  <si>
    <t>אין עדיין צפי</t>
  </si>
  <si>
    <t>סרטן באדרנל</t>
  </si>
  <si>
    <t>27/07/2025</t>
  </si>
  <si>
    <t>נתנאל</t>
  </si>
  <si>
    <t>0559920000</t>
  </si>
  <si>
    <t>אורית</t>
  </si>
  <si>
    <t>0559922000</t>
  </si>
  <si>
    <t>קמי סקורי</t>
  </si>
  <si>
    <t>רמת רזיאל</t>
  </si>
  <si>
    <t>0505527285</t>
  </si>
  <si>
    <t xml:space="preserve">אחרי טיפולים </t>
  </si>
  <si>
    <t xml:space="preserve">לימפומת הודג'קין </t>
  </si>
  <si>
    <t xml:space="preserve">קים </t>
  </si>
  <si>
    <t>0509969994</t>
  </si>
  <si>
    <t>נטע ידייקין</t>
  </si>
  <si>
    <t>החסידה 9 קדימה</t>
  </si>
  <si>
    <t>קדימה</t>
  </si>
  <si>
    <t>0552235335</t>
  </si>
  <si>
    <t>טיפול 6 מתוך 12</t>
  </si>
  <si>
    <t>הודגקינס לימפומה</t>
  </si>
  <si>
    <t>רגינה</t>
  </si>
  <si>
    <t>0523871380</t>
  </si>
  <si>
    <t>לירז ישראלוב</t>
  </si>
  <si>
    <t>25/05/2021</t>
  </si>
  <si>
    <t>משה שרת 30</t>
  </si>
  <si>
    <t>אזור</t>
  </si>
  <si>
    <t>סיימה טיפולים, סיימה כיתה י"ב. נמצאת במעקב.</t>
  </si>
  <si>
    <t>סיימה כיתה י"ב.</t>
  </si>
  <si>
    <t>לימפומה נון הודג’קין</t>
  </si>
  <si>
    <t>מגי</t>
  </si>
  <si>
    <t>אלחנן לוי</t>
  </si>
  <si>
    <t>ניצנים 5 דירה 8</t>
  </si>
  <si>
    <t>שערי צדק</t>
  </si>
  <si>
    <t>סיים טיפולים- חזר לעבוד- רוצים להישאר מעודכנים</t>
  </si>
  <si>
    <t>עבודה</t>
  </si>
  <si>
    <t>לוקמיה ALL</t>
  </si>
  <si>
    <t>גדעון</t>
  </si>
  <si>
    <t>מיכל</t>
  </si>
  <si>
    <t>יובל מיימון</t>
  </si>
  <si>
    <t>18/12/2023</t>
  </si>
  <si>
    <t>טל חרמון 18 באר שבע</t>
  </si>
  <si>
    <t>בטיפולים חזר פעם שניה</t>
  </si>
  <si>
    <t>אודגקין</t>
  </si>
  <si>
    <t>לאוורר את המשפחה ולהצמיד כמו אח גדול</t>
  </si>
  <si>
    <t>אלעד פריבס</t>
  </si>
  <si>
    <t>אלעד הזמיר12 דירה1</t>
  </si>
  <si>
    <t>אלעד</t>
  </si>
  <si>
    <t>סיימתי טיפולים</t>
  </si>
  <si>
    <t>Non seminoma-ebryonal carcinoba</t>
  </si>
  <si>
    <t>יהונתן</t>
  </si>
  <si>
    <t>+972523543835</t>
  </si>
  <si>
    <t>אוהב להיות עם אנשים מחכה להכיר😁</t>
  </si>
  <si>
    <t>אבישג בר</t>
  </si>
  <si>
    <t>ברניקי ירושלים</t>
  </si>
  <si>
    <t>הודג׳קין לימפומה</t>
  </si>
  <si>
    <t>גניה אלהרר</t>
  </si>
  <si>
    <t>0525555278</t>
  </si>
  <si>
    <t>ליאם</t>
  </si>
  <si>
    <t>האילנות 17 רמת גן</t>
  </si>
  <si>
    <t xml:space="preserve">סיימתי טיפולים לפני 8 חודשים </t>
  </si>
  <si>
    <t>הוצ׳קין לימפומה</t>
  </si>
  <si>
    <t xml:space="preserve">יפית איינסאז </t>
  </si>
  <si>
    <t>0537577218</t>
  </si>
  <si>
    <t>אריאל מלכה</t>
  </si>
  <si>
    <t xml:space="preserve">אלה 569 מושב אומן יישובי תענך </t>
  </si>
  <si>
    <t>מושב אומן</t>
  </si>
  <si>
    <t>0587919700</t>
  </si>
  <si>
    <t xml:space="preserve">סיימתי טיפולים ברוך השם </t>
  </si>
  <si>
    <t>דניאלה מלכה</t>
  </si>
  <si>
    <t>ממש אשמח לנסוע איתכם לטיולים 🫶🏼</t>
  </si>
  <si>
    <t>שיר הודיה מאיר</t>
  </si>
  <si>
    <t xml:space="preserve">האלמוג 36 דירה 3 מעלה אדומים </t>
  </si>
  <si>
    <t>מעלה אדומים</t>
  </si>
  <si>
    <t>0543127554</t>
  </si>
  <si>
    <t>סיימתי טיפולים, במעקב</t>
  </si>
  <si>
    <t xml:space="preserve">לימפומה נון הודגקין </t>
  </si>
  <si>
    <t>תרצה</t>
  </si>
  <si>
    <t>0508288000</t>
  </si>
  <si>
    <t>אשמח שתפנו אליי בפרטי מה יש לכם להציע :)</t>
  </si>
  <si>
    <t>נויה אברגי׳ל</t>
  </si>
  <si>
    <t>14/04/2021</t>
  </si>
  <si>
    <t>חטיבת אלכסנרוני 6 דירה 1104</t>
  </si>
  <si>
    <t>רמת השרון</t>
  </si>
  <si>
    <t>סיימה טיפולים, חזרה למסגרת.</t>
  </si>
  <si>
    <t>לוקמיה AML</t>
  </si>
  <si>
    <t>עופר</t>
  </si>
  <si>
    <t>רחלי</t>
  </si>
  <si>
    <t>חני מנדלוביץ</t>
  </si>
  <si>
    <t>קרית מוצקין דוד המלך 2</t>
  </si>
  <si>
    <t>קרית מוצקין</t>
  </si>
  <si>
    <t>0587706656</t>
  </si>
  <si>
    <t>ינואר 2024</t>
  </si>
  <si>
    <t xml:space="preserve">טובה </t>
  </si>
  <si>
    <t>0525087770</t>
  </si>
  <si>
    <t>יוסף חיים סיני</t>
  </si>
  <si>
    <t>15/07/2021</t>
  </si>
  <si>
    <t>דוד הראובני 18 דירה 9</t>
  </si>
  <si>
    <t>סיים טיפולים לפני 7 חודשים, נמצא במעקב. בנתיים בלימודים</t>
  </si>
  <si>
    <t>Chl ( הודג’קין )</t>
  </si>
  <si>
    <t>אפריים</t>
  </si>
  <si>
    <t>אלמה שוורצפוקס</t>
  </si>
  <si>
    <t>ברניקי 16 ירושלים</t>
  </si>
  <si>
    <t>0586661905</t>
  </si>
  <si>
    <t>אחרי טיפולים, פט סיטי אחרון (מקווה) ב15.7</t>
  </si>
  <si>
    <t>לימפומה אגרסיבית נון הודג׳קין (PMBCL)</t>
  </si>
  <si>
    <t>0523420583</t>
  </si>
  <si>
    <t>מוריה רחל כהן</t>
  </si>
  <si>
    <t>הזית 37</t>
  </si>
  <si>
    <t>מרכז שפירא</t>
  </si>
  <si>
    <t>סיימה טיפולים</t>
  </si>
  <si>
    <t>הודג’קין לימפומה</t>
  </si>
  <si>
    <t>שאול</t>
  </si>
  <si>
    <t>אורנית</t>
  </si>
  <si>
    <t>מעקבים</t>
  </si>
  <si>
    <t>רחל מרואני</t>
  </si>
  <si>
    <t>משה בוסאני לוי איזור התעשייה א' קרית ארבע</t>
  </si>
  <si>
    <t>קרית ארבע</t>
  </si>
  <si>
    <t>0522201130</t>
  </si>
  <si>
    <t>אחרי ניתוח 1, לפני טיפולים, אמורה להתחיל אוטוטו.</t>
  </si>
  <si>
    <t>גליומה</t>
  </si>
  <si>
    <t>הלן</t>
  </si>
  <si>
    <t>0528619667</t>
  </si>
  <si>
    <t>תודה רבה לכם!</t>
  </si>
  <si>
    <t>יוסף ביטון</t>
  </si>
  <si>
    <t>30/11/2021</t>
  </si>
  <si>
    <t>מאיר עמית 5 קומה 1 דירה 2</t>
  </si>
  <si>
    <t>אור עקיבא</t>
  </si>
  <si>
    <t>דנה (איכילוב)</t>
  </si>
  <si>
    <t>סיים טיפולים</t>
  </si>
  <si>
    <t>aml</t>
  </si>
  <si>
    <t>קובי</t>
  </si>
  <si>
    <t>חלי</t>
  </si>
  <si>
    <t>ניב אורבינו</t>
  </si>
  <si>
    <t>הבניאס 12 א', יקנעם עילית</t>
  </si>
  <si>
    <t>יקנעם עילית</t>
  </si>
  <si>
    <t>0534292550</t>
  </si>
  <si>
    <t>טיפול ביולוגי</t>
  </si>
  <si>
    <t>0544591109</t>
  </si>
  <si>
    <t>עומרי עלימה</t>
  </si>
  <si>
    <t>כפר סבא ששת הימים 16</t>
  </si>
  <si>
    <t>כפר סבא</t>
  </si>
  <si>
    <t>0502232267</t>
  </si>
  <si>
    <t>טיפולים כימו וביולוגי</t>
  </si>
  <si>
    <t>לימפומה נון הודגקינס</t>
  </si>
  <si>
    <t xml:space="preserve">לאה </t>
  </si>
  <si>
    <t>0545676032</t>
  </si>
  <si>
    <t xml:space="preserve">וואלה אני לוחם בסיירת גולני ואני אמור להשתחרר עוד חודשים ואז תפס אותי סרטן בעזה </t>
  </si>
  <si>
    <t>אפק שמעיה</t>
  </si>
  <si>
    <t xml:space="preserve">האמהות 8 טבריה </t>
  </si>
  <si>
    <t>טבריה</t>
  </si>
  <si>
    <t>טיפול ביולוגי ללא הגבלת זמן</t>
  </si>
  <si>
    <t>לימפומה נון הודגקין</t>
  </si>
  <si>
    <t>בת - חן</t>
  </si>
  <si>
    <t>052-236-3026</t>
  </si>
  <si>
    <t>אלעד גובני</t>
  </si>
  <si>
    <t xml:space="preserve">עין שמש 17 </t>
  </si>
  <si>
    <t>גני תקווה</t>
  </si>
  <si>
    <t>0509445232</t>
  </si>
  <si>
    <t>שיבא תל השומר</t>
  </si>
  <si>
    <t xml:space="preserve">אובחן עם לוקמיה מטופל בכימו. </t>
  </si>
  <si>
    <t>בערך כחודשיים</t>
  </si>
  <si>
    <t>ישיבה</t>
  </si>
  <si>
    <t>27.08.24</t>
  </si>
  <si>
    <t>יחיאל</t>
  </si>
  <si>
    <t>0506814887</t>
  </si>
  <si>
    <t>נאוה</t>
  </si>
  <si>
    <t xml:space="preserve">נשמח מאוד לעזרה גם עם אחיו הקטן של הילד שמטופל בן 13
תודה רבה
</t>
  </si>
  <si>
    <t>התמודדות מול הילד בן ה 13 , הילד החולה בן 20 תלמיד ישיבה</t>
  </si>
  <si>
    <t xml:space="preserve">יעל גולדשטיין </t>
  </si>
  <si>
    <t>דרך הכרכום 12 קיבוץ יגור</t>
  </si>
  <si>
    <t>קיבוץ יגור</t>
  </si>
  <si>
    <t>0559998159</t>
  </si>
  <si>
    <t xml:space="preserve">במהלך טיפול משמר </t>
  </si>
  <si>
    <t>לוקמיה All - B לפי פרוטוקול של high risk ללא השתלה</t>
  </si>
  <si>
    <t>כרמית גולדשטיין</t>
  </si>
  <si>
    <t>0546611103</t>
  </si>
  <si>
    <t>הילה עזרן</t>
  </si>
  <si>
    <t>אפיקי מים 304/4</t>
  </si>
  <si>
    <t>כוכב יעקב</t>
  </si>
  <si>
    <t>לימפומה נון אודגין</t>
  </si>
  <si>
    <t>נחום</t>
  </si>
  <si>
    <t>מתן אשר טיטלבוים</t>
  </si>
  <si>
    <t>מודיעין, יהודה 146</t>
  </si>
  <si>
    <t>מודיעין</t>
  </si>
  <si>
    <t>0534294498</t>
  </si>
  <si>
    <t xml:space="preserve">טיפולים </t>
  </si>
  <si>
    <t xml:space="preserve">ניצה </t>
  </si>
  <si>
    <t>0523227619</t>
  </si>
  <si>
    <t>נבו צנעני לוי</t>
  </si>
  <si>
    <t>16/08/2023</t>
  </si>
  <si>
    <t>קוממיות 2 ראש העין</t>
  </si>
  <si>
    <t>ראש העין</t>
  </si>
  <si>
    <t>054-9167676</t>
  </si>
  <si>
    <t>עברה שנה מההשתלת מח עצם והם בבדיקות</t>
  </si>
  <si>
    <t>לפני חצי שנה</t>
  </si>
  <si>
    <t>לימור</t>
  </si>
  <si>
    <t>היה רוצה לבוא לאירועים אבל לא לבד ואם זה תואם לגיל שלו, הופעות ישמח לבוא עם חבר</t>
  </si>
  <si>
    <t>שירה כהן</t>
  </si>
  <si>
    <t>27/10/2021</t>
  </si>
  <si>
    <t>שיר השירים 31</t>
  </si>
  <si>
    <t>ברכיה</t>
  </si>
  <si>
    <t>איכילוב ותל השומר</t>
  </si>
  <si>
    <t>בביקורות</t>
  </si>
  <si>
    <t>מדולבלסטומה</t>
  </si>
  <si>
    <t>איתן</t>
  </si>
  <si>
    <t>מלי</t>
  </si>
  <si>
    <t>טליה סיגרון</t>
  </si>
  <si>
    <t>השגב 48</t>
  </si>
  <si>
    <t>ברוכין</t>
  </si>
  <si>
    <t>סיימה אחזקה</t>
  </si>
  <si>
    <t>25.12.22</t>
  </si>
  <si>
    <t>שלום סיגרון</t>
  </si>
  <si>
    <t>מירב סיגרון</t>
  </si>
  <si>
    <t>עמית רפאל שריקי</t>
  </si>
  <si>
    <t>צוקית 44, באר שבע</t>
  </si>
  <si>
    <t>0506622208</t>
  </si>
  <si>
    <t>אחזקה )כדורים כימוטרפיים</t>
  </si>
  <si>
    <t>דורית</t>
  </si>
  <si>
    <t>0508364557</t>
  </si>
  <si>
    <t>רועי בישיץ שיין</t>
  </si>
  <si>
    <t xml:space="preserve">תמר </t>
  </si>
  <si>
    <t>חולון</t>
  </si>
  <si>
    <t>0533401703</t>
  </si>
  <si>
    <t>סיום טיפול כימותרפי, קבלת טיפול ביולוגי פעם בשבוע</t>
  </si>
  <si>
    <t>31.7.2025</t>
  </si>
  <si>
    <t>אוסטוסורקומה</t>
  </si>
  <si>
    <t>26.12.2024</t>
  </si>
  <si>
    <t>מיקי</t>
  </si>
  <si>
    <t>0549100198</t>
  </si>
  <si>
    <t>קרן</t>
  </si>
  <si>
    <t>0537700030</t>
  </si>
  <si>
    <t>אושר בן עמי</t>
  </si>
  <si>
    <t>15/11/2021</t>
  </si>
  <si>
    <t>קיבוץ גלויות 28 קומה 4 דירה 12</t>
  </si>
  <si>
    <t>סיימה טיפולים, לא חזרה למסגרת. במצב לא טוב חברתית</t>
  </si>
  <si>
    <t>לימפומה בי סייל</t>
  </si>
  <si>
    <t>פולי</t>
  </si>
  <si>
    <t xml:space="preserve">רועי בן אילוז </t>
  </si>
  <si>
    <t>חספין הדובדבן 504</t>
  </si>
  <si>
    <t>חיספין</t>
  </si>
  <si>
    <t>0556833044</t>
  </si>
  <si>
    <t>עברתי השתלת מח עצם לפני כמה שבועות, עכשיו במעקב ובדיקות</t>
  </si>
  <si>
    <t>אופיר</t>
  </si>
  <si>
    <t>0507411796</t>
  </si>
  <si>
    <t xml:space="preserve">נהוראי ניסנוב </t>
  </si>
  <si>
    <t>גורי ישראל 46</t>
  </si>
  <si>
    <t xml:space="preserve">תל אביב יפו </t>
  </si>
  <si>
    <t>‏053-2867259</t>
  </si>
  <si>
    <t>‏איכילוב</t>
  </si>
  <si>
    <t>‏טיפולים כימותרפיה והקרנות</t>
  </si>
  <si>
    <t>חצי שנה בערך אולי שנה תלוי</t>
  </si>
  <si>
    <t>גידול סרטני מסוג אסטרוציטומה דרגה 3</t>
  </si>
  <si>
    <t>4.5.25</t>
  </si>
  <si>
    <t xml:space="preserve">שמואל </t>
  </si>
  <si>
    <t>0503888909</t>
  </si>
  <si>
    <t xml:space="preserve">בתיה </t>
  </si>
  <si>
    <t>0526760205</t>
  </si>
  <si>
    <t>נווה הוד פרנקל</t>
  </si>
  <si>
    <t>14/08/2021</t>
  </si>
  <si>
    <t>האורן 14 ו</t>
  </si>
  <si>
    <t>עלי</t>
  </si>
  <si>
    <t>טיפולים ביולוגיים, מחכים לאישור להיכנס לניתוח בשנה הקרובה</t>
  </si>
  <si>
    <t>כן ישיבה תיכונית עלי</t>
  </si>
  <si>
    <t>אמבלסטומה בלסת מקבל טיפול ביולוגי</t>
  </si>
  <si>
    <t>אסף</t>
  </si>
  <si>
    <t>יעל הופמן</t>
  </si>
  <si>
    <t>30/12/2020</t>
  </si>
  <si>
    <t>סבוראי</t>
  </si>
  <si>
    <t>חוות יאיר</t>
  </si>
  <si>
    <t>במעקב</t>
  </si>
  <si>
    <t>.</t>
  </si>
  <si>
    <t>הודצקין</t>
  </si>
  <si>
    <t>שירית</t>
  </si>
  <si>
    <t>שהם ברהה</t>
  </si>
  <si>
    <t>17/01/2023</t>
  </si>
  <si>
    <t>הקשת 4א</t>
  </si>
  <si>
    <t>תל אביב</t>
  </si>
  <si>
    <t>050-2260322</t>
  </si>
  <si>
    <t>מחכה להשתלה</t>
  </si>
  <si>
    <t>24.06.22</t>
  </si>
  <si>
    <t>צהיד</t>
  </si>
  <si>
    <t>אלמז</t>
  </si>
  <si>
    <t>לבי ריבלין</t>
  </si>
  <si>
    <t>אהרונוביץ 7</t>
  </si>
  <si>
    <t>0532251121</t>
  </si>
  <si>
    <t>מחלה פעילה- הישנות</t>
  </si>
  <si>
    <t>לא ידוע</t>
  </si>
  <si>
    <t>אוסטאוסרקומה גרורתית</t>
  </si>
  <si>
    <t>מרץ 2022</t>
  </si>
  <si>
    <t>יואב</t>
  </si>
  <si>
    <t>0508639094</t>
  </si>
  <si>
    <t>0505946348</t>
  </si>
  <si>
    <t>איתי זיגדון</t>
  </si>
  <si>
    <t>רחוב מימון 35 דירה 3 נתניה</t>
  </si>
  <si>
    <t>נתניה</t>
  </si>
  <si>
    <t>האמא גם אחרי מחלת הסרטן, והבן במעקבים ומקבל טיפול ביולגי ,צריכים עזרה כלכלית.</t>
  </si>
  <si>
    <t>גידול בחניכים</t>
  </si>
  <si>
    <t>טליה</t>
  </si>
  <si>
    <t>בנתיים לא</t>
  </si>
  <si>
    <t>ליאם בניסטי</t>
  </si>
  <si>
    <t>האדמור מבעלזא 29/15 אשדוד</t>
  </si>
  <si>
    <t>אשדוד</t>
  </si>
  <si>
    <t>0526096045</t>
  </si>
  <si>
    <t>לימפובלסטיק לימפומה בכליות</t>
  </si>
  <si>
    <t>חנה בניסטי</t>
  </si>
  <si>
    <t>0522306575</t>
  </si>
  <si>
    <t xml:space="preserve">רון רפאל דבוש </t>
  </si>
  <si>
    <t xml:space="preserve">פקיעין 14 על 7 אשקלון </t>
  </si>
  <si>
    <t>0539529922</t>
  </si>
  <si>
    <t xml:space="preserve">סיום טיפולים </t>
  </si>
  <si>
    <t xml:space="preserve">אמא </t>
  </si>
  <si>
    <t>0522707809</t>
  </si>
  <si>
    <t>שביט יפרח</t>
  </si>
  <si>
    <t>רימון17</t>
  </si>
  <si>
    <t>תל השומר</t>
  </si>
  <si>
    <t>כידורים כימותרפיים אחזקה</t>
  </si>
  <si>
    <t>אוקטובר עם הטיפולים האקטיבים</t>
  </si>
  <si>
    <t xml:space="preserve">לוקמיה ALL </t>
  </si>
  <si>
    <t>ליבי</t>
  </si>
  <si>
    <t>ביקשה לחזור מאוחר יותר</t>
  </si>
  <si>
    <t>אדוה משעלי</t>
  </si>
  <si>
    <t>פדואל, אור עולם 57</t>
  </si>
  <si>
    <t>פדואל</t>
  </si>
  <si>
    <t>4/8/0024</t>
  </si>
  <si>
    <t>סינוביה סרקומה</t>
  </si>
  <si>
    <t>שוני משעלי</t>
  </si>
  <si>
    <t>0542387920</t>
  </si>
  <si>
    <t>אין</t>
  </si>
  <si>
    <t>נעם אבישג לגטווי</t>
  </si>
  <si>
    <t>הגפן 62 מושב אחיסמך</t>
  </si>
  <si>
    <t>חושב אחיסמך</t>
  </si>
  <si>
    <t>0506555806</t>
  </si>
  <si>
    <t xml:space="preserve">סיימה טיפולים </t>
  </si>
  <si>
    <t>הודג'ין לימפומה</t>
  </si>
  <si>
    <t>חופית</t>
  </si>
  <si>
    <t>0522177571</t>
  </si>
  <si>
    <t>לירי גורפינקל</t>
  </si>
  <si>
    <t>מ"ג 7</t>
  </si>
  <si>
    <t>לוקמיה cml</t>
  </si>
  <si>
    <t>ליאור</t>
  </si>
  <si>
    <t>אורטל</t>
  </si>
  <si>
    <t xml:space="preserve">רועי כהן </t>
  </si>
  <si>
    <t>שבטה 3 מיתר</t>
  </si>
  <si>
    <t>מיתר</t>
  </si>
  <si>
    <t>045727985</t>
  </si>
  <si>
    <t>מטופל. gbm</t>
  </si>
  <si>
    <t>gbm</t>
  </si>
  <si>
    <t>שירה</t>
  </si>
  <si>
    <t>0504743201</t>
  </si>
  <si>
    <t xml:space="preserve">האם יש מקום לנסיעה לדובאי </t>
  </si>
  <si>
    <t>אליאור-נח שפר</t>
  </si>
  <si>
    <t>17/08/2022</t>
  </si>
  <si>
    <t>לביא</t>
  </si>
  <si>
    <t>רמבם</t>
  </si>
  <si>
    <t>חזר ללימודים, בבדיקות מעקב, סיים טיפולים.</t>
  </si>
  <si>
    <t>הוצ'קין לירפורמה(מקווה שכתבתי נכון😄)</t>
  </si>
  <si>
    <t>ארז</t>
  </si>
  <si>
    <t>צוריה-חביבה</t>
  </si>
  <si>
    <t>תמר בטאשוילי</t>
  </si>
  <si>
    <t>ברק 20</t>
  </si>
  <si>
    <t>לוד</t>
  </si>
  <si>
    <t>0587544629</t>
  </si>
  <si>
    <t>לוקמיה aml</t>
  </si>
  <si>
    <t>בעוד 4 חודשים</t>
  </si>
  <si>
    <t>31.12.2024</t>
  </si>
  <si>
    <t>0548487311</t>
  </si>
  <si>
    <t>ציפורה</t>
  </si>
  <si>
    <t>0584812698</t>
  </si>
  <si>
    <t>ידוע לנו הכל</t>
  </si>
  <si>
    <t>אשכנזי ארבל</t>
  </si>
  <si>
    <t>31/07/2022</t>
  </si>
  <si>
    <t>זךמן שזר 28 ראשון לציון</t>
  </si>
  <si>
    <t>ראשון לציון</t>
  </si>
  <si>
    <t>בטיפולים, נמצאת במסגרת. רוצים להשאר מעודכנים</t>
  </si>
  <si>
    <t>קבוקי</t>
  </si>
  <si>
    <t>מוטי</t>
  </si>
  <si>
    <t>שרית</t>
  </si>
  <si>
    <t>אגם שמחה ליב</t>
  </si>
  <si>
    <t>11.9.2024</t>
  </si>
  <si>
    <t>יונה הנביא 5 מודיעין</t>
  </si>
  <si>
    <t xml:space="preserve">סיימה טיפולים במעקבים צמודים פר שבוע  </t>
  </si>
  <si>
    <t>מאי 2024</t>
  </si>
  <si>
    <t>17/5/2024</t>
  </si>
  <si>
    <t xml:space="preserve">עדיין לא </t>
  </si>
  <si>
    <t>אוסטוסרקומה פיזור בריאות ובלוטת הלימפה</t>
  </si>
  <si>
    <t>28/08/2022</t>
  </si>
  <si>
    <t>ניסים</t>
  </si>
  <si>
    <t xml:space="preserve">שלומית </t>
  </si>
  <si>
    <t xml:space="preserve">נמצאת בטיפול פסיכולוגי מעוניינים בחונכות אגם הייתה רקדנית מגיל 4 אוהבת איפור </t>
  </si>
  <si>
    <t>אריאל גונן</t>
  </si>
  <si>
    <t>סיימו טיפולים</t>
  </si>
  <si>
    <t>לפני שנה</t>
  </si>
  <si>
    <t>אוסטוגן סארקומה</t>
  </si>
  <si>
    <t>דורון</t>
  </si>
  <si>
    <t>אודיה</t>
  </si>
  <si>
    <t>עלמה מרקוביץ</t>
  </si>
  <si>
    <t>29/04/2021</t>
  </si>
  <si>
    <t>אינשטיין 8</t>
  </si>
  <si>
    <t>רעננה</t>
  </si>
  <si>
    <t>באחזקה- חזרה למסגרת</t>
  </si>
  <si>
    <t>לוקמיה all-b</t>
  </si>
  <si>
    <t>אלי</t>
  </si>
  <si>
    <t>21/10/2025</t>
  </si>
  <si>
    <t xml:space="preserve">ליאן עזרא </t>
  </si>
  <si>
    <t xml:space="preserve">מגדלור </t>
  </si>
  <si>
    <t xml:space="preserve">ראשון לציון </t>
  </si>
  <si>
    <t>0586555978</t>
  </si>
  <si>
    <t xml:space="preserve">שניידר </t>
  </si>
  <si>
    <t>מחלימה</t>
  </si>
  <si>
    <t xml:space="preserve">לפני שלושה חודשים </t>
  </si>
  <si>
    <t>09/02/2025</t>
  </si>
  <si>
    <t>נועם</t>
  </si>
  <si>
    <t>0526555977</t>
  </si>
  <si>
    <t xml:space="preserve">לילך </t>
  </si>
  <si>
    <t>0526555987</t>
  </si>
  <si>
    <t>יש לנו רגישות למוצרים מחלב פרה</t>
  </si>
  <si>
    <t>רומי שירה אברג'ל</t>
  </si>
  <si>
    <t>17/11/2021</t>
  </si>
  <si>
    <t>שריג 268</t>
  </si>
  <si>
    <t>מושב שדה משה</t>
  </si>
  <si>
    <t>סיימה טיפולים, חזרה חלקית למסגרת. רוצים להשאר מעודכנים</t>
  </si>
  <si>
    <t>לוקמיה B ALL</t>
  </si>
  <si>
    <t>רויטל</t>
  </si>
  <si>
    <t>עילאי משה גולן</t>
  </si>
  <si>
    <t>בלפור 10/14 אשקלון</t>
  </si>
  <si>
    <t>אלירן</t>
  </si>
  <si>
    <t>אתי</t>
  </si>
  <si>
    <t>נהוראי זאנו</t>
  </si>
  <si>
    <t>לקראת ניתוח</t>
  </si>
  <si>
    <t>בגרויות</t>
  </si>
  <si>
    <t>סרקומה</t>
  </si>
  <si>
    <t>יולי 2025</t>
  </si>
  <si>
    <t>חנה</t>
  </si>
  <si>
    <t>0502959585</t>
  </si>
  <si>
    <t>חד הורי</t>
  </si>
  <si>
    <t>גדולים, לא רלוונטי</t>
  </si>
  <si>
    <t>תווי מזון יעזור מאוד</t>
  </si>
  <si>
    <t>יוחאי חדאד</t>
  </si>
  <si>
    <t>14/06/2021</t>
  </si>
  <si>
    <t>יהושפט 15 א דירה 3</t>
  </si>
  <si>
    <t>במעקב, חזר למסגרת, להשאר מעודכנים.</t>
  </si>
  <si>
    <t>Meduloblastoma</t>
  </si>
  <si>
    <t>יורם חדאד</t>
  </si>
  <si>
    <t>סנדרה חדאד</t>
  </si>
  <si>
    <t>אלונה כהנא</t>
  </si>
  <si>
    <t>סירקין 39/22</t>
  </si>
  <si>
    <t>הרצליה</t>
  </si>
  <si>
    <t>סיימה טיפולים,חזרה למסגרת.</t>
  </si>
  <si>
    <t>לוקמיה חריפה B all</t>
  </si>
  <si>
    <t>הילה</t>
  </si>
  <si>
    <t>רומי אזל</t>
  </si>
  <si>
    <t>18/10/2021</t>
  </si>
  <si>
    <t>חיל התותחנים 24/45</t>
  </si>
  <si>
    <t>Yolk sac tumer</t>
  </si>
  <si>
    <t>ויקו</t>
  </si>
  <si>
    <t>ריקי</t>
  </si>
  <si>
    <t>מאור עזרא</t>
  </si>
  <si>
    <t>התמר</t>
  </si>
  <si>
    <t>טפחות</t>
  </si>
  <si>
    <t>0528113155</t>
  </si>
  <si>
    <t>העמק</t>
  </si>
  <si>
    <t xml:space="preserve">שיקום </t>
  </si>
  <si>
    <t>02/2024</t>
  </si>
  <si>
    <t xml:space="preserve">כן </t>
  </si>
  <si>
    <t>Ewing like sarcoma bone</t>
  </si>
  <si>
    <t>01.06.2023</t>
  </si>
  <si>
    <t>0529215447</t>
  </si>
  <si>
    <t>עדי</t>
  </si>
  <si>
    <t>0523838855</t>
  </si>
  <si>
    <t>לדעת לגבי פעילויות טיולים וקבוצות הורים</t>
  </si>
  <si>
    <t>נתנאל היגרי</t>
  </si>
  <si>
    <t>22/02/2022</t>
  </si>
  <si>
    <t>רב ושמואל 3 /23</t>
  </si>
  <si>
    <t>מודיעין עילית</t>
  </si>
  <si>
    <t>למפומה</t>
  </si>
  <si>
    <t>אודליה</t>
  </si>
  <si>
    <t>ליאם נוי</t>
  </si>
  <si>
    <t>אחוזה 161</t>
  </si>
  <si>
    <t>סיים טיפולים, חזר חלקית למסגרות. רוצים להשאר מעודכנים</t>
  </si>
  <si>
    <t>זאביק</t>
  </si>
  <si>
    <t>יארציוק אליס</t>
  </si>
  <si>
    <t>26/06/2022</t>
  </si>
  <si>
    <t>רוטשילד 42ב דירה 16</t>
  </si>
  <si>
    <t>פתח תקווה</t>
  </si>
  <si>
    <t>באחזקה</t>
  </si>
  <si>
    <t>יארצוק אולג</t>
  </si>
  <si>
    <t>יארצוק סבטלנה</t>
  </si>
  <si>
    <t>ליה סויבלזון</t>
  </si>
  <si>
    <t>27/12/2022</t>
  </si>
  <si>
    <t>התאנה 11</t>
  </si>
  <si>
    <t>גן הדרום</t>
  </si>
  <si>
    <t>בטיפול פעיל, ישמחו להשתתף בפעילויות.</t>
  </si>
  <si>
    <t>ALL לוקמיה</t>
  </si>
  <si>
    <t>אבי</t>
  </si>
  <si>
    <t>פולינה</t>
  </si>
  <si>
    <t>אוריה חדד</t>
  </si>
  <si>
    <t>12.6.25</t>
  </si>
  <si>
    <t>אבן גבירול 29</t>
  </si>
  <si>
    <t>ינואר 2025</t>
  </si>
  <si>
    <t>גידול בשחלה</t>
  </si>
  <si>
    <t>יוסף</t>
  </si>
  <si>
    <t>יואב נידם</t>
  </si>
  <si>
    <t>יהלום 69/5, מודיעין</t>
  </si>
  <si>
    <t>חזר למסגרת</t>
  </si>
  <si>
    <t>יורם</t>
  </si>
  <si>
    <t>מרינה</t>
  </si>
  <si>
    <t>יואב מאוד רוצה שעון apple watch וסופשבוע כלשהו בבית מלון בהמשך כשהוא יוכל מבחינת המדדים. תודה רבה לך סיוון.</t>
  </si>
  <si>
    <t>אליאב שלמה</t>
  </si>
  <si>
    <t>9.2.2024</t>
  </si>
  <si>
    <t>אפשטיין 5</t>
  </si>
  <si>
    <t>חדרה</t>
  </si>
  <si>
    <t>סיים טיפולים בהחלמה חזר לשגרה</t>
  </si>
  <si>
    <t>סוף פברואר</t>
  </si>
  <si>
    <t>מרץ 24</t>
  </si>
  <si>
    <t>לימפומה הוצקין</t>
  </si>
  <si>
    <t>תודה רבה לכם על כל פועלכם רצינו לשאול אם ישנה אפשרות לצאת לחופשת התרעננות מתקופת הטיפולים כולל ארוחת ערב אפילו בסבסוד</t>
  </si>
  <si>
    <t>רותם בן שעיה</t>
  </si>
  <si>
    <t>הברוש 45</t>
  </si>
  <si>
    <t>נופים</t>
  </si>
  <si>
    <t>שלו דוידוב</t>
  </si>
  <si>
    <t>נתניה, Израиль</t>
  </si>
  <si>
    <t>אלכסנדר דוידוב</t>
  </si>
  <si>
    <t>רדה דוידוב</t>
  </si>
  <si>
    <t>הדס איסן</t>
  </si>
  <si>
    <t>הדר 17 חולון</t>
  </si>
  <si>
    <t>כימו והקרנות</t>
  </si>
  <si>
    <t>אינטימל סרקומה</t>
  </si>
  <si>
    <t>מיכל איסן</t>
  </si>
  <si>
    <t>0506776321</t>
  </si>
  <si>
    <t>ליאת יוספי</t>
  </si>
  <si>
    <t>חצור הגלילית רחוב ירושלים 20</t>
  </si>
  <si>
    <t>חצור הגלילית</t>
  </si>
  <si>
    <t>0587570670</t>
  </si>
  <si>
    <t>הודגקין</t>
  </si>
  <si>
    <t>ניסן יוספי</t>
  </si>
  <si>
    <t>0527115686</t>
  </si>
  <si>
    <t>אין על נבו</t>
  </si>
  <si>
    <t>נועה לוי</t>
  </si>
  <si>
    <t>יצחק טוניק 17 פסגת זאב ירושלים</t>
  </si>
  <si>
    <t>0505775733</t>
  </si>
  <si>
    <t>כרגע נכון לינואר 25 מתחילה כימותרפיה</t>
  </si>
  <si>
    <t>לימפומה הודג'קין</t>
  </si>
  <si>
    <t>ורד</t>
  </si>
  <si>
    <t>0546012223</t>
  </si>
  <si>
    <t>הילה כהן</t>
  </si>
  <si>
    <t>אמיר דרורי 2,דירה 8</t>
  </si>
  <si>
    <t>סיימה טיפולים לפני שנתיים, סובלת מהשמנת יתר יש לה הרבה סיבוכים ובעיות</t>
  </si>
  <si>
    <t>לנגרהנס גידול בלסת אפילפסיה תפקידי כבד בעיות אורולוגיות</t>
  </si>
  <si>
    <t xml:space="preserve">נועה  אנקאווא </t>
  </si>
  <si>
    <t xml:space="preserve">שאולזון 56 </t>
  </si>
  <si>
    <t xml:space="preserve">ירושלים </t>
  </si>
  <si>
    <t>0583123333</t>
  </si>
  <si>
    <t xml:space="preserve">הדסה עין כרם בירושלים </t>
  </si>
  <si>
    <t xml:space="preserve">מטופלת בהדסה </t>
  </si>
  <si>
    <t xml:space="preserve">באמצע חודש ינואר </t>
  </si>
  <si>
    <t xml:space="preserve">לימפומה הוצקין </t>
  </si>
  <si>
    <t xml:space="preserve">ה13 ביולי </t>
  </si>
  <si>
    <t>אפי</t>
  </si>
  <si>
    <t>0586000120</t>
  </si>
  <si>
    <t>ליאת</t>
  </si>
  <si>
    <t>0584999989</t>
  </si>
  <si>
    <t xml:space="preserve">8 בסהכ </t>
  </si>
  <si>
    <t>הילי חזי</t>
  </si>
  <si>
    <t>25/02/2022</t>
  </si>
  <si>
    <t>אהוד מנור 17 דירה 16</t>
  </si>
  <si>
    <t>סיימה טיפולים לפני שנה, וחזרה למסגרת. רוצים להשאר מעודכנים</t>
  </si>
  <si>
    <t>לוקמיה מסוג aml</t>
  </si>
  <si>
    <t>שגיב</t>
  </si>
  <si>
    <t>אודיה דוברייצר</t>
  </si>
  <si>
    <t>שבות רחל/שילה</t>
  </si>
  <si>
    <t>שילה</t>
  </si>
  <si>
    <t>0587709521</t>
  </si>
  <si>
    <t>סרטן ריאה עם גרורות לראש</t>
  </si>
  <si>
    <t>תמר</t>
  </si>
  <si>
    <t>0544211705</t>
  </si>
  <si>
    <t>אמא שךי לוקית שמיעה,מתקשרת רק בהודאות</t>
  </si>
  <si>
    <t>שילה עברי</t>
  </si>
  <si>
    <t>13/02/2022</t>
  </si>
  <si>
    <t>הר כביר</t>
  </si>
  <si>
    <t>שדמות מחולה</t>
  </si>
  <si>
    <t>במעקבים</t>
  </si>
  <si>
    <t>30.6.24</t>
  </si>
  <si>
    <t>רעות</t>
  </si>
  <si>
    <t xml:space="preserve">ישמח להשתתף בפעילויות </t>
  </si>
  <si>
    <t>דניס לדיז'נסקי</t>
  </si>
  <si>
    <t>דוכיפת 7 דירה 57</t>
  </si>
  <si>
    <t>נשר</t>
  </si>
  <si>
    <t>סיים טיפולים, חזר למסגרת, להשאר מעודכנים</t>
  </si>
  <si>
    <t>בית ספר</t>
  </si>
  <si>
    <t>יוינג סרקומה</t>
  </si>
  <si>
    <t>יאן</t>
  </si>
  <si>
    <t>ילנה</t>
  </si>
  <si>
    <t>גאל שוקר</t>
  </si>
  <si>
    <t>13/10/2021</t>
  </si>
  <si>
    <t>הדס 6ב דירה 2</t>
  </si>
  <si>
    <t>בני עייש</t>
  </si>
  <si>
    <t>במעקבים. שואלים האם אפשר חונכות שתלווה אותה. היא נמצאת במצב קשה נפשית ונמצאת לבד.</t>
  </si>
  <si>
    <t>סרטן</t>
  </si>
  <si>
    <t>רינת</t>
  </si>
  <si>
    <t>18/11/2025</t>
  </si>
  <si>
    <t>נויה אהרון</t>
  </si>
  <si>
    <t>שלום עליכם 13</t>
  </si>
  <si>
    <t>0525359257</t>
  </si>
  <si>
    <t xml:space="preserve">סיימה טיפולים כימו בחודש יוני וכרגע חזר שוב ועומדת לפני טיפולים </t>
  </si>
  <si>
    <t>עדין אין צפי</t>
  </si>
  <si>
    <t>כן ביהס</t>
  </si>
  <si>
    <t>לנגראנס</t>
  </si>
  <si>
    <t>7/23</t>
  </si>
  <si>
    <t xml:space="preserve">ליאור </t>
  </si>
  <si>
    <t>0526215996</t>
  </si>
  <si>
    <t>גלית</t>
  </si>
  <si>
    <t>0523698044</t>
  </si>
  <si>
    <t xml:space="preserve">סיימו טיפולים אבל חזר שוב, חוזרים לטיפולים </t>
  </si>
  <si>
    <t>לירן מנחמוב</t>
  </si>
  <si>
    <t>הצנחנים 25 דירה 12</t>
  </si>
  <si>
    <t>ששי</t>
  </si>
  <si>
    <t>נועה עובדיה</t>
  </si>
  <si>
    <t>אבני חפץ</t>
  </si>
  <si>
    <t>חצי שנה</t>
  </si>
  <si>
    <t>מודולבלסטומה</t>
  </si>
  <si>
    <t>דצמבר 24</t>
  </si>
  <si>
    <t>עידו</t>
  </si>
  <si>
    <t>חנוך מרצנט</t>
  </si>
  <si>
    <t>0556702100</t>
  </si>
  <si>
    <t>כרגע עם HVHD בריאות ובוושת (לא יכול לאכול ולשתות דרך הפה,ניזון דרך פג) ולא יכול לעשות שום דבר פיזי בגלל הריאות  כרגע מטופל בביולוגי</t>
  </si>
  <si>
    <t>חיים</t>
  </si>
  <si>
    <t>0527643135</t>
  </si>
  <si>
    <t xml:space="preserve">יונתן עזרא </t>
  </si>
  <si>
    <t>בלפור 48</t>
  </si>
  <si>
    <t>0555660014</t>
  </si>
  <si>
    <t>בביקורות, כנראה חוזר לבית הספר בתחילת שנת הלימודים</t>
  </si>
  <si>
    <t>סיים</t>
  </si>
  <si>
    <t>אפריל 25</t>
  </si>
  <si>
    <t xml:space="preserve">לא </t>
  </si>
  <si>
    <t>אנמיה אפלסטית</t>
  </si>
  <si>
    <t>1.12.2024</t>
  </si>
  <si>
    <t>אליה</t>
  </si>
  <si>
    <t>+972 52-9924205</t>
  </si>
  <si>
    <t>חונכות</t>
  </si>
  <si>
    <t>ביקשה לחזור עוד שעה</t>
  </si>
  <si>
    <t xml:space="preserve">תבל ארגנטל </t>
  </si>
  <si>
    <t xml:space="preserve">יקנעם עילית עמק השלום </t>
  </si>
  <si>
    <t xml:space="preserve">אסטרו ציטומה </t>
  </si>
  <si>
    <t>אורלי</t>
  </si>
  <si>
    <t>0508381528</t>
  </si>
  <si>
    <t>לבוא למחנות ומפגשים זה מאוד עוזר❤️</t>
  </si>
  <si>
    <t>אריאל כהן</t>
  </si>
  <si>
    <t>25.11.2024</t>
  </si>
  <si>
    <t>חודש וחצי</t>
  </si>
  <si>
    <t>לימפומה הודגקין</t>
  </si>
  <si>
    <t>יולי</t>
  </si>
  <si>
    <t>יעקב</t>
  </si>
  <si>
    <t>אדווה</t>
  </si>
  <si>
    <t>חונכות אחות בת 10 ואחות בת 12</t>
  </si>
  <si>
    <t>אריאל כהן בן 12 מחולון. מטופל בשניידר. אוהב משחקי מחשב ואנימה. אוהד את בארסה ואוהב את מסי.</t>
  </si>
  <si>
    <t>האמא לא ענתה</t>
  </si>
  <si>
    <t>עילאיי שלמה אברהם</t>
  </si>
  <si>
    <t>בלפור 29/3</t>
  </si>
  <si>
    <t>0526377027</t>
  </si>
  <si>
    <t>7 חודשים</t>
  </si>
  <si>
    <t>3/2/2025</t>
  </si>
  <si>
    <t>אלון</t>
  </si>
  <si>
    <t>0526040964</t>
  </si>
  <si>
    <t>0548016091</t>
  </si>
  <si>
    <t>ממתינה</t>
  </si>
  <si>
    <t>אלי ברסקי</t>
  </si>
  <si>
    <t>28/08/2021</t>
  </si>
  <si>
    <t>קפלן אליעזר 51 דירה 22</t>
  </si>
  <si>
    <t>אחזקה, חזר למסגרת. סיים טיפולים בנובמבר 22.</t>
  </si>
  <si>
    <t>אופטיק גליומה - גידול על גזע המוח בהצטלבות עיצבי הראיה</t>
  </si>
  <si>
    <t>שלומי</t>
  </si>
  <si>
    <t>13/11/2025</t>
  </si>
  <si>
    <t xml:space="preserve">שליו דוד ביטון </t>
  </si>
  <si>
    <t xml:space="preserve">דרך הנחל 37 </t>
  </si>
  <si>
    <t xml:space="preserve">שדה יעקב </t>
  </si>
  <si>
    <t xml:space="preserve">רמבם </t>
  </si>
  <si>
    <t>בטיפולים כימותרפים</t>
  </si>
  <si>
    <t>מרץ 2026</t>
  </si>
  <si>
    <t xml:space="preserve">לימפומה דרגה 4 לא הודגקין תאי b </t>
  </si>
  <si>
    <t>2/11/2025</t>
  </si>
  <si>
    <t xml:space="preserve">יוסי </t>
  </si>
  <si>
    <t xml:space="preserve">מירי </t>
  </si>
  <si>
    <t>למצוא חונך</t>
  </si>
  <si>
    <t>ילד ממש חמוד שמחפש חברה , מישהו שיצא איתו קצת לבלות ויהיה חבר</t>
  </si>
  <si>
    <t>אילן ראף</t>
  </si>
  <si>
    <t>שרה אימנו 1</t>
  </si>
  <si>
    <t>0544854085</t>
  </si>
  <si>
    <t xml:space="preserve">חולה לוקמיה </t>
  </si>
  <si>
    <t xml:space="preserve">כיתה יב בית ספר שעלבים (לא לומד כרגע) </t>
  </si>
  <si>
    <t>19/92025</t>
  </si>
  <si>
    <t>יוני</t>
  </si>
  <si>
    <t>0544521832</t>
  </si>
  <si>
    <t>עדינה</t>
  </si>
  <si>
    <t>0544437979</t>
  </si>
  <si>
    <t>תודה רבה 🙏🏻🙏🏻🙏🏻</t>
  </si>
  <si>
    <t>גאיה אבדר</t>
  </si>
  <si>
    <t>6.1.2025</t>
  </si>
  <si>
    <t>שדרות שמשון5</t>
  </si>
  <si>
    <t>סיימה טיפולים מעקבים אחת לחודש</t>
  </si>
  <si>
    <t>דצמבר</t>
  </si>
  <si>
    <t>גוש בשחלה</t>
  </si>
  <si>
    <t>20/08/2024</t>
  </si>
  <si>
    <t>אבישי אבדר</t>
  </si>
  <si>
    <t>חונכות, רק היום חזרה לבית ספר</t>
  </si>
  <si>
    <t>הילה ניסים</t>
  </si>
  <si>
    <t>31/05/2020</t>
  </si>
  <si>
    <t>בית 134</t>
  </si>
  <si>
    <t>מושב רנן</t>
  </si>
  <si>
    <t>לקראת סיום הטיפולים, חזרה למסגרת.</t>
  </si>
  <si>
    <t>חזרה של לוקמיה ALL</t>
  </si>
  <si>
    <t>מירב</t>
  </si>
  <si>
    <t xml:space="preserve">רפאל בג </t>
  </si>
  <si>
    <t>פרץ גולדשטיין 9</t>
  </si>
  <si>
    <t>0506983353</t>
  </si>
  <si>
    <t>בין אישפוזים</t>
  </si>
  <si>
    <t xml:space="preserve">שנה ועשרה חודשים בע״ה </t>
  </si>
  <si>
    <t xml:space="preserve">לוקמיה </t>
  </si>
  <si>
    <t>28/04/2025</t>
  </si>
  <si>
    <t>0542311242</t>
  </si>
  <si>
    <t>מרים</t>
  </si>
  <si>
    <t>הכל</t>
  </si>
  <si>
    <t xml:space="preserve">הילד בסדר, נמצא בין אישפוזים לא חזר עדיין לשגרה </t>
  </si>
  <si>
    <t>לירן נעים</t>
  </si>
  <si>
    <t>14/03/2022</t>
  </si>
  <si>
    <t>ההדסים 47</t>
  </si>
  <si>
    <t>קדימה צורן</t>
  </si>
  <si>
    <t>שלוש שנים אחרי השתלת מח עצם, בביקורות</t>
  </si>
  <si>
    <t>יובל אברהמי</t>
  </si>
  <si>
    <t>27/08/2023</t>
  </si>
  <si>
    <t>כנרת 53</t>
  </si>
  <si>
    <t>054-5351040</t>
  </si>
  <si>
    <t>סיימה טיפולים, חזרה למסגרת</t>
  </si>
  <si>
    <t>ווילמס</t>
  </si>
  <si>
    <t>16.10.22</t>
  </si>
  <si>
    <t>עוז</t>
  </si>
  <si>
    <t>אביטל</t>
  </si>
  <si>
    <t>אליאור שמי</t>
  </si>
  <si>
    <t>המרי העברי 6/21</t>
  </si>
  <si>
    <t>קרית גת</t>
  </si>
  <si>
    <t>טיפולים. בבית אין מסגרת. יום ראשון (16/07/2023) למשך 3 שבועות - מבקשת האם אפשר לקחת אותו קצת לפעילויות.</t>
  </si>
  <si>
    <t>אייל</t>
  </si>
  <si>
    <t>מאיה</t>
  </si>
  <si>
    <t>אבישי מרירס</t>
  </si>
  <si>
    <t>רשב"י 22/2 אלעד</t>
  </si>
  <si>
    <t>עדן</t>
  </si>
  <si>
    <t>רותם מורנשטיין</t>
  </si>
  <si>
    <t>02.03.2025</t>
  </si>
  <si>
    <t>קריית רבין 2</t>
  </si>
  <si>
    <t>סיימה טיפולים  מחכים לפט סיטי ,פעמיים בשבוע בבית חולים מעקבים בדיקות</t>
  </si>
  <si>
    <t>אוגוסט</t>
  </si>
  <si>
    <t>יוני 25</t>
  </si>
  <si>
    <t>בירקית</t>
  </si>
  <si>
    <t>אריאל</t>
  </si>
  <si>
    <t>לא מעוניין</t>
  </si>
  <si>
    <t>שירלי</t>
  </si>
  <si>
    <t>יערי איתן שטרן</t>
  </si>
  <si>
    <t>26/12/2022</t>
  </si>
  <si>
    <t>732-2</t>
  </si>
  <si>
    <t>כפר עציון</t>
  </si>
  <si>
    <t>חזר למסגרת אחרי טיפולים</t>
  </si>
  <si>
    <t>ביח שיקומי</t>
  </si>
  <si>
    <t>גידול בראש, צרבלום מוטיזים סינדרום</t>
  </si>
  <si>
    <t>נועם אבירם</t>
  </si>
  <si>
    <t>19.1.2025</t>
  </si>
  <si>
    <t>לילך 2 מודיעין</t>
  </si>
  <si>
    <t xml:space="preserve">בטיפולים, עבר השתלה </t>
  </si>
  <si>
    <t>אין לדעת. תלוי בהשתלה</t>
  </si>
  <si>
    <t>GST</t>
  </si>
  <si>
    <t>מיקה</t>
  </si>
  <si>
    <t>חונכות, עוד מעט עובר השתלה וישמח למתנדבים שיבואו לבקר אותו</t>
  </si>
  <si>
    <t>נווה יעקב</t>
  </si>
  <si>
    <t>19.8.2024</t>
  </si>
  <si>
    <t>נקש 15 דירה 37</t>
  </si>
  <si>
    <t>פתח  תקווה</t>
  </si>
  <si>
    <t>מחכים לPT סיטי</t>
  </si>
  <si>
    <t>שנה הבאה מהיום</t>
  </si>
  <si>
    <t>10.3.24</t>
  </si>
  <si>
    <t>אוחנה יוסי</t>
  </si>
  <si>
    <t>אילנית</t>
  </si>
  <si>
    <t>כרגע מחכים לPT סיטי, חזר למסגרות. ימי כיף וחונכות פחות רלוונטים אליו. מעדיף את המעגל המצומצם שלו</t>
  </si>
  <si>
    <t>יהונתן פטיטו</t>
  </si>
  <si>
    <t>סייפן 2</t>
  </si>
  <si>
    <t>פרדסיה</t>
  </si>
  <si>
    <t>באחזקה- חזר למסגרת</t>
  </si>
  <si>
    <t>ALL לוקימיה</t>
  </si>
  <si>
    <t>שירה אפרת רפאל</t>
  </si>
  <si>
    <t>29/07/2021</t>
  </si>
  <si>
    <t>העצמאות 87</t>
  </si>
  <si>
    <t>חזרה לטיפולים במאי האחרון</t>
  </si>
  <si>
    <t>אופטיק גליומה</t>
  </si>
  <si>
    <t>חזי</t>
  </si>
  <si>
    <t>ישי קמיר</t>
  </si>
  <si>
    <t>18/04/2021</t>
  </si>
  <si>
    <t>ראובן 14 ג דירה 25</t>
  </si>
  <si>
    <t>רבדומיוסרקומה</t>
  </si>
  <si>
    <t>אביעד</t>
  </si>
  <si>
    <t>אושרית</t>
  </si>
  <si>
    <t>שירה זריהן</t>
  </si>
  <si>
    <t>טופז 7</t>
  </si>
  <si>
    <t>050-2204383</t>
  </si>
  <si>
    <t xml:space="preserve">חולה </t>
  </si>
  <si>
    <t>נובמבר</t>
  </si>
  <si>
    <t xml:space="preserve">הוגק׳ין </t>
  </si>
  <si>
    <t>05/2025</t>
  </si>
  <si>
    <t>גולן</t>
  </si>
  <si>
    <t>0522544389</t>
  </si>
  <si>
    <t>0522656789</t>
  </si>
  <si>
    <t>20/7/2025</t>
  </si>
  <si>
    <t>אופיר פסי</t>
  </si>
  <si>
    <t>ביאליק 3</t>
  </si>
  <si>
    <t>מעקבים אחת לחצי שנה</t>
  </si>
  <si>
    <t>אוגוסט 24</t>
  </si>
  <si>
    <t>All</t>
  </si>
  <si>
    <t>20/09/2021</t>
  </si>
  <si>
    <t>טל</t>
  </si>
  <si>
    <t>רותם</t>
  </si>
  <si>
    <t>פרודים</t>
  </si>
  <si>
    <t>מורן לוי</t>
  </si>
  <si>
    <t>יעקב חזן 17 חיפה</t>
  </si>
  <si>
    <t>חיפה</t>
  </si>
  <si>
    <t>0504582010</t>
  </si>
  <si>
    <t>אחזקה (סיימתי טיפולים אינטנסיבים)</t>
  </si>
  <si>
    <t>028581338</t>
  </si>
  <si>
    <t>עינת</t>
  </si>
  <si>
    <t>0504582015</t>
  </si>
  <si>
    <t>אורי חיים אליהו</t>
  </si>
  <si>
    <t>17/05/2022</t>
  </si>
  <si>
    <t>עזריאל 17</t>
  </si>
  <si>
    <t>סיים טיפולים לפני 4 חודשים</t>
  </si>
  <si>
    <t>לימודים מהבית</t>
  </si>
  <si>
    <t>הוצ'קין לימפומה</t>
  </si>
  <si>
    <t>חן</t>
  </si>
  <si>
    <t>איליי אריק גורפל</t>
  </si>
  <si>
    <t>שושנה דמארי 2</t>
  </si>
  <si>
    <t>רמלה</t>
  </si>
  <si>
    <t>חגאי</t>
  </si>
  <si>
    <t>034905257</t>
  </si>
  <si>
    <t>איילה</t>
  </si>
  <si>
    <t>דוב פרומר 4</t>
  </si>
  <si>
    <t>קרית שמואל</t>
  </si>
  <si>
    <t>בביקורות, חזרה למסגרת, ישמחו להשאר מעודכנים.</t>
  </si>
  <si>
    <t>עומרי מתתיהו</t>
  </si>
  <si>
    <t>כלנית 7ב</t>
  </si>
  <si>
    <t>שערי תקווה</t>
  </si>
  <si>
    <t>סיים טיפולים, שנתיים אחרי השתלה. חזר למסגרת.</t>
  </si>
  <si>
    <t>לירן מתתיהו</t>
  </si>
  <si>
    <t>יעל מתתיהו</t>
  </si>
  <si>
    <t>ליה</t>
  </si>
  <si>
    <t>מיה ניסים</t>
  </si>
  <si>
    <t>יהושע בן גמלא 24</t>
  </si>
  <si>
    <t>הוד השרון</t>
  </si>
  <si>
    <t>אפריל 26</t>
  </si>
  <si>
    <t>אפריל 24</t>
  </si>
  <si>
    <t>כפיר</t>
  </si>
  <si>
    <t>0507337883</t>
  </si>
  <si>
    <t>0524046126</t>
  </si>
  <si>
    <t>יש חונך</t>
  </si>
  <si>
    <t>עדי רוקח</t>
  </si>
  <si>
    <t>דקל פקלוצווג</t>
  </si>
  <si>
    <t>31.7.2024</t>
  </si>
  <si>
    <t>העינב 10 א</t>
  </si>
  <si>
    <t>בנימינה</t>
  </si>
  <si>
    <t>פברואר 2024</t>
  </si>
  <si>
    <t xml:space="preserve">אדנואיזיס ארובת העין </t>
  </si>
  <si>
    <t>5.10.2023</t>
  </si>
  <si>
    <t>רומן</t>
  </si>
  <si>
    <t>שיר פורטל</t>
  </si>
  <si>
    <t>ימי כיף פעילויות כל דבר שרק אפשר בהערכה רבה</t>
  </si>
  <si>
    <t>קורן משה עמר</t>
  </si>
  <si>
    <t>אבני החושן 15 דירה 12</t>
  </si>
  <si>
    <t>בטיפולי אחזקה, חזר למסגרת, להשאר מעודכנים</t>
  </si>
  <si>
    <t>אביחי</t>
  </si>
  <si>
    <t>אבישג</t>
  </si>
  <si>
    <t>פרח אבו סעד</t>
  </si>
  <si>
    <t>19/06/2022</t>
  </si>
  <si>
    <t>שכונה 6 בית 15</t>
  </si>
  <si>
    <t>לקיה</t>
  </si>
  <si>
    <t>סיימה טיפולים, במעקבים</t>
  </si>
  <si>
    <t>ספטמבר 2023</t>
  </si>
  <si>
    <t>זיאד</t>
  </si>
  <si>
    <t>סאנה</t>
  </si>
  <si>
    <t>טליה רחל סבאח</t>
  </si>
  <si>
    <t>הפלמח 28</t>
  </si>
  <si>
    <t>סיימה טיפולים בגלל שהם פגעו לה בראיה, כרגע במעקבים. חזרה למסגרת.</t>
  </si>
  <si>
    <t>גידול בעצב הראייה</t>
  </si>
  <si>
    <t>הילה מעטוף</t>
  </si>
  <si>
    <t>חי"ש 6</t>
  </si>
  <si>
    <t>לוקמיה All</t>
  </si>
  <si>
    <t>קלי</t>
  </si>
  <si>
    <t>שירה סיונוב</t>
  </si>
  <si>
    <t>כוכבי יצחק 5 דירה 24</t>
  </si>
  <si>
    <t>סיימה טיפולי אחזקה, בביקרות של חודש, חזרה למסגרת באופן מלא.</t>
  </si>
  <si>
    <t>רפאל</t>
  </si>
  <si>
    <t>מילנה</t>
  </si>
  <si>
    <t>לישי יחזקאל</t>
  </si>
  <si>
    <t>דגניה 9ב</t>
  </si>
  <si>
    <t>אור יהודה</t>
  </si>
  <si>
    <t>0586846881</t>
  </si>
  <si>
    <t xml:space="preserve">שיבא </t>
  </si>
  <si>
    <t>חולה בלוקמיה</t>
  </si>
  <si>
    <t>בגלל סיבוכים אין פרוטוקול</t>
  </si>
  <si>
    <t>5/3/24</t>
  </si>
  <si>
    <t>0502006287</t>
  </si>
  <si>
    <t>0528586529</t>
  </si>
  <si>
    <t xml:space="preserve">הילדה מרגישה ממש לבד ויש לה רק חברה אחת הייתי רוצה שהיה לה מי שיוציא אותה מהמציאות שעליה נפלה </t>
  </si>
  <si>
    <t>מחכה לפרטים</t>
  </si>
  <si>
    <t>ילדה מהממת שמרגישה הרבה לבד, תשמח למישהי שתוכל לשבת איתה ולהתחבר אלייה</t>
  </si>
  <si>
    <t>אדם מניס</t>
  </si>
  <si>
    <t>9.8.2024</t>
  </si>
  <si>
    <t xml:space="preserve">אריאל </t>
  </si>
  <si>
    <t>..</t>
  </si>
  <si>
    <t xml:space="preserve">סיימו נשארו רק כמה כדורים לפרוטוקול </t>
  </si>
  <si>
    <t>לוקמיה ALL-b</t>
  </si>
  <si>
    <t>דצמבר 23</t>
  </si>
  <si>
    <t xml:space="preserve">אלכס </t>
  </si>
  <si>
    <t>הילה מניס</t>
  </si>
  <si>
    <t xml:space="preserve">חינוך ביתי , מבקשים את הטיסה </t>
  </si>
  <si>
    <t>אדם מניס, בן 4 וחצי מאריאל. סיימו בדיוק טיפולים בשניידר. גדל בחינוך ביתי, מעולם לא היה בגן. יש לו עוד שני אחים שגם לא במסגרות. מאוד מתעניין ברובוטים, בבניה של דברים. 
אוהב לרוץ לקפוץ ולצחוק. לוקח לו קצת זמן להתחבר למישהו חדש אבל ברגע שהוא נפתח הוא ממש זורם וכיף.</t>
  </si>
  <si>
    <t>עידן אנגל</t>
  </si>
  <si>
    <t>19/06/2023</t>
  </si>
  <si>
    <t>פרג 30</t>
  </si>
  <si>
    <t>דימונה</t>
  </si>
  <si>
    <t>ביקורות מעקבים</t>
  </si>
  <si>
    <t>29/06/2021</t>
  </si>
  <si>
    <t>ליאור אנגל</t>
  </si>
  <si>
    <t>דנה אנגל</t>
  </si>
  <si>
    <t>האם מציינת שהילד ממש בודד בגלל הבידוד שהוא נמצא בו ושהחונכות מאוד תעזור להם</t>
  </si>
  <si>
    <t>אברהם ישעיהו חזן (שייקי)</t>
  </si>
  <si>
    <t>אמרי חיים 41 / דירה 9</t>
  </si>
  <si>
    <t>בני ברק</t>
  </si>
  <si>
    <t>סיום אחזקה, חזר למסגרת.</t>
  </si>
  <si>
    <t>בצלאל חזן</t>
  </si>
  <si>
    <t>שירה חזן</t>
  </si>
  <si>
    <t>16/11/2025</t>
  </si>
  <si>
    <t>נועם גבאי</t>
  </si>
  <si>
    <t>טיפולים סוג של שבועיים</t>
  </si>
  <si>
    <t>יריב</t>
  </si>
  <si>
    <t>דבי</t>
  </si>
  <si>
    <t>נועם גבאי בן 11 מצורן. מטופל בשניידר. אוהב מאוד כדורסל, לשחק עם חברים, לשחק בפלייסטיישן, טאקי.. הכי חשוב שמישהו יארח לו חברה, תשומת לב, יצחק איתו וייתן לו זמן איכות</t>
  </si>
  <si>
    <t>הדר קינדרמן</t>
  </si>
  <si>
    <t xml:space="preserve">מרגיש טוב יש ימים טובים ויש פחות, מרוצים מאוד מהחונכות. מוסרים תודה על הכל </t>
  </si>
  <si>
    <t>אדם ערבה</t>
  </si>
  <si>
    <t>דליה 13/4</t>
  </si>
  <si>
    <t>גבעתיים</t>
  </si>
  <si>
    <t>בשלב האחזקה, חזר למסגרת.</t>
  </si>
  <si>
    <t>איתם</t>
  </si>
  <si>
    <t>אילי</t>
  </si>
  <si>
    <t>נעמה ראובן</t>
  </si>
  <si>
    <t>שביל התפוזים, קדימה צורן, ישראל</t>
  </si>
  <si>
    <t>לוקמיה T -ALL</t>
  </si>
  <si>
    <t>שמואל</t>
  </si>
  <si>
    <t>סיון</t>
  </si>
  <si>
    <t>16/6/2025</t>
  </si>
  <si>
    <t>עמנואל סימה מיתרני</t>
  </si>
  <si>
    <t>5.8.2024</t>
  </si>
  <si>
    <t>ספטמבר</t>
  </si>
  <si>
    <t>23.5.24</t>
  </si>
  <si>
    <t>ציון</t>
  </si>
  <si>
    <t>נופר</t>
  </si>
  <si>
    <t>3 ובהיריון</t>
  </si>
  <si>
    <t>19/10/2025</t>
  </si>
  <si>
    <t>איתי לויתן</t>
  </si>
  <si>
    <t>אורים</t>
  </si>
  <si>
    <t>שיקום יום יומיים בשבוע</t>
  </si>
  <si>
    <t>אין צפי מצב רפואי פליאטיבי</t>
  </si>
  <si>
    <t>אפנדימומה</t>
  </si>
  <si>
    <t>רז</t>
  </si>
  <si>
    <t>מייגל</t>
  </si>
  <si>
    <t>אוהבים אתכם מאד.
 יישמחו לביקורים (ליה בקשר עם המשפחה)</t>
  </si>
  <si>
    <t>איתי לוייתן בן 5 מאורים. עבר שני אירועים מוחיים בעקבות המחלה. לא מדבר בכלל אבל מבין הכל,סיעודי עם כיסא. ילד מתוק ומושלם שאי אפשר שלא להתאהב בו. אוהב לשחק בכדור מאוד. יש לו אחות קטנה בת שנתיים, אח בן 9/10, ואחות בת 11</t>
  </si>
  <si>
    <t>הילד לא מדבר בכלל אבל מבין הכל,סיעודי עם כיסא. ימי כיף לא רלוונטים לו אבל ביקורי בית וחונכות מאוד יתאימו במידה וזה אפשרי בגלל המיקום - לא ענתה 18/11</t>
  </si>
  <si>
    <t xml:space="preserve"> גל שוכמי </t>
  </si>
  <si>
    <t>שפירא משה 18</t>
  </si>
  <si>
    <t>מעקב אחת לחודש</t>
  </si>
  <si>
    <t>יולי 24</t>
  </si>
  <si>
    <t>6.11.24</t>
  </si>
  <si>
    <t>לימפומה ברקיט</t>
  </si>
  <si>
    <t>7.8.2013</t>
  </si>
  <si>
    <t>ברק</t>
  </si>
  <si>
    <t>אורי ישראל בורה</t>
  </si>
  <si>
    <t>31/10/2021</t>
  </si>
  <si>
    <t>זית 9 דירה 3</t>
  </si>
  <si>
    <t>חריש</t>
  </si>
  <si>
    <t>סיים טיפולים, חזר לגן. רוצים להשאר מעודכנים</t>
  </si>
  <si>
    <t>הפטובלסטומה</t>
  </si>
  <si>
    <t>דניאל</t>
  </si>
  <si>
    <t>אושר</t>
  </si>
  <si>
    <t>18/06/2025</t>
  </si>
  <si>
    <t>אלה פייס</t>
  </si>
  <si>
    <t>28.10.2024</t>
  </si>
  <si>
    <t>ביקורות אחת ל3 חודשים</t>
  </si>
  <si>
    <t>שנה</t>
  </si>
  <si>
    <t>ספטמבר 24</t>
  </si>
  <si>
    <t xml:space="preserve">לימפומה </t>
  </si>
  <si>
    <t>נובמבר 23</t>
  </si>
  <si>
    <t>אמיר</t>
  </si>
  <si>
    <t>לינור</t>
  </si>
  <si>
    <t>אח של אלה על הרצף לא רוצה חונכות</t>
  </si>
  <si>
    <t>אמרי בלונדר</t>
  </si>
  <si>
    <t>נס ציונה</t>
  </si>
  <si>
    <t>מסיים טיפול אקטיבי ועובר לאחזקה.</t>
  </si>
  <si>
    <t>לוקמיה ALL TSEL</t>
  </si>
  <si>
    <t>23/10/2022</t>
  </si>
  <si>
    <t>שגיא בלונדר</t>
  </si>
  <si>
    <t>חן בלונדר</t>
  </si>
  <si>
    <t>עומר כהן</t>
  </si>
  <si>
    <t>שמעון הצדיק, 6</t>
  </si>
  <si>
    <t>כללית</t>
  </si>
  <si>
    <t>חזר למסגרת, מעקב כל שלושה חודשים.</t>
  </si>
  <si>
    <t>ערן כהן</t>
  </si>
  <si>
    <t>עדי כהן</t>
  </si>
  <si>
    <t>מיכאל בליאקוב</t>
  </si>
  <si>
    <t>הפלמ"ח 33, פתח תקווה, ישראל</t>
  </si>
  <si>
    <t>באחזקה, חוזר למסגרת בספטמבר</t>
  </si>
  <si>
    <t>אילן</t>
  </si>
  <si>
    <t>טליה מעין</t>
  </si>
  <si>
    <t>אש קודש 1</t>
  </si>
  <si>
    <t>שבות רחל</t>
  </si>
  <si>
    <t>בטיפולים אקטיביים, לא נמצאת במסגרת.</t>
  </si>
  <si>
    <t>ישי</t>
  </si>
  <si>
    <t>יונה</t>
  </si>
  <si>
    <t>נויה קסוקר</t>
  </si>
  <si>
    <t>סיימה טיפולים בספטמבר 21, חזרה לגן. רוצים להשאר מעודכנים</t>
  </si>
  <si>
    <t>ירון</t>
  </si>
  <si>
    <t>מעיין</t>
  </si>
  <si>
    <t>סוסרנוב ארנלה</t>
  </si>
  <si>
    <t>ויצמן 65</t>
  </si>
  <si>
    <t>אחרי טיפולים</t>
  </si>
  <si>
    <t>06/03/2025</t>
  </si>
  <si>
    <t>כרניופרנגיאומה</t>
  </si>
  <si>
    <t>10/12/2025</t>
  </si>
  <si>
    <t>אלן</t>
  </si>
  <si>
    <t xml:space="preserve">052-7570027 </t>
  </si>
  <si>
    <t xml:space="preserve">דיאנה </t>
  </si>
  <si>
    <t>אברהם יאיר בן שבת</t>
  </si>
  <si>
    <t>30/05/2021</t>
  </si>
  <si>
    <t>רבי יוחנן בן זכאי 24/5</t>
  </si>
  <si>
    <t>רמת בית שמש</t>
  </si>
  <si>
    <t>בריא,מעקבים</t>
  </si>
  <si>
    <t>רחל</t>
  </si>
  <si>
    <t>אריאל גרינספן</t>
  </si>
  <si>
    <t>הרימון 10</t>
  </si>
  <si>
    <t>צופים</t>
  </si>
  <si>
    <t>סיימה טיפולים לפני חודשיים , עדיין לא חזרה לגן. רוצים להשאר מעודכנים</t>
  </si>
  <si>
    <t>אריאל אלבז</t>
  </si>
  <si>
    <t>פלח הרימון 16</t>
  </si>
  <si>
    <t>אלקנה</t>
  </si>
  <si>
    <t>0552932653</t>
  </si>
  <si>
    <t>מקבל טיפול ביולוגי וכימותרפי לטיפול בלימפומה</t>
  </si>
  <si>
    <t>06.07.25</t>
  </si>
  <si>
    <t>10.05.25</t>
  </si>
  <si>
    <t>0547352877</t>
  </si>
  <si>
    <t>רומי</t>
  </si>
  <si>
    <t>0525369898</t>
  </si>
  <si>
    <t>לעדכן סטטוס</t>
  </si>
  <si>
    <t>לא ענתה פעמיים -16/11</t>
  </si>
  <si>
    <t>ארבל קרני</t>
  </si>
  <si>
    <t>משק 19</t>
  </si>
  <si>
    <t>מושב כפר שמאי</t>
  </si>
  <si>
    <t>סיימה טיפולים לפני חודש, נמצאת באחזקה.יש גננת שמגיעה פעמיים בשבוע הביתה להיות איתה.</t>
  </si>
  <si>
    <t>אדיר</t>
  </si>
  <si>
    <t>יעל</t>
  </si>
  <si>
    <t>יהלי ליבוביץ</t>
  </si>
  <si>
    <t>18/08/2021</t>
  </si>
  <si>
    <t>הצלע 4 דירה 9</t>
  </si>
  <si>
    <t>באחזקה, נכנסת לגן.</t>
  </si>
  <si>
    <t>ניסן</t>
  </si>
  <si>
    <t>מוריה</t>
  </si>
  <si>
    <t>פלג גרינשפן</t>
  </si>
  <si>
    <t>רחוב קרל פופר 13, Netanya, Israel</t>
  </si>
  <si>
    <t>שלב אחזקה</t>
  </si>
  <si>
    <t>B cell ALL</t>
  </si>
  <si>
    <t>גלעד</t>
  </si>
  <si>
    <t>עמית</t>
  </si>
  <si>
    <t>אליה גז</t>
  </si>
  <si>
    <t>הרב אריה לוין 6</t>
  </si>
  <si>
    <t>0525200496</t>
  </si>
  <si>
    <t>לוקמיה All, בטיפול אינטנסיבי עד מרץ 2026, ועד פברואר 2027 אחזקה</t>
  </si>
  <si>
    <t>20.1.2025</t>
  </si>
  <si>
    <t>0503339422</t>
  </si>
  <si>
    <t>בת אל</t>
  </si>
  <si>
    <t>0522790322</t>
  </si>
  <si>
    <t>לא ענתה 03/12</t>
  </si>
  <si>
    <t>22/10/2025</t>
  </si>
  <si>
    <t>אלירוי וובה</t>
  </si>
  <si>
    <t>ההסתדרות</t>
  </si>
  <si>
    <t>0547703131</t>
  </si>
  <si>
    <t>ניורו</t>
  </si>
  <si>
    <t>עד שנה וחצי</t>
  </si>
  <si>
    <t>יטיט</t>
  </si>
  <si>
    <t>10/10</t>
  </si>
  <si>
    <t>00</t>
  </si>
  <si>
    <t>ענת וובה</t>
  </si>
  <si>
    <t>אלירוי וובה, בן 4 מאשדוד. רוצים חונכות ליד הבית חולים בשניידר. מטופל בשניידר. התחנך בגן תקשורת. ילד חייכן ומופנם וקצת קשה לו להיפתח אבל כשנפתח בפני מישהו הוא מאוד אנרגטי. אוהב מאוד כל מה שקשור במשחקי כדור, משחקים על גלגלים ומדיה וטלפון. יש לו אח קטן, ירין בן 2.5</t>
  </si>
  <si>
    <t>נעה פירוז</t>
  </si>
  <si>
    <t>11 וחצי</t>
  </si>
  <si>
    <t>בלפור 7</t>
  </si>
  <si>
    <t>סרקומה יואינג בירך וגרורות בריאות</t>
  </si>
  <si>
    <t>עוד 7 חודשים</t>
  </si>
  <si>
    <t>סרקומה יואינג וגרורות בריאות</t>
  </si>
  <si>
    <t>05/10/25</t>
  </si>
  <si>
    <t>אורי</t>
  </si>
  <si>
    <t>0542283891</t>
  </si>
  <si>
    <t>0507797759</t>
  </si>
  <si>
    <t>נעה פירוז בת 11 וחצי מאשדוד (בת מצווה באפריל), ילדה מדהימה ומתוקה ממש, לב ענק, תמיד חיובית ושמחה, רואה את הטוב בכל דבר ומאוד חכמה. אוהבת כל מה שקשור ליצירה, פיסול, הכנת עוגות ואפייה, זילוף. יש לה אחות קטנה מיכל בת 9 פלפלית וכריזמטית. לא פשוט לה בתקופה הזו אבל היא מאוד משתדלת.צריך לתת יחס לשתיהן:)</t>
  </si>
  <si>
    <t>שי קפלניקוב</t>
  </si>
  <si>
    <t>קדושי קהיר 24/19 חולון</t>
  </si>
  <si>
    <t>סיימו אחזקה</t>
  </si>
  <si>
    <t>בערך לפני שנה</t>
  </si>
  <si>
    <t>לוקמיה all</t>
  </si>
  <si>
    <t>מש</t>
  </si>
  <si>
    <t>גלי</t>
  </si>
  <si>
    <t>רותם נעים</t>
  </si>
  <si>
    <t>בילו 9/5 (קומה 3)</t>
  </si>
  <si>
    <t>סיימה טיפולים, נמצאת בביקורות. חזרה למסגרת.</t>
  </si>
  <si>
    <t>AML</t>
  </si>
  <si>
    <t>ענת הראל</t>
  </si>
  <si>
    <t>אנה ריי אריה ויס</t>
  </si>
  <si>
    <t>25/04/2023</t>
  </si>
  <si>
    <t>בורכוב 11 דירה 4</t>
  </si>
  <si>
    <t>סיימה את הטיפול האקטיבי ועברה לביקורות אחת לחודש</t>
  </si>
  <si>
    <t>לוקמיה- -BAL MIX PHENOTIP</t>
  </si>
  <si>
    <t>14.08.22</t>
  </si>
  <si>
    <t>יניב חקים</t>
  </si>
  <si>
    <t>גלית וויס</t>
  </si>
  <si>
    <t>פעילויות ביחד עם עוד ילדים</t>
  </si>
  <si>
    <t>זוהר ארבל</t>
  </si>
  <si>
    <t>10.03.2025</t>
  </si>
  <si>
    <t xml:space="preserve">טיפולים, מנסים תרופות אפילפטיות </t>
  </si>
  <si>
    <t>כמה שנים</t>
  </si>
  <si>
    <t>גן החלומות של גדולים מהחיים</t>
  </si>
  <si>
    <t>גידול מפושט בקרום המוח ועמוד שדרה</t>
  </si>
  <si>
    <t>שתיים</t>
  </si>
  <si>
    <t>ידועים בציבור</t>
  </si>
  <si>
    <t>חונכות , מעוניינים בטיולים</t>
  </si>
  <si>
    <t>זוהר ארבל בת חמש מרמת גן.
ילדה מתוקה ממש, חולה בסרטן בערך שנתיים.
יש לה אחות קטנה לאלי בת ארבע.
הורים חמודים ממש, בעיקר צריך לשחק עם הילדות ולעזור להעסיק אותן ולפעמים ביקורים בבית.</t>
  </si>
  <si>
    <t>נועם צוהר</t>
  </si>
  <si>
    <t>נגה לב</t>
  </si>
  <si>
    <t>טיפולים ביולוגיים פעם בחודש</t>
  </si>
  <si>
    <t>[</t>
  </si>
  <si>
    <t>הייגרדגליומה</t>
  </si>
  <si>
    <t>15 למרץ</t>
  </si>
  <si>
    <t>אנה לב</t>
  </si>
  <si>
    <t>חונכות בעיקר בשביל האח הגדול יובל 7</t>
  </si>
  <si>
    <t>יסיימו עם רוני, יום כיף מסכם צריך להעשות</t>
  </si>
  <si>
    <t>תאיר קינן</t>
  </si>
  <si>
    <t>29/01/2023</t>
  </si>
  <si>
    <t>רוברטו בקי 6</t>
  </si>
  <si>
    <t>סיימה טיפולים, חזרה למסגרת אבל מחפשים להעביר אותה לבית ספר לחינוך מיוחד.</t>
  </si>
  <si>
    <t>עדיין לא</t>
  </si>
  <si>
    <t>גידול ברחם</t>
  </si>
  <si>
    <t>מאי 2022</t>
  </si>
  <si>
    <t>אלנתן</t>
  </si>
  <si>
    <t>רעות קינן</t>
  </si>
  <si>
    <t>24/12/2025</t>
  </si>
  <si>
    <t>יאיר ישראל עמר</t>
  </si>
  <si>
    <t>אברהם ליכטנשטיין 2</t>
  </si>
  <si>
    <t>באר יעקוב</t>
  </si>
  <si>
    <t>0535488609</t>
  </si>
  <si>
    <t>טיפולים בשיחוב נוגדנים</t>
  </si>
  <si>
    <t>אמצע 2027</t>
  </si>
  <si>
    <t xml:space="preserve">ניורובלסטומה </t>
  </si>
  <si>
    <t>23.07.25</t>
  </si>
  <si>
    <t>0527184218</t>
  </si>
  <si>
    <t>שילת</t>
  </si>
  <si>
    <t>0504295260</t>
  </si>
  <si>
    <t>עוד 2</t>
  </si>
  <si>
    <t>נשמח לעזרה עם חונכות</t>
  </si>
  <si>
    <t>יאיר עמר בן כמעט 4 מבאר יעקב. אוהב מאוד לשחק בחוץ. אבל מעדיפים לשחק איתו במקומות יותר מבוקרים כדי לא לעייף. יש לו שני אחים קטנים- בן שנתיים וחצי ובן שמונה חודשים.</t>
  </si>
  <si>
    <t>שמעון בלוקה</t>
  </si>
  <si>
    <t>23/04/2023</t>
  </si>
  <si>
    <t>נחל תנינים 16 דירה 3</t>
  </si>
  <si>
    <t>טיפול ביולוגי, לא נמצא במסגרת</t>
  </si>
  <si>
    <t>28.04.22</t>
  </si>
  <si>
    <t>יעקוב בלוקה</t>
  </si>
  <si>
    <t>לבנה בלוקה</t>
  </si>
  <si>
    <t>חנן נמיקה</t>
  </si>
  <si>
    <t>22/06/2023</t>
  </si>
  <si>
    <t>אלחנן נמיקה</t>
  </si>
  <si>
    <t>אורטל נמיקה</t>
  </si>
  <si>
    <t>20/10/2025</t>
  </si>
  <si>
    <t>אמילי אריאלי</t>
  </si>
  <si>
    <t xml:space="preserve">לימונית 11 </t>
  </si>
  <si>
    <t>17.7.25</t>
  </si>
  <si>
    <t>0526644726</t>
  </si>
  <si>
    <t xml:space="preserve">ג'סיקה </t>
  </si>
  <si>
    <t>0546813286</t>
  </si>
  <si>
    <t>להצטרף לפעילויות לקבל עדכונים</t>
  </si>
  <si>
    <t>אמילי אריאלי בת 5 מבאר שבע. מטופלת בתל השומר. ילדה יחידה. חברותית, חכמה ומקסימה. אוהבת הצגות, תיאטרון ומשחקיות. אמא שלה ממש מתוקה.</t>
  </si>
  <si>
    <t>אביאל</t>
  </si>
  <si>
    <t>9.2.2025</t>
  </si>
  <si>
    <t>ההסתדרות 172</t>
  </si>
  <si>
    <t>מעקב כל שלושה חודשים וmri</t>
  </si>
  <si>
    <t>יולי 2023</t>
  </si>
  <si>
    <t>גן שיקומי</t>
  </si>
  <si>
    <t>מדולגלסטומה</t>
  </si>
  <si>
    <t>בני</t>
  </si>
  <si>
    <t>טופז</t>
  </si>
  <si>
    <t>מעוניינת בפעילויות וימי כיף</t>
  </si>
  <si>
    <t>אביאל בן 4 מחולון. אוהב חיות ובובות של חיות בעיקר. משחקי פירות וירקות. אוהב מוזיקה ומשחקים. אובחן על הרצף, מדבר אבל לא הולך ולא עומד כי הגידול נמצא על מערכת העצבים.</t>
  </si>
  <si>
    <t>9/12/2025</t>
  </si>
  <si>
    <t>אביתר אהרוני בן 6 מבאר שבע. נמצא בטיפולים. אוהב לשחק רמיקוב, לצייר, לאפות, לגו, לשחק כדורגל. לפעמים קצת חלש ולכן יש פחות חשק. פחות להיות במקומות המוניים עם הרבה ילדים. אח קטן בשם איתמר בן ארבע, הוא על הרצף בתפקוד גבוה. חברים ממש טובים. לאביתר לוקח קצת זמן להתחבר, אבל כשמתחבר ממש פתוח:)</t>
  </si>
  <si>
    <t>נריה אבקסיס</t>
  </si>
  <si>
    <t>לח"י 10</t>
  </si>
  <si>
    <t>מסיים אחזקה,ביקורת כל 3 חודשים</t>
  </si>
  <si>
    <t>איתמר משה רובינשטיין</t>
  </si>
  <si>
    <t>דבורה בארון, נתניה, ישראל</t>
  </si>
  <si>
    <t>כרגע עוד לא..</t>
  </si>
  <si>
    <t>נהרה</t>
  </si>
  <si>
    <t>מוריאל חיימי</t>
  </si>
  <si>
    <t>13/04/2021</t>
  </si>
  <si>
    <t>גון קנדי 59</t>
  </si>
  <si>
    <t>ביקורות פעם בשלושה חודשים, נמצא בגן עירייה.</t>
  </si>
  <si>
    <t>גליומה גזע המוח</t>
  </si>
  <si>
    <t>לינוי</t>
  </si>
  <si>
    <t>אלה גבאי</t>
  </si>
  <si>
    <t>שדרות הרב עזיזי 534</t>
  </si>
  <si>
    <t>ביקורות כל שלושה חודשים</t>
  </si>
  <si>
    <t xml:space="preserve">גידול בראש </t>
  </si>
  <si>
    <t>יניב</t>
  </si>
  <si>
    <t xml:space="preserve">עם מכשיר שמיעה </t>
  </si>
  <si>
    <t>אלון אברהם גליק</t>
  </si>
  <si>
    <t>דרך מנחם בגין 72</t>
  </si>
  <si>
    <t>הבחנה וטיפול בסטרואידים וכימו בלוקמיה</t>
  </si>
  <si>
    <t xml:space="preserve">שנתיים </t>
  </si>
  <si>
    <t>חופש</t>
  </si>
  <si>
    <t>24/07/25</t>
  </si>
  <si>
    <t>זיו</t>
  </si>
  <si>
    <t>0543121690</t>
  </si>
  <si>
    <t>מאור</t>
  </si>
  <si>
    <t>0537332898</t>
  </si>
  <si>
    <t>אלון אברהם גליק בן חמש מפתח תקווה.ילד שמח וחברותי, חכם ודעתן. אוהב מאוד משחקים בטאבלט וסרטים. אוהב לשחק עם חברים בגינה, מספרים ואותיות, משחקים משוכללים ופשוטים. מפחד קצת מדברים חדשים ולא מוכרים. להשתדל לא לחשוף אותו לשמש ולא ללכת למקומות המוניים. יש לו אחות נגה בת כמעט שלוש ואח שנולד ממש עכשיו.</t>
  </si>
  <si>
    <t>עמית צוברי</t>
  </si>
  <si>
    <t>טוביה ברוך חלילי</t>
  </si>
  <si>
    <t>276 בנימין</t>
  </si>
  <si>
    <t>מושב פורת</t>
  </si>
  <si>
    <t>Aml</t>
  </si>
  <si>
    <t>6 to 8 months</t>
  </si>
  <si>
    <t>נרשם עכשיו לשכטרמן</t>
  </si>
  <si>
    <t>8/18/2025</t>
  </si>
  <si>
    <t>רמין</t>
  </si>
  <si>
    <t>0557739264</t>
  </si>
  <si>
    <t>0555662362</t>
  </si>
  <si>
    <t>טוביה חלילי בן 6 ממושב פורת. ילד זורם, אוהב ממש הכל. אומנות ויצירה, משחקים. אוהב ללמוד, חברמן וחברותי. נמצא בטיפול שני. מטופל בשניידר. אמא ממש זורמת ומשתפת פעולה.</t>
  </si>
  <si>
    <t>אדר אסתר</t>
  </si>
  <si>
    <t>19/12/2025</t>
  </si>
  <si>
    <t>נתנאל אבסוב</t>
  </si>
  <si>
    <t xml:space="preserve">6 וחצי </t>
  </si>
  <si>
    <t>משה חובב 43</t>
  </si>
  <si>
    <t xml:space="preserve">באר שבע </t>
  </si>
  <si>
    <t xml:space="preserve">סיום טיפולי כימו </t>
  </si>
  <si>
    <t>לימפומה אוצקין שלב 4</t>
  </si>
  <si>
    <t>27.4.2025</t>
  </si>
  <si>
    <t>זהבה</t>
  </si>
  <si>
    <t>0549747436</t>
  </si>
  <si>
    <t xml:space="preserve">נשמח להצטרף </t>
  </si>
  <si>
    <t>להוסיף פרטים</t>
  </si>
  <si>
    <t xml:space="preserve">תפארת אסתר ריף </t>
  </si>
  <si>
    <t>אחד העם 73</t>
  </si>
  <si>
    <t>מאובחנת בניורובלסטומה</t>
  </si>
  <si>
    <t>03.09.2025</t>
  </si>
  <si>
    <t>0523063065</t>
  </si>
  <si>
    <t>שקד</t>
  </si>
  <si>
    <t>0528208183</t>
  </si>
  <si>
    <t>נויה דוידזון ורוני רוזנבלום</t>
  </si>
  <si>
    <t>הילדה מאוהבת בהן</t>
  </si>
  <si>
    <t>17/7/2025</t>
  </si>
  <si>
    <t>ליעד ספדז</t>
  </si>
  <si>
    <t>4.11.2024</t>
  </si>
  <si>
    <t>ביקורות מעקב אחת לשלוש</t>
  </si>
  <si>
    <t>הגידול היה על הכליה</t>
  </si>
  <si>
    <t>3.4.2024</t>
  </si>
  <si>
    <t>תומר</t>
  </si>
  <si>
    <t>נעמה</t>
  </si>
  <si>
    <t>מעוניינים בחונכות</t>
  </si>
  <si>
    <t>ליעד ספדז בן 4 וחצי מאשקלון. סיים טיפולים ממש לאחרונה, מטופל בשניידר. ילד שזורם על הכל, ממש אוהב לשחק, גדורגל, לבשל, לרדת לגינה לצייר. ילד קסם.</t>
  </si>
  <si>
    <t>15/7/2025</t>
  </si>
  <si>
    <t>בארי בראל</t>
  </si>
  <si>
    <t>ליבנה 11 דירה 20</t>
  </si>
  <si>
    <t>נהריה</t>
  </si>
  <si>
    <t>מחלימה,מעקבים אחת לחודש</t>
  </si>
  <si>
    <t>ינואר 24</t>
  </si>
  <si>
    <t>מדולובלסטומה</t>
  </si>
  <si>
    <t>סהר</t>
  </si>
  <si>
    <t>לשמח את הילדה ואחותה</t>
  </si>
  <si>
    <t>17/11/2025</t>
  </si>
  <si>
    <t>רבקה יצחק</t>
  </si>
  <si>
    <t>קהילות יעקב 69</t>
  </si>
  <si>
    <t>0507178974</t>
  </si>
  <si>
    <t>לימפומה בירקיט</t>
  </si>
  <si>
    <t>לפני חודש</t>
  </si>
  <si>
    <t>אהרון מאיר</t>
  </si>
  <si>
    <t>0587796565</t>
  </si>
  <si>
    <t>סמדר</t>
  </si>
  <si>
    <t>0542651992</t>
  </si>
  <si>
    <t>עוד 7</t>
  </si>
  <si>
    <t xml:space="preserve">רבקה בת 10 מבני ברק
ילדה שמחה,טובת לב,חברותית, יצירתית וחכמה. אוהבת שבאים אליה לבית חולים שממתנים אותה שמשחקים איתה יש לה סבלנות ליצירות הכי קשות פאזלים לגו....
היא בבידוד ולכן איננה יכולה להיכנס לכיתה בבית חולים דבר שמאוד מעיק עליה כי גם אלה שעוברות בין החולים יכולות לעבור אליה רק בסוף היום ...
אסור לה להיות במקומות כמו סופרים קניונים רק מרחבים פתוחים 
אחים שלה:
הוד בת 20
אברהם שלמה בן 19
ישראל בן 17.5
דוד בן 16.5
הדר בת 14.5
משה בן 13
לוי בן 12
</t>
  </si>
  <si>
    <t>נמצאים בטיפולים, ישמחו מאוד לחוכות</t>
  </si>
  <si>
    <t>29/08/2024</t>
  </si>
  <si>
    <t>טליה צדקיהו</t>
  </si>
  <si>
    <t>29/09/2022</t>
  </si>
  <si>
    <t>יער יתיר 34</t>
  </si>
  <si>
    <t>טיפול ביולוגי,מעקב mri ליווי שיקומי</t>
  </si>
  <si>
    <t>גל</t>
  </si>
  <si>
    <t>מתנדב/ת שתוכל לבוא להיות לשמח ולשחק עם טליה המתוקה</t>
  </si>
  <si>
    <t>טליה צדקיהו, בת 3 ממודיעין. נמצאת בטיפול ביולוגי חדש. אוהבת יצירה (פלסטלינה, סליים), חיות, בובות וטיפול בהן. נמצאת במסגרת מיוחדת עד השעה ארבע אחרצ. אמא שלה מתוקה ממש.</t>
  </si>
  <si>
    <t>הודיה אמסלם?</t>
  </si>
  <si>
    <t xml:space="preserve"> לא ענתה 16/11</t>
  </si>
  <si>
    <t>רייצארד מקלנקו</t>
  </si>
  <si>
    <t>נורית 5</t>
  </si>
  <si>
    <t>בריא- ברמיסיה  בבדיקות כל חודש/ חודשיים</t>
  </si>
  <si>
    <t>בפברואר</t>
  </si>
  <si>
    <t>דימה</t>
  </si>
  <si>
    <t>צח מנחם</t>
  </si>
  <si>
    <t>סירקין 1</t>
  </si>
  <si>
    <t>30.12.25</t>
  </si>
  <si>
    <t xml:space="preserve">כרגע לא </t>
  </si>
  <si>
    <t>31.03.2025</t>
  </si>
  <si>
    <t>חנינה</t>
  </si>
  <si>
    <t>0583214215</t>
  </si>
  <si>
    <t>אסתי</t>
  </si>
  <si>
    <t>0505981999</t>
  </si>
  <si>
    <t>צח מנחם בן 9 מבני ברק. בתקופה קצת קשה נפשית, האמא אמרה שממש תשמח שיוציאו אותו מהבית ויחזירו אותו לאנרגיות שלו. אוהב באולינג ומשחקי מוטימדיה. אוהב פארקים ולצאת לדוג. הוא מתמודד עם צליאק כך שצריך תזונה ללא גלוטן. הוא לקראת סיום טיפולים ואז נכנס לאחזקה. האחים שלו בני 10, 6, 2 וכולם סופר חברותיים. האמא ממש חמודה.</t>
  </si>
  <si>
    <t>רבקה ליכנטנפלד?</t>
  </si>
  <si>
    <t>אביגיל שירה ביטון</t>
  </si>
  <si>
    <t>תחילת יוני</t>
  </si>
  <si>
    <t>לוקמיה בדם</t>
  </si>
  <si>
    <t>21.9.2023</t>
  </si>
  <si>
    <t>חנניה ביטון</t>
  </si>
  <si>
    <t>דורין ביטון</t>
  </si>
  <si>
    <t>האמא ממש תשמח לימי כיף</t>
  </si>
  <si>
    <t>גיא גריידי</t>
  </si>
  <si>
    <t>קרן היסוד 9</t>
  </si>
  <si>
    <t>סיים טיפולים, בדיבור על הפסקת החונכות</t>
  </si>
  <si>
    <t>13.11.2023</t>
  </si>
  <si>
    <t>שירן</t>
  </si>
  <si>
    <t>26/10/2025</t>
  </si>
  <si>
    <t>שליו גולמן</t>
  </si>
  <si>
    <t xml:space="preserve">הרמה 28 </t>
  </si>
  <si>
    <t>לוקמיה בתקופת אחזקה</t>
  </si>
  <si>
    <t>האחזקה תיגמר בעוד שנתיים עדיין יקבל כימו בעמוד השדרה וכימו בכדורים</t>
  </si>
  <si>
    <t>כן בגן החלומות</t>
  </si>
  <si>
    <t>לוקמיה בתאי T</t>
  </si>
  <si>
    <t>11/9/2024</t>
  </si>
  <si>
    <t>0544726695</t>
  </si>
  <si>
    <t>נלי</t>
  </si>
  <si>
    <t>0507578337</t>
  </si>
  <si>
    <t>1 בן שנתיים וחצי</t>
  </si>
  <si>
    <t>שי וקנין</t>
  </si>
  <si>
    <t>טבריה מושבה מבצע כחול וחום 1</t>
  </si>
  <si>
    <t>אוגוסט 2026</t>
  </si>
  <si>
    <t>נוירבלסוטמה</t>
  </si>
  <si>
    <t>1.9.2025</t>
  </si>
  <si>
    <t>שאולי</t>
  </si>
  <si>
    <t>0502333500</t>
  </si>
  <si>
    <t>0509211721</t>
  </si>
  <si>
    <t>אשמח לעזרה עם הילדים הגדולים</t>
  </si>
  <si>
    <t>נטע כהן</t>
  </si>
  <si>
    <t>29/08/2021</t>
  </si>
  <si>
    <t>הטייסים 23</t>
  </si>
  <si>
    <t>טיפולים אקטיביים</t>
  </si>
  <si>
    <t>לנגרהנ'ס</t>
  </si>
  <si>
    <t>רוני</t>
  </si>
  <si>
    <t>אנאל בנימין</t>
  </si>
  <si>
    <t>אפלטון 26</t>
  </si>
  <si>
    <t>יפו</t>
  </si>
  <si>
    <t>0556809097</t>
  </si>
  <si>
    <t>רביסרקומה</t>
  </si>
  <si>
    <t xml:space="preserve">אוקטובר </t>
  </si>
  <si>
    <t>00866886</t>
  </si>
  <si>
    <t>אנאל בנימין בת 9 מיפו. בטיפולים. יש ארבעה אחים בכל הגילאים. אוהבת ממש הכל, בעיקר צריכה תשומת לב ואהבה. אמא מאוד דוחפת שכל הזמן מתעניינת.</t>
  </si>
  <si>
    <t>אורי גולדנברג</t>
  </si>
  <si>
    <t>14/02/2023</t>
  </si>
  <si>
    <t>מצפה נבו 25 דירה 4</t>
  </si>
  <si>
    <t>עין כרם</t>
  </si>
  <si>
    <t>סיים לפני שנתיים, במעקבים כל כמה חודשים</t>
  </si>
  <si>
    <t>סוף דצמבר</t>
  </si>
  <si>
    <t>גידול ליד הכליה</t>
  </si>
  <si>
    <t>25.01.2023</t>
  </si>
  <si>
    <t>יוני גולדנברג</t>
  </si>
  <si>
    <t>אמלי גולדנברג</t>
  </si>
  <si>
    <t>רוצים חונכות לא יודעים אם זכאים בגלל שהוא מחלים</t>
  </si>
  <si>
    <t>דניאל וידנפלד</t>
  </si>
  <si>
    <t>עזר ויצמן</t>
  </si>
  <si>
    <t>חולה ב-LCH, בטיפולים כימותרפיים וסטרואידים</t>
  </si>
  <si>
    <t>עד יוני בטיפולים שבועיים ואז ממשיך לטיפולי אחזקה עד מרץ 2026</t>
  </si>
  <si>
    <t>כל שבועיים במסגרת</t>
  </si>
  <si>
    <t>LCH</t>
  </si>
  <si>
    <t>1.3.25</t>
  </si>
  <si>
    <t>0527754999</t>
  </si>
  <si>
    <t>נטע</t>
  </si>
  <si>
    <t>0544767759</t>
  </si>
  <si>
    <t>דניאל וידנפלד, בן שלוש מהוד השרון. חברותי מאוד ואוהב אנשים, נמצא במתכונת של שבועיים בגן ושבועיים בבית. מאוד סקרן, אוהב גימבורי וגינות, פאזלים, סיפורים, משחקים, הצגות. 2 אחים בכיתה ו' ואחות בת שנה.</t>
  </si>
  <si>
    <t>נאוה פרולינגר</t>
  </si>
  <si>
    <t>מדהימה</t>
  </si>
  <si>
    <t>אברהם יעקב סמוס</t>
  </si>
  <si>
    <t>2.5 שנים</t>
  </si>
  <si>
    <t>הר סיני</t>
  </si>
  <si>
    <t>גידול בגזע המוח</t>
  </si>
  <si>
    <t>פרוטוקול מחקרי, נשאר לפחות 9 חודשים בתוך שנתיים ראשונים</t>
  </si>
  <si>
    <t>גידול גזע המוח</t>
  </si>
  <si>
    <t>05/24</t>
  </si>
  <si>
    <t>אליוט סמוס</t>
  </si>
  <si>
    <t>0547935361</t>
  </si>
  <si>
    <t>שטערנה סמוס</t>
  </si>
  <si>
    <t>0544851335</t>
  </si>
  <si>
    <t>עוד ילד אחד</t>
  </si>
  <si>
    <t>אבהרם יעקב סמוס בן שנתיים וחצי מרעננה. מדברים רק אנגלית בבית! צריך מישהו דובר אנגלית. אוהב מאוד לצאת לגינה ולשחק. ילד שובב ומתוק. בעקבות המצב הרפואי, לפעמים יש יכול להיות קצת במצב רוח פחות טוב. לפעמים עוצר את הנשימה בעצמו ונהיה קצת כחול. לרוב זה לא דורש התייחסות מיוחדת. האמא ממש חמודה ומאוד משתפת פעולה.</t>
  </si>
  <si>
    <t>יובל בן חיים</t>
  </si>
  <si>
    <t>נתן אלטרמן 7 דירה 54</t>
  </si>
  <si>
    <t>הורידה פורט, בטיפולים היה לה סרקומה, במעקבים כל שבועיים סיימו אחזקה</t>
  </si>
  <si>
    <t>לפני חודשיים</t>
  </si>
  <si>
    <t>כן, בגן תקשורת תפקוד גבוה</t>
  </si>
  <si>
    <t>שי</t>
  </si>
  <si>
    <t>דקלה</t>
  </si>
  <si>
    <t>יובל על הרצף האוטיסטי בתפקוד גבוה, האמא משתפת שדווקא שהם אחרי כל הבאלגן ויובל כן יכולה לצאת להתאוורר צריך את הימי כיף ופעילויות שהמשפחה תוכל לנשום קצת כי לא יכלה לפני</t>
  </si>
  <si>
    <t>יהל קוך</t>
  </si>
  <si>
    <t>05/11/0025</t>
  </si>
  <si>
    <t>נצר חזני</t>
  </si>
  <si>
    <t>מבוא חורון</t>
  </si>
  <si>
    <t>לוקמיה טיפולים כימותרפיים</t>
  </si>
  <si>
    <t>31/03/0022</t>
  </si>
  <si>
    <t>23.8.25</t>
  </si>
  <si>
    <t xml:space="preserve">מיכאל </t>
  </si>
  <si>
    <t>0506859242</t>
  </si>
  <si>
    <t>0547775997</t>
  </si>
  <si>
    <t>איילה שניידרמן</t>
  </si>
  <si>
    <t>יוסף חכמי 41</t>
  </si>
  <si>
    <t>0528933445</t>
  </si>
  <si>
    <t>ז.מנחם</t>
  </si>
  <si>
    <t>אפריל 2025</t>
  </si>
  <si>
    <t>רונן</t>
  </si>
  <si>
    <t>0528933444</t>
  </si>
  <si>
    <t xml:space="preserve">יהודית </t>
  </si>
  <si>
    <t>0532097276</t>
  </si>
  <si>
    <t>איילה בת ה6 צריכה מישהי עם בטחון שתתן לה להרגיש בנוח ותוציא אותה לפעילות כלשהי אחהצ ..</t>
  </si>
  <si>
    <t>אין וואצאפ</t>
  </si>
  <si>
    <t>מזור 2</t>
  </si>
  <si>
    <t>סיימה טיפולים, הוציאה פורט</t>
  </si>
  <si>
    <t>שבעה חודשים</t>
  </si>
  <si>
    <t>אסטומה</t>
  </si>
  <si>
    <t>בעיקר צריכה עזרה עם הילדים
 פעילויות וחונכות</t>
  </si>
  <si>
    <t>שי כמעט בת 4 מכפר סבא. מטופלת בשניידר. אוהבת בובות, חיות ולעשות שטויות. כרגע בטיפול ביולוגי. לא יכולה להיות במקום סגור עם הרבה אנשים ולא יכולה להיות בשמש.</t>
  </si>
  <si>
    <t>14/12/25</t>
  </si>
  <si>
    <t>עפרי זרח</t>
  </si>
  <si>
    <t>האלון</t>
  </si>
  <si>
    <t>כפר הריף</t>
  </si>
  <si>
    <t>שיבא, תל השומר</t>
  </si>
  <si>
    <t>אין כרגע צפי</t>
  </si>
  <si>
    <t>כורדומה</t>
  </si>
  <si>
    <t>מרץ 2023</t>
  </si>
  <si>
    <t xml:space="preserve">איתי </t>
  </si>
  <si>
    <t>0529427161</t>
  </si>
  <si>
    <t>אלינור</t>
  </si>
  <si>
    <t>0507878186</t>
  </si>
  <si>
    <t>עפרי זרח בת 8 מכפר הריף
נמצאת בטיפולים, מגיעה לביהח פעם בשבועיים, היא לא שומעת טוב ומרכיבה מכשירי ששמיעה.
היא ילדה קצת חרדה, מאוד ביישנית, לא תמיד קל לה לפתח לאנשים חדשים, יותר קל לה עם בנות. היא מאוד אוהבת חברות, אבל קשה לה לייצר קשרים.
 היא מאוד אוהבת יצירה, הרכבות והדבקות אוהבת לשחק בלגו ובבניה.
יש לה 2 אחיות (עפרי היא אמצעית) הבכורה בת 11, היא אוהבת לקרוא ספרי הרפתקאות, אוהבת רישום ומדעים.
הצעירה, דרור, היא בת 5. היא אוהבת משחקי קופסא, משחקי דמיון</t>
  </si>
  <si>
    <t>שקד מארי</t>
  </si>
  <si>
    <t>סיימו טיפולים כבר יותר משנה</t>
  </si>
  <si>
    <t>בלסטומה</t>
  </si>
  <si>
    <t>שקד מארי בן שנתיים מחריש. מחלים. מתקשה קצת רגשית. מאוד חברותי, מישהי שתזרים אותו לעשות דברים. זורם ממש על הכל</t>
  </si>
  <si>
    <t>מאוד מרוצים משי החונכת, בעיקר מוסרים המון תודה</t>
  </si>
  <si>
    <t>דריה אליאסי</t>
  </si>
  <si>
    <t>שמונה חודשים</t>
  </si>
  <si>
    <t>13.10.2024</t>
  </si>
  <si>
    <t>רות</t>
  </si>
  <si>
    <t xml:space="preserve">חונכות </t>
  </si>
  <si>
    <t>לא ענתה 16/11</t>
  </si>
  <si>
    <t>29/10/2025</t>
  </si>
  <si>
    <t>תם זילברמן</t>
  </si>
  <si>
    <t>החושן 9</t>
  </si>
  <si>
    <t>מבשרת ציון</t>
  </si>
  <si>
    <t xml:space="preserve">השתלת מח עצם </t>
  </si>
  <si>
    <t xml:space="preserve">דצמבר </t>
  </si>
  <si>
    <t xml:space="preserve">מיאלופיברוזיס </t>
  </si>
  <si>
    <t>8.3.25</t>
  </si>
  <si>
    <t>0544247747</t>
  </si>
  <si>
    <t>שיר</t>
  </si>
  <si>
    <t>0545485740</t>
  </si>
  <si>
    <t>תם זילברמן בן 4.5 ממבשרת ציון. השתחרר מבית חולים לאחר השתלת מח עצם ויהיה בבידוד של עוד כחצי שנה בבית. כך שצריך חונך/כת שיגיעו הביתה. לתם יש צרכים מיוחדים והוא נחשב לעם מוגבלות שכלית קלה. ילד מאוד שמח, אוהב אנשים, מוזיקה, ילד אנרגטי ומתוק אמיתי. אוהב כדורים ומכוניות. אמא מתוקה ממש. יש לו אח בן 8 קוראים לו עומר והוא ילד מצחיק וחכם. אוהב ספרים, כדורסל ולשחק במשחקי קופסא.</t>
  </si>
  <si>
    <t>אביטל חדד?</t>
  </si>
  <si>
    <t>16/10/2025</t>
  </si>
  <si>
    <t>עדן אילדרדשתי</t>
  </si>
  <si>
    <t>תוצאות חזרו בסדר</t>
  </si>
  <si>
    <t>חצי שנה בערך</t>
  </si>
  <si>
    <t>IMT</t>
  </si>
  <si>
    <t xml:space="preserve">חזקי </t>
  </si>
  <si>
    <t>צריכים עזרה עם הילדים ברעננה</t>
  </si>
  <si>
    <t xml:space="preserve">עדן אילדרדשתי בת 2 מרעננה,  שובבה ממש. אוהבת לגו, בובות, מגנטים, אוהבת לקרוא ספרים. האמא ממש מתוקה, לא מרשה לה לצפות בטלווזיה. יש לה אחות בת ארבע. שתיהן ממש בנות של בנות. </t>
  </si>
  <si>
    <t>מסיימים טיפולים, עושים PT סיטי בשבוע הבא לראות אם הגידול חזר. האמא תשמח אחרי החגים אם מתנדבת תוכל להגיע אליהם הביתה ולהיות עם הילדה בזמן שהיא תארגן את הבית 
התוצאות של הבדיקה הגיעו ויצאו בסדר גמור, הם מחכים לעוד בדיקה וישמחו לחונכות</t>
  </si>
  <si>
    <t>כרמל זוהר שקלר הארט</t>
  </si>
  <si>
    <t>שנה ו 4 חודשים</t>
  </si>
  <si>
    <t>חביבה רייך 42</t>
  </si>
  <si>
    <t>מטופל סבב 2 של כימותרפיה, anaplastic large cell lymphoma</t>
  </si>
  <si>
    <t>6 חודשים</t>
  </si>
  <si>
    <t xml:space="preserve">Anaplastic large cell lymphoma </t>
  </si>
  <si>
    <t>5/10/25</t>
  </si>
  <si>
    <t>גין</t>
  </si>
  <si>
    <t>0524564090</t>
  </si>
  <si>
    <t>טוני</t>
  </si>
  <si>
    <t xml:space="preserve">0585-729013 </t>
  </si>
  <si>
    <t>אחות גדולה בת 4.5</t>
  </si>
  <si>
    <t>תודה רבה על פועלכם, אתם מעלים חיוך גדול גם על פניהם של ההורים :)</t>
  </si>
  <si>
    <t>שרבל רושרוש</t>
  </si>
  <si>
    <t>איריס 2</t>
  </si>
  <si>
    <t>מרר</t>
  </si>
  <si>
    <t>סיימתם טיפולים מחכים לפט סיטי נכנסו למעקבים</t>
  </si>
  <si>
    <t>שישה שמונה חודשים</t>
  </si>
  <si>
    <t>ברקיט לימפומה</t>
  </si>
  <si>
    <t>פאדל</t>
  </si>
  <si>
    <t>חאלה</t>
  </si>
  <si>
    <t>יעל שטרנברג</t>
  </si>
  <si>
    <t xml:space="preserve">מנחם בגין </t>
  </si>
  <si>
    <t>0587482292</t>
  </si>
  <si>
    <t>14.7.2026</t>
  </si>
  <si>
    <t>14.7.2025</t>
  </si>
  <si>
    <t>אביתר שטרנברג</t>
  </si>
  <si>
    <t>0506779621</t>
  </si>
  <si>
    <t>יפה שטרנברג</t>
  </si>
  <si>
    <t>0507482290</t>
  </si>
  <si>
    <t>אלמנה</t>
  </si>
  <si>
    <t>יעל שטרנברג בת 15 מקריית מוצקין. אוהבת לצייר ולקרוא, השגית מאוד.להיזהר בחשיפה לאנשים חולים.</t>
  </si>
  <si>
    <t>עדי גלזר</t>
  </si>
  <si>
    <t>אושר בוגנים</t>
  </si>
  <si>
    <t>הסנפיר 2 קומה 1 דירה 4</t>
  </si>
  <si>
    <t>טיפולים, אשפוז יום</t>
  </si>
  <si>
    <t>גידול ממאיר בירך סרקומה</t>
  </si>
  <si>
    <t>סמי</t>
  </si>
  <si>
    <t>יפית</t>
  </si>
  <si>
    <t>אושר בוגנים בן 15 מיבנה. אוהב מאוד!!! כדורגל!!! צריך מישהו שיוציא אותו מהבית לשחק איתו. אחים בגילאים- בן 14, בת 12, ובת 9. משפחה מהממת שמחפשת חונך לאמץ אליהם. הורים מדהימים.</t>
  </si>
  <si>
    <t>אליה ברנס</t>
  </si>
  <si>
    <t>נועה אסבן</t>
  </si>
  <si>
    <t>14.12.24</t>
  </si>
  <si>
    <t xml:space="preserve">מגדלים </t>
  </si>
  <si>
    <t>טיפולים ושיקום, בעיכוב כי הייתה בטיפול נמרץ</t>
  </si>
  <si>
    <t>30.10.2024</t>
  </si>
  <si>
    <t xml:space="preserve">נועה אסבן בת 3.5 ממגדלים. נמצאת באמצע הטיפולים ומטופלת בשניידר. חונכות עם דגש על שלושה אחים יותר גדולים בגילאים 6-10. הם ממש זורמים אנשי שיחה אוהבים כדורגל כדורסל, מתחברים לאנשים גדולים מהם. נועה אוהבת משחקי קופסא, דיבורים לספר על חוויות.. </t>
  </si>
  <si>
    <t>מספר עדיין לא מחובר (יכול להיות שאנחנו חסומים?) - לדעתי חסמה אותנו</t>
  </si>
  <si>
    <t>אביאל כהן אביעד</t>
  </si>
  <si>
    <t>שדרות, ישראל</t>
  </si>
  <si>
    <t>סיים סבב 6</t>
  </si>
  <si>
    <t>אפרת</t>
  </si>
  <si>
    <t>יהונתן אליגאל</t>
  </si>
  <si>
    <t xml:space="preserve">שנה ו5 חודשים </t>
  </si>
  <si>
    <t xml:space="preserve">מגדל הלבנון </t>
  </si>
  <si>
    <t xml:space="preserve">מודיעין </t>
  </si>
  <si>
    <t xml:space="preserve">בטיפולים, השתלות </t>
  </si>
  <si>
    <t>אוקטובר</t>
  </si>
  <si>
    <t>0508318744</t>
  </si>
  <si>
    <t xml:space="preserve">יפעת </t>
  </si>
  <si>
    <t>0505588571</t>
  </si>
  <si>
    <t>יהונתן אליגאל בן שנה וחצי ממודיעין. מטופל בשניידר. אוהב אנשים מאוד, לשחק ולהיות בחוץ. ביישן וקצת מופנם, צריך להשקיע בקשר איתו.  אחות- עמית בת ארבע. ילדה מהממת וחברותית. האמא נשמעת סופר חמודה וזורמת.</t>
  </si>
  <si>
    <t>מאוד רוצים חונכות בדגש על יציבה</t>
  </si>
  <si>
    <t>ענהאל</t>
  </si>
  <si>
    <t>הר הצופים 3</t>
  </si>
  <si>
    <t>סיימה טיפולים  לפני שנה וחצי ביקורת כל 3 חודשים</t>
  </si>
  <si>
    <t>אוקטובר 23</t>
  </si>
  <si>
    <t>לוקמיה AML פעם שנייה</t>
  </si>
  <si>
    <t>עדיאל</t>
  </si>
  <si>
    <t>סיוון</t>
  </si>
  <si>
    <t>פעם בשבוע מגיעים לשניידר
 כל שלושה חודשים בדיקת מח עצם 
 מבקשים שיקחו את הילדים לפעילויות
 (יום כיף או ארוחת צהריים וכו..)</t>
  </si>
  <si>
    <t>אדל ברומברג</t>
  </si>
  <si>
    <t>24/08/2021</t>
  </si>
  <si>
    <t>ויצמן 123/4</t>
  </si>
  <si>
    <t>מעקבים דחופים כל 3 חודשים</t>
  </si>
  <si>
    <t>זהר</t>
  </si>
  <si>
    <t>אודליה פלדמן ואיילת צייזן</t>
  </si>
  <si>
    <t>נמצאים רגע במעקבים, ישמחו מאוד לצאת לימי כיף. מבקשים להגיד תודה על הטיול לאילת</t>
  </si>
  <si>
    <t>אדיר שמואל</t>
  </si>
  <si>
    <t>לקראת סיום טיפולים, מתחילים אחזקה</t>
  </si>
  <si>
    <t>כן , בית ספר כמה שאפשר</t>
  </si>
  <si>
    <t>לנגרן</t>
  </si>
  <si>
    <t>אוקטובר 24</t>
  </si>
  <si>
    <t>אם יחידנית</t>
  </si>
  <si>
    <t>אח בן 8.5 חונכות</t>
  </si>
  <si>
    <t>אדיר שמואל בן 13 מחולון. מטופל בשניידר.</t>
  </si>
  <si>
    <t>הדס סוויסה ונועה זוהר</t>
  </si>
  <si>
    <t>הילד מסיים טיפולים מתחיל אחזקה, מרגיש טוב ונמצא במסגרות. המשפחה מרוצה מאוד מהחונכות שלהם</t>
  </si>
  <si>
    <t>אילה בן זקן</t>
  </si>
  <si>
    <t>אבני נזר 22</t>
  </si>
  <si>
    <t>בהמתנה להשתלת מח עצם</t>
  </si>
  <si>
    <t>כמה חודשים</t>
  </si>
  <si>
    <t>בית ספר בית יעקב</t>
  </si>
  <si>
    <t>MDS חסר בנטרופילים</t>
  </si>
  <si>
    <t>תחילת אלול. בערך 1.09.2025</t>
  </si>
  <si>
    <t>0527668505</t>
  </si>
  <si>
    <t>0534105964</t>
  </si>
  <si>
    <t>תודה רבה!!</t>
  </si>
  <si>
    <t>ילדה מתוקה, משפחה דתית וישמחו לחונכת דתיה</t>
  </si>
  <si>
    <t>29/09/2025</t>
  </si>
  <si>
    <t>יותם נבו ברנד</t>
  </si>
  <si>
    <t>15/08/2025</t>
  </si>
  <si>
    <t>הברוש 92</t>
  </si>
  <si>
    <t xml:space="preserve">קרני שומרון </t>
  </si>
  <si>
    <t xml:space="preserve">מטופל בבית </t>
  </si>
  <si>
    <t>אוקטובר 25</t>
  </si>
  <si>
    <t>29.08.24</t>
  </si>
  <si>
    <t>פסח</t>
  </si>
  <si>
    <t>0542102131</t>
  </si>
  <si>
    <t>ענבל</t>
  </si>
  <si>
    <t>0548883510</t>
  </si>
  <si>
    <t xml:space="preserve">יותם נבו ברנד בן 11.5 מקרני שומרון. פעיל מאוד, אוהב משחקי מחשב וחברים. ילד שמח ואנרגטי. </t>
  </si>
  <si>
    <t>בטיפולים ביתיים, ישמחו לצאת ליום כיף וישמחו לחונכות</t>
  </si>
  <si>
    <t>אימרי דוד</t>
  </si>
  <si>
    <t>16/11/2021</t>
  </si>
  <si>
    <t>הזמיר 7 דירה 69</t>
  </si>
  <si>
    <t>מטופלים ביולוגית בבית, נמצא בשיקום משעות הבוקר עד 3 אחרי צהריים</t>
  </si>
  <si>
    <t>כרגע אין</t>
  </si>
  <si>
    <t>שיקום יומי</t>
  </si>
  <si>
    <t>גידול שפיר בגזע המוח</t>
  </si>
  <si>
    <t>ליטל</t>
  </si>
  <si>
    <t>אמרי דוד בן 5 מנהריה. אוהב את הטאבלט שלו ומכוניות. נמצא בטיפולים ביולוגיים ובגן שיקומי בשעות הבוקר.</t>
  </si>
  <si>
    <t>ביקשה שאחזור אליה מאוחר יותר נמצאת עבודה</t>
  </si>
  <si>
    <t>אלירז צור</t>
  </si>
  <si>
    <t>הניצנים</t>
  </si>
  <si>
    <t>נריה (טלמון)</t>
  </si>
  <si>
    <t xml:space="preserve">סיימה את השלב האינטנסיבי והחבלה בשלב אחזקה </t>
  </si>
  <si>
    <t>סיימה לפני כחודש וחצי את השלב האינטנסיבי וכעת עברה לשנה וארבע חודשים של שלב אחזקתי של כדורי כימו בבית</t>
  </si>
  <si>
    <t>כן הולכת לכיתה א'</t>
  </si>
  <si>
    <t>18/2/25</t>
  </si>
  <si>
    <t xml:space="preserve">יוסי שלום </t>
  </si>
  <si>
    <t>0505509911</t>
  </si>
  <si>
    <t>נורית</t>
  </si>
  <si>
    <t>0528109195</t>
  </si>
  <si>
    <t>14/7/2025</t>
  </si>
  <si>
    <t>גיא כץ</t>
  </si>
  <si>
    <t>וילנסקי משה 10</t>
  </si>
  <si>
    <t>מחלימה  ,מעקבים מערכת חיסונית נמוכה</t>
  </si>
  <si>
    <t>מאי 24</t>
  </si>
  <si>
    <t>טיפול אחרון במאי 24, לאחר מכן שיקום עד דצמבר 24</t>
  </si>
  <si>
    <t>כן, בגן החלומות בכפר אז״ר</t>
  </si>
  <si>
    <t>DLBCL</t>
  </si>
  <si>
    <t>12/12/2023</t>
  </si>
  <si>
    <t>0526643704</t>
  </si>
  <si>
    <t>שימרית</t>
  </si>
  <si>
    <t>0544454415</t>
  </si>
  <si>
    <t>ליאור רוכמן</t>
  </si>
  <si>
    <t>אפרים קציר 16</t>
  </si>
  <si>
    <t>0542412021</t>
  </si>
  <si>
    <t>כימותרפיה אשפוזי יום</t>
  </si>
  <si>
    <t>31/07/2025</t>
  </si>
  <si>
    <t>הודגינס לימפומה</t>
  </si>
  <si>
    <t>17/08/2025</t>
  </si>
  <si>
    <t xml:space="preserve">גיא </t>
  </si>
  <si>
    <t>0545574234</t>
  </si>
  <si>
    <t xml:space="preserve">רותם </t>
  </si>
  <si>
    <t>0502377700</t>
  </si>
  <si>
    <t>זקוקה לעזרה עם הילדים או עם מטלות הבית כדי שאוכל לתת יחס לליאור ולאחיה בני 10 ו2.5 שלא מקבלים..בנוסף ליאור לא הולכת לבית הספר ועוד כמה ימים ליאור תחגוג 8 ואין לנו דרך לחגוג.</t>
  </si>
  <si>
    <t>ליאור רוכמן השבוע תהיה בת שמונה מהוד השרון. ילדה יצרתית, חברותית, לבבית. אוהבת אומנות,משחקי חברה. היא מצחיקה וחכמה. לא חזרה השנה לבית ספרו ותשמח לחברה. יש לה עוד שני אחים- בן עשר ובן שנתיים ושבע. כולם אנרגטיים וחכמים ואוהבים מיינקראפט. ממש צריכים תשומת לב והכוונה.</t>
  </si>
  <si>
    <t xml:space="preserve">נועה זרידר </t>
  </si>
  <si>
    <t>נעמה קרן</t>
  </si>
  <si>
    <t xml:space="preserve">סיימה את השלב האינטנסיבי והחלה בשלב אחזקה </t>
  </si>
  <si>
    <t>ג'ניה</t>
  </si>
  <si>
    <t>האמא דוברת אנגלית בעיקר, הילד מדבר עברית</t>
  </si>
  <si>
    <t>מסיימים עכשיו חונכות עם תמר</t>
  </si>
  <si>
    <t>אנדי חאמו</t>
  </si>
  <si>
    <t>הרדוף</t>
  </si>
  <si>
    <t>כפר יונה</t>
  </si>
  <si>
    <t xml:space="preserve">בטיפול  ללוקמיה חריפה </t>
  </si>
  <si>
    <t>בסביבות 8 חודשים</t>
  </si>
  <si>
    <t>לא במידה ויתאפשר ילמד בבית דרך משרד החינוך</t>
  </si>
  <si>
    <t>TALL</t>
  </si>
  <si>
    <t>5.5.25</t>
  </si>
  <si>
    <t>0585489220</t>
  </si>
  <si>
    <t>רוז</t>
  </si>
  <si>
    <t>0543153161</t>
  </si>
  <si>
    <t>ילד יחיד</t>
  </si>
  <si>
    <t>אנדי חאמו בן 7 מכפר יונה. אוהב בובות ודינוזאורים. כדורגל ומשחקי קופסא. אוהב חיות וריקודים. לפני המחלה היה בגן עיכוב התפתחותי והתחילו לבדוק אם הוא על הרצף בתפקוד גבוהה ובגלל המחלקה זה נעצר. מתחבר בעיקר לבנות:) לאמא שלו יש חרדה חברתית לכן להיות בקשר עם האבא</t>
  </si>
  <si>
    <t>מיטל וויזר</t>
  </si>
  <si>
    <t>דניאל גולדפלד</t>
  </si>
  <si>
    <t>19/3/2025</t>
  </si>
  <si>
    <t xml:space="preserve">שמואל הנגיד 19 </t>
  </si>
  <si>
    <t xml:space="preserve">הרצליה </t>
  </si>
  <si>
    <t xml:space="preserve">טיפול כימותרפי </t>
  </si>
  <si>
    <t>נמצאת באחזקה</t>
  </si>
  <si>
    <t>Ball לוקמיה</t>
  </si>
  <si>
    <t>21/10/2024</t>
  </si>
  <si>
    <t xml:space="preserve">איתמר </t>
  </si>
  <si>
    <t>הדר</t>
  </si>
  <si>
    <t>דניאל בת 6, אוהבת יצירות, קניון ולטייל, לשחק בעלי חיים,לקפוץ בטרמפולינה, סרטים, לקרוא ספרים. אחות בת 4</t>
  </si>
  <si>
    <t>תהילה ברוש</t>
  </si>
  <si>
    <t>נמצאים כרגע באחזקה, מפסידה המון בית ספר וישמחו מאוד שיעזרו לה בשיעורים אפילו פעמיים בחודש. מטופלת כרגע בטיפול רגשי</t>
  </si>
  <si>
    <t>אלמה גפן עליזה סימן טוב</t>
  </si>
  <si>
    <t>האורנים 13</t>
  </si>
  <si>
    <t>קרני שומרון</t>
  </si>
  <si>
    <t>ללא טיפול</t>
  </si>
  <si>
    <t>אוגוסט 2023</t>
  </si>
  <si>
    <t>דוד יששכר</t>
  </si>
  <si>
    <t>דלית</t>
  </si>
  <si>
    <t>אלמה בכיסא גלגלים ועם חיתולים</t>
  </si>
  <si>
    <t>הם לא מוכנים שאלמה תעשה כימו כי הוא כמעט הרג אותה לפני שלוש שנים, רוצים להטיס אותה לחול אבל מהבית חולים לא מסכימים ולא נותנים המלצה או עזרה בגלל שהם לא מסכימים לעבור שוב כימו, האמא ממש מבקשת עזרה (לא להתקשר אליה)</t>
  </si>
  <si>
    <t>עלמה פילוסוף</t>
  </si>
  <si>
    <t>19/01/2022</t>
  </si>
  <si>
    <t>מנדל זינגר 12/29</t>
  </si>
  <si>
    <t>סוף אוקטובר 2026</t>
  </si>
  <si>
    <t>נוירובלסטומה - מחלה חודרת</t>
  </si>
  <si>
    <t>נעם</t>
  </si>
  <si>
    <t xml:space="preserve">מרגישה מעולה, חזרה למסגרות. מנסה בעיקר לחזור לחיים הרגילים שלה </t>
  </si>
  <si>
    <t>איה אביקסיס</t>
  </si>
  <si>
    <t>ההגנה 26</t>
  </si>
  <si>
    <t>קריית אונו</t>
  </si>
  <si>
    <t>אוגוסט 26</t>
  </si>
  <si>
    <t>כן בבית ספר</t>
  </si>
  <si>
    <t>אוגוסט 21 והאחרון
 אוגוסט 24</t>
  </si>
  <si>
    <t>הילדה נמצאת בטיפולים על בסיס כדורים בבית, תשמח לעשות ימי כיף עם אחותה</t>
  </si>
  <si>
    <t>הללי טקה</t>
  </si>
  <si>
    <t>מוצקין 19/38</t>
  </si>
  <si>
    <t>בן (זפה)</t>
  </si>
  <si>
    <t>ברכה</t>
  </si>
  <si>
    <t>יובל קושפן</t>
  </si>
  <si>
    <t>שמואל הנגיד 7</t>
  </si>
  <si>
    <t>פרדס חנה</t>
  </si>
  <si>
    <t>0552770185</t>
  </si>
  <si>
    <t>הודג'קין לימפומה</t>
  </si>
  <si>
    <t>18.3.2025</t>
  </si>
  <si>
    <t>להב</t>
  </si>
  <si>
    <t>0527206797</t>
  </si>
  <si>
    <t>0547889909</t>
  </si>
  <si>
    <t>תןדה על כל תשומת הלב .זה לא מובם מאילו</t>
  </si>
  <si>
    <t>לא ענתה 17/11</t>
  </si>
  <si>
    <t>שליו שלמה עמר</t>
  </si>
  <si>
    <t>סיני 5/13 באר שבע</t>
  </si>
  <si>
    <t>גידול מוחי שלא ניתן לנתח, לכל החיים, סיים כימו, וגם טיפולים, נמצאים במעקבים ובדיקות.</t>
  </si>
  <si>
    <t>לפני שנתיים וחצי</t>
  </si>
  <si>
    <t>יחזור למסגרות השנה</t>
  </si>
  <si>
    <t>גידול מוחי, גליומה אנגיוצנטרית</t>
  </si>
  <si>
    <t>שביט</t>
  </si>
  <si>
    <t>יישמחו לקבל עדכונים בוואצאפ על פעילויות וימי כיף , עד עכשיו לא כל כך התאפשר.</t>
  </si>
  <si>
    <t>עדיין במעקבים,הוא לא כל כך בתקופה טובה יום מרגיש טוב ויום לא. האמא אמרה שמאוד תשמח לסיוע כלכלי במידה ואפשרי</t>
  </si>
  <si>
    <t>טהר יהושע קצב</t>
  </si>
  <si>
    <t>25/12/2022</t>
  </si>
  <si>
    <t>הרב שלינקה יצחק 5</t>
  </si>
  <si>
    <t>052-7723778</t>
  </si>
  <si>
    <t>איכיילוב</t>
  </si>
  <si>
    <t xml:space="preserve">עברה טיפולים בחול, מחכה לMRI </t>
  </si>
  <si>
    <t>אין צפי</t>
  </si>
  <si>
    <t>סרטן לבב עם גרורות בכבד ובבטן</t>
  </si>
  <si>
    <t>רימוניד</t>
  </si>
  <si>
    <t>תשמח לימי כיף עם אחיות שלה</t>
  </si>
  <si>
    <t>טוהר יהושוע קצב בת 13 מראשון לציון</t>
  </si>
  <si>
    <t>האמא אמרה שטוהר תשמח לצאת לימי כיף עם האחיות שלה ושהיא תדבר עם טוהר ותגיד לי מה היא תרצה לעשות ותחזור אליי</t>
  </si>
  <si>
    <t>דניאל יאגר</t>
  </si>
  <si>
    <r>
      <rPr>
        <rFont val="Arial"/>
        <color rgb="FF000000"/>
        <sz val="12.0"/>
      </rPr>
      <t>29.9.2024</t>
    </r>
  </si>
  <si>
    <t>הזית1</t>
  </si>
  <si>
    <t>קרית עקרון</t>
  </si>
  <si>
    <t>מרץ 25</t>
  </si>
  <si>
    <t>ניובלסטומה</t>
  </si>
  <si>
    <t>סרגיי</t>
  </si>
  <si>
    <t>טטיאנה</t>
  </si>
  <si>
    <t>דניאל יאגר בן 3.8 מקריית עקרון. ילד שקט, לא תמיד משתף פעולה ונמצא על הספקטרום האוטיסטי. אוהב משחקים - הרכבה בעיקר ומגנטים. אמור לעבור ניתוח בעוד שבועיים ואז השתלת מח עצם (נמצא בסיכון גבוה)</t>
  </si>
  <si>
    <t>סיימו אחזקה הילד במסגרות, ישמחו מאוד לצאת לימי כיף</t>
  </si>
  <si>
    <t>אציל</t>
  </si>
  <si>
    <t>הרוגי המלכות</t>
  </si>
  <si>
    <t>במעקב כל חודש/ חודשיים</t>
  </si>
  <si>
    <t>30.6.2024</t>
  </si>
  <si>
    <t>במאי 2024</t>
  </si>
  <si>
    <t>8.10.2023</t>
  </si>
  <si>
    <t>יאסר</t>
  </si>
  <si>
    <t>נאבין</t>
  </si>
  <si>
    <t>במעקבים כל חודש/ חודשיים עד גיל 18,מוסרים תודה רבה</t>
  </si>
  <si>
    <t>13/07/25</t>
  </si>
  <si>
    <t>בילי</t>
  </si>
  <si>
    <t>נחלה 8</t>
  </si>
  <si>
    <t>פרדס חנה כרכור</t>
  </si>
  <si>
    <t xml:space="preserve">שנה אחרי סיום טיפול- ביקורות </t>
  </si>
  <si>
    <t>אלמוג</t>
  </si>
  <si>
    <t>מורן</t>
  </si>
  <si>
    <t>אגם אלגזי</t>
  </si>
  <si>
    <t>מלכי ישראל 30</t>
  </si>
  <si>
    <t>0533835964</t>
  </si>
  <si>
    <t xml:space="preserve">תל השומר </t>
  </si>
  <si>
    <t>ביקורות</t>
  </si>
  <si>
    <t xml:space="preserve">סיימה במרצ סוף מרצ </t>
  </si>
  <si>
    <t>לוקמייה  aml</t>
  </si>
  <si>
    <t xml:space="preserve">אוקטובור </t>
  </si>
  <si>
    <t>0502262732</t>
  </si>
  <si>
    <t xml:space="preserve">ספיר </t>
  </si>
  <si>
    <t>0522213337</t>
  </si>
  <si>
    <t xml:space="preserve">הילדה חולמת על גלשן </t>
  </si>
  <si>
    <t>נמצאים בביקורות, מאוד מאוד ישמחו לצאת לימי כיף</t>
  </si>
  <si>
    <t>14/11/2025</t>
  </si>
  <si>
    <t>אלה כהן</t>
  </si>
  <si>
    <t>עמק הירדן</t>
  </si>
  <si>
    <t xml:space="preserve">דגניה א׳ </t>
  </si>
  <si>
    <t>0507823436</t>
  </si>
  <si>
    <t>באשפוז אחרי השתלת מח עצם</t>
  </si>
  <si>
    <t>ינואר 2026</t>
  </si>
  <si>
    <t>החודש</t>
  </si>
  <si>
    <t>CGD</t>
  </si>
  <si>
    <t>יולי 2019</t>
  </si>
  <si>
    <t>איציק</t>
  </si>
  <si>
    <t>0528249163</t>
  </si>
  <si>
    <t>תאיר</t>
  </si>
  <si>
    <t>0549192423</t>
  </si>
  <si>
    <t>ארי דמארי</t>
  </si>
  <si>
    <t xml:space="preserve">חזרו לארץ מטיפול באיטליה, חוזרים בשבוע הבא לביקורת </t>
  </si>
  <si>
    <t>עדיין אין</t>
  </si>
  <si>
    <t>עינב</t>
  </si>
  <si>
    <t>סרטן חוזר, יעדכנו על חונכות</t>
  </si>
  <si>
    <t>חזרו לארץ אחרי טיפולים באיטליה, שבוע הבא חוזרים לשם לביקורת, נמצאים בינתיים בבית. ימי כיף פחות רלוונטים כרגע אבל ישמחו לצאת לטיול הבא שלנו</t>
  </si>
  <si>
    <t>עמית יחזקיה</t>
  </si>
  <si>
    <t>24.11.2024</t>
  </si>
  <si>
    <t>פברואר</t>
  </si>
  <si>
    <t>לימפומה ברקין</t>
  </si>
  <si>
    <t>18.9.2023</t>
  </si>
  <si>
    <t>עמית יחזקיה בת 3 מפתח תקווה. אוהבת לשחק בכל מה שאפשר. בדיוק סיימה טיפולים. יש בבית חדר משחקים שאפשר לשחק בו.</t>
  </si>
  <si>
    <t>האבא לא ענה אין מספר של האמא</t>
  </si>
  <si>
    <t>נעה ברקן</t>
  </si>
  <si>
    <t>נתן יונתן 21</t>
  </si>
  <si>
    <t>שניידר(עוד מעט תעבור ללוינשטיין)</t>
  </si>
  <si>
    <t>על כיסא גלגלים</t>
  </si>
  <si>
    <t>PNP</t>
  </si>
  <si>
    <t>אביבית</t>
  </si>
  <si>
    <t>אביבית בלקן</t>
  </si>
  <si>
    <t>תשמח לפעילויות גם לאח של נעה וגם לטיולים עם נעה וזמן איכות</t>
  </si>
  <si>
    <t>נועה ברקן בת 9 מראש העין. סיימה טיפולים. ממש אוהבת לטייל, על כיסא גלגלים כך שצריך לטייל איתה באיזור שלהם. מדברת מעט מאוד, צריך מישהי שמבינה שהיא קצת פחות תקשורתית. מישהי שתפגין הרבה חום ואהבה</t>
  </si>
  <si>
    <t>מעקבים, חוזרים לשיקום בבית לוינשטיין, מחכים לתאריך</t>
  </si>
  <si>
    <t>אסתר דהאן</t>
  </si>
  <si>
    <t>23.9.2024</t>
  </si>
  <si>
    <t>אימרי חיים 2</t>
  </si>
  <si>
    <t>סיימו טיפולים, אחזקה עם כדורים</t>
  </si>
  <si>
    <t>חצי שנה התחילן לפני חודשיים</t>
  </si>
  <si>
    <t>7.7.2024</t>
  </si>
  <si>
    <t>רותם דהאן</t>
  </si>
  <si>
    <t>מדי פעם ימי כיף ושיבואו לשחק עם אסתר</t>
  </si>
  <si>
    <t>לאח של אסתר יש יומולדת 15 עוד חודשיים תשמח למשהו</t>
  </si>
  <si>
    <t>ניר רפאל חדד</t>
  </si>
  <si>
    <t xml:space="preserve">ניקנור 39 דירה 6 </t>
  </si>
  <si>
    <t>שערי צדק + שניידר</t>
  </si>
  <si>
    <t>לאחר נוירובלסטומה, אובחן השנה עם קרצינומה (גידול בבלוטת התריס)</t>
  </si>
  <si>
    <t>אפריל 2026</t>
  </si>
  <si>
    <t xml:space="preserve"> thyroid neoplasm, highly suspicious for papillary thyroid carcinoma</t>
  </si>
  <si>
    <t>18.12.25 + 3.2.19</t>
  </si>
  <si>
    <t>0528693166</t>
  </si>
  <si>
    <t>0524760417</t>
  </si>
  <si>
    <t>רק להגיד תודה:)</t>
  </si>
  <si>
    <t>פאר פריאוף</t>
  </si>
  <si>
    <t xml:space="preserve">סיים טיפולים </t>
  </si>
  <si>
    <t>BALL לוקמיה</t>
  </si>
  <si>
    <t>איתמר</t>
  </si>
  <si>
    <t>שושנה</t>
  </si>
  <si>
    <t>עזרה בסיוע לקחת ולהחזיר ילדים מהבית ספר בזמן שההורים עם פאר בטיפולים</t>
  </si>
  <si>
    <t>פאר פריאוף בן 2.5 מרמלה. נמצא בתקופה קצת יותר קשוחה ועצבנית בגלל סטרואידים, עוד כמה ימים מפסיקים את המינון וזה יסתדר. אוהב ג'ימבורי וקפיצות ולהוציא אנרגיות.
 יש לו שלוש אחיות, אחת בכיתה ג, אחת בא', ואחת בת שנה. לא צריכים הרבה רק להיות איתם, והם הכי חמודים בעולם, לעשות שיעורי בית עם הבנות לפעמים ולבקר בבית.</t>
  </si>
  <si>
    <t>אילה כהן</t>
  </si>
  <si>
    <t xml:space="preserve">הילד החלים וחזר למסגרות </t>
  </si>
  <si>
    <t>ליה דביר</t>
  </si>
  <si>
    <t>כרמל 5 דירה 27</t>
  </si>
  <si>
    <t>5.5.2024</t>
  </si>
  <si>
    <t>הילדה מצאת באחזקה, חזרה למסגרות ותשמח לצאת ליום כיף</t>
  </si>
  <si>
    <t>26/11/2025</t>
  </si>
  <si>
    <t>תאלא אלעג'ו</t>
  </si>
  <si>
    <t>יחזקאל 17</t>
  </si>
  <si>
    <t>0504466287</t>
  </si>
  <si>
    <t>תל השומר שיבא</t>
  </si>
  <si>
    <t xml:space="preserve">עד אוגוסט 26 </t>
  </si>
  <si>
    <t>18 /8/2024</t>
  </si>
  <si>
    <t>אחמד</t>
  </si>
  <si>
    <t>0524544496</t>
  </si>
  <si>
    <t>סמר</t>
  </si>
  <si>
    <t>0525144425</t>
  </si>
  <si>
    <t xml:space="preserve">נויה בלוקה </t>
  </si>
  <si>
    <t>צמח השדה 68/6</t>
  </si>
  <si>
    <t xml:space="preserve">מעלה אדומים </t>
  </si>
  <si>
    <t>11/08/2024</t>
  </si>
  <si>
    <t>פרץ</t>
  </si>
  <si>
    <t>0506684648</t>
  </si>
  <si>
    <t>0526778792</t>
  </si>
  <si>
    <t>תודה !!♥️</t>
  </si>
  <si>
    <t>רחלי אבקסיס</t>
  </si>
  <si>
    <t>23/03/2022</t>
  </si>
  <si>
    <t>דוד רמז</t>
  </si>
  <si>
    <t>במעקבים בתל השומר, מחכים להחליט אם ללכת להשתלה</t>
  </si>
  <si>
    <t>אונכולוגי</t>
  </si>
  <si>
    <t>חיה</t>
  </si>
  <si>
    <t>שיעדכנו אם יש פעילויות</t>
  </si>
  <si>
    <t>עמית קדוש</t>
  </si>
  <si>
    <t>2.9.2024</t>
  </si>
  <si>
    <t>בית שאן</t>
  </si>
  <si>
    <t>החלים</t>
  </si>
  <si>
    <t>לא כי תינוק</t>
  </si>
  <si>
    <t>סביבות יולי</t>
  </si>
  <si>
    <t>יהב</t>
  </si>
  <si>
    <t>לעמית יש אחות בת 5 אופיר אוהבת נסיכות וליידי באג תחפושות ופאזלים</t>
  </si>
  <si>
    <t xml:space="preserve">אופיר בת 6 מבית שאן. אחות לעמית בן שנתיים חולה סרטן. אוהבת גני משחקים, פאזלים, נסיכות, תחפושות. </t>
  </si>
  <si>
    <t>הילד החלים והאמא תשמח שהאחות תגיע לימי כיף</t>
  </si>
  <si>
    <t>ארי דמרי</t>
  </si>
  <si>
    <t>30/12/2021</t>
  </si>
  <si>
    <t>אריה בן אליעזר 9/32</t>
  </si>
  <si>
    <t>טיפולים חזר פעם שניה</t>
  </si>
  <si>
    <t>ניורובלסטומה</t>
  </si>
  <si>
    <t>חזרו מטיפולים באיטליה וצריכים לחזור לשם עוד שבוע לביקורת</t>
  </si>
  <si>
    <t>קמילה גורלטנקו</t>
  </si>
  <si>
    <t>בת ים</t>
  </si>
  <si>
    <t>עדיין לא באחזקה - טיפולים אינטנסיביים</t>
  </si>
  <si>
    <t>ספטמבר מתחילים אחזקה דצמבר 25 אמורים לסיים לפי בדיקות</t>
  </si>
  <si>
    <t>לא - גננת מגיעה פעם בשבוע הביתה</t>
  </si>
  <si>
    <t>לקומיה DLL</t>
  </si>
  <si>
    <t>ויקטור</t>
  </si>
  <si>
    <t>אנגלה</t>
  </si>
  <si>
    <t>מתנדב דובר רוסית בלבד 
 חונכות רק אם יש דובר רוסית 
 לארגן לה יומולדת רוצה בית של ברבי תמונה אצל אילה</t>
  </si>
  <si>
    <t>מספר לא מחובר</t>
  </si>
  <si>
    <t>סרטן לימפומה אוצקין</t>
  </si>
  <si>
    <t>30/04/2026</t>
  </si>
  <si>
    <t>לימפומה אוצקין</t>
  </si>
  <si>
    <t>27/04/2025</t>
  </si>
  <si>
    <t xml:space="preserve">חד הורית </t>
  </si>
  <si>
    <t>0559747436</t>
  </si>
  <si>
    <t xml:space="preserve">ילד שעובר טראומה , נשמח להצטרף לחופשה בדובאי או נופש בארץ </t>
  </si>
  <si>
    <t xml:space="preserve">ניתקה לי 16/11 </t>
  </si>
  <si>
    <t xml:space="preserve">אביאל מירוב </t>
  </si>
  <si>
    <t>זרועה</t>
  </si>
  <si>
    <t>טיפול אחזקתי</t>
  </si>
  <si>
    <t xml:space="preserve">לפני פחות משנה </t>
  </si>
  <si>
    <t>כן בגן החלומות בבש</t>
  </si>
  <si>
    <t>יגאל</t>
  </si>
  <si>
    <t>0545857292</t>
  </si>
  <si>
    <t>מזי מירוב</t>
  </si>
  <si>
    <t>0502811802</t>
  </si>
  <si>
    <t>לעזור לנו לשמח את הילד , במהלך כל הטיפולים לא קיבלנו שום טיולים או מתנות לילד</t>
  </si>
  <si>
    <t>עדיין באחזקה אבל מרגיש טוב תודה לאל, ישמחו לצאת לימי כיף</t>
  </si>
  <si>
    <t>עתי ביטון</t>
  </si>
  <si>
    <t>הזית 5</t>
  </si>
  <si>
    <t>מרץ 2025</t>
  </si>
  <si>
    <t>0524427955</t>
  </si>
  <si>
    <t>0526858581</t>
  </si>
  <si>
    <t>נמצא במעקבים, לא מעוניינים בחונכות</t>
  </si>
  <si>
    <t>שי לי</t>
  </si>
  <si>
    <t>הזמיר</t>
  </si>
  <si>
    <t>חולת לוקמיה ALLB מטופלת בכימו</t>
  </si>
  <si>
    <t>ALLB לוקמיה</t>
  </si>
  <si>
    <t>14.04.2025</t>
  </si>
  <si>
    <t>0527273302</t>
  </si>
  <si>
    <t>דורין</t>
  </si>
  <si>
    <t>0503336579</t>
  </si>
  <si>
    <t xml:space="preserve">פחות רלוונטי להם כרגע חונכות </t>
  </si>
  <si>
    <t>מוריה סרור</t>
  </si>
  <si>
    <t>טיפולים - חזר בפעם השניה</t>
  </si>
  <si>
    <t>מדובלסטומה</t>
  </si>
  <si>
    <t>שירי</t>
  </si>
  <si>
    <t>בטיפולים, כרגע נמצאים בבית</t>
  </si>
  <si>
    <t xml:space="preserve">ירקוני ינאי </t>
  </si>
  <si>
    <t>דרך אבא הילל 39 דירה 10</t>
  </si>
  <si>
    <t xml:space="preserve">רמת גן </t>
  </si>
  <si>
    <t>0524242973</t>
  </si>
  <si>
    <t xml:space="preserve">דנה איכילוב </t>
  </si>
  <si>
    <t>סדרת טיפולים, בין אישפוזים לבין קצת בית</t>
  </si>
  <si>
    <t xml:space="preserve">עד שנה של טיפולים </t>
  </si>
  <si>
    <t>לוקמיה מסוג ALL</t>
  </si>
  <si>
    <t>13/7/2025</t>
  </si>
  <si>
    <t>הראל</t>
  </si>
  <si>
    <t>0543482888</t>
  </si>
  <si>
    <t>אדוה</t>
  </si>
  <si>
    <t xml:space="preserve">מבקשים לקבל עדכונים על פנאי אירועים שניתן להשתתף בהם בתקופת המחלה ובהמשך בתקופת ההחלמה </t>
  </si>
  <si>
    <t xml:space="preserve">הילד באשפוזים בטיפולים ויוצא מדי פעם לבית , לא מעוניינים כרגע בחונכות </t>
  </si>
  <si>
    <t>נריה אזור מודיעין</t>
  </si>
  <si>
    <t>סיימו כימו ועכשיו צריכים להתחיל עם כדורים, פעם בשבוע צריכים לעשות בדיקת דם</t>
  </si>
  <si>
    <t>18.2.25</t>
  </si>
  <si>
    <t>הילדה עדיין בטיפולים לא חזרה למסגרות, לא ממש רלוונטי ימי כיף אבל יחשבו על חונכות אם זה מתאים להם
לא ענתה</t>
  </si>
  <si>
    <t>לני יוסף דבש</t>
  </si>
  <si>
    <t>14/4/2024</t>
  </si>
  <si>
    <t>דווייט אייזנהאואר 3</t>
  </si>
  <si>
    <t xml:space="preserve">באחזקה </t>
  </si>
  <si>
    <t>ארז אביב</t>
  </si>
  <si>
    <t>רק להגיד תודה! אין עליכם בעולם</t>
  </si>
  <si>
    <t>לני יוסף דבש בן 4 מנתניה. בדיוק סיים טיפולים בשניידר. אוהב ממש קוגומלו, יחידת החילוץ, את הטאבלט שלו. משחקים מגניבים.</t>
  </si>
  <si>
    <t>הילד נמצא באחזקה, מרגיש טוב חזר למסגרות וישמח ממש לצאת לימי כיף</t>
  </si>
  <si>
    <t>31/08/2025</t>
  </si>
  <si>
    <t>חירות ברוכין</t>
  </si>
  <si>
    <t>קיבוץ</t>
  </si>
  <si>
    <t>שדה אליהו</t>
  </si>
  <si>
    <t xml:space="preserve">אין צפי כרגע </t>
  </si>
  <si>
    <t>נירובלסטומה</t>
  </si>
  <si>
    <t>ניצן</t>
  </si>
  <si>
    <t>פעילויות וימי כיף</t>
  </si>
  <si>
    <t>21/7/2025</t>
  </si>
  <si>
    <t>שליו עובדיה</t>
  </si>
  <si>
    <t>ינואר</t>
  </si>
  <si>
    <t>1.8.2022</t>
  </si>
  <si>
    <t xml:space="preserve">אתי </t>
  </si>
  <si>
    <t>שליו עובדיה בן 4 מרחובות. אוהב לשחק בגן שעשועים ובבית, כדורגל, משחקי קופסא וספרים. זורם על הכל, מתחבר לאנשים בקלות. סיימו טיפולים בינואר, נמצאים בביקורות די אינטנסיביות בתל השומר.</t>
  </si>
  <si>
    <t>ריי נומברג</t>
  </si>
  <si>
    <t xml:space="preserve">המייסדים 13 </t>
  </si>
  <si>
    <t>בית עוזיאל</t>
  </si>
  <si>
    <t>דנה</t>
  </si>
  <si>
    <t>גן</t>
  </si>
  <si>
    <t>אופטיק גליומה דו״צ</t>
  </si>
  <si>
    <t>0544443193</t>
  </si>
  <si>
    <t>0544808152</t>
  </si>
  <si>
    <t>אביגיל כהן</t>
  </si>
  <si>
    <t>הירדן</t>
  </si>
  <si>
    <t>י"ב</t>
  </si>
  <si>
    <t>28/07/2024</t>
  </si>
  <si>
    <t>0506876304</t>
  </si>
  <si>
    <t>דניאלה</t>
  </si>
  <si>
    <t>0525856865</t>
  </si>
  <si>
    <t>ליאו אלפנדרי</t>
  </si>
  <si>
    <t>ההדרים 12</t>
  </si>
  <si>
    <t>כפר נטר</t>
  </si>
  <si>
    <t>סרקומה סטריפור מטופל  טיפול אקטיבי - עוד 4 סבבים</t>
  </si>
  <si>
    <t>כרגע אין צפי</t>
  </si>
  <si>
    <t>יישמחו להתעדכן בהכל ממש זורמים</t>
  </si>
  <si>
    <t>בטיפולים נשארו לו עוד ארבעה סבבים, נמצאים באשפוז יום ישמחו מאוד לביקור במחלקה</t>
  </si>
  <si>
    <t>16/7/2025</t>
  </si>
  <si>
    <t>שירה קרואני</t>
  </si>
  <si>
    <t>דוד אלעזר 2</t>
  </si>
  <si>
    <t xml:space="preserve">לוקמיה,טיפולים </t>
  </si>
  <si>
    <t>נובמבר 25</t>
  </si>
  <si>
    <t>0522787346</t>
  </si>
  <si>
    <t>0505327110</t>
  </si>
  <si>
    <t>רק להגיד תודה</t>
  </si>
  <si>
    <t>לא ענתה 18/11</t>
  </si>
  <si>
    <t>יסכה חיה מהלל</t>
  </si>
  <si>
    <t xml:space="preserve">מונטיפיורי 49 </t>
  </si>
  <si>
    <t>סוף סבב חמישי של כימו</t>
  </si>
  <si>
    <t>08/2025</t>
  </si>
  <si>
    <t>12/2024</t>
  </si>
  <si>
    <t>0508344350</t>
  </si>
  <si>
    <t>0506623352</t>
  </si>
  <si>
    <t>לקבל פרטים אודות פעילויות שלכם</t>
  </si>
  <si>
    <t>אנאל כחלון</t>
  </si>
  <si>
    <t>אהבת אדם 30</t>
  </si>
  <si>
    <t>טיפול עם כדורים של כימותרפיה ביתיים</t>
  </si>
  <si>
    <t>שנה וחצי</t>
  </si>
  <si>
    <t>מאי</t>
  </si>
  <si>
    <t>אלירן כחלון</t>
  </si>
  <si>
    <t>לינוי כחלון</t>
  </si>
  <si>
    <t>לשמח לדעת על ימי כיף אטרקציות של מים.</t>
  </si>
  <si>
    <t>עומרי בכר</t>
  </si>
  <si>
    <t>רחובות הנהר</t>
  </si>
  <si>
    <t>מחלה כרונית לימפומה של העור</t>
  </si>
  <si>
    <t>אין פרוטוקול מסודר</t>
  </si>
  <si>
    <t>לימפומה של העור</t>
  </si>
  <si>
    <t>4.2.24</t>
  </si>
  <si>
    <t>0525314666</t>
  </si>
  <si>
    <t>0533345374</t>
  </si>
  <si>
    <t>מעיין חיים ארונסון</t>
  </si>
  <si>
    <t>בארות יצחק</t>
  </si>
  <si>
    <t>כל כמה חודשים נוסעים לטיפול אחזקתי בארצות הברית, שנה מסיום טיפולים, ימי כיף!!</t>
  </si>
  <si>
    <t>יאיר</t>
  </si>
  <si>
    <t>מיכל שוויצר</t>
  </si>
  <si>
    <t>16/9/2023</t>
  </si>
  <si>
    <t>החושן 19 נוף איילון</t>
  </si>
  <si>
    <t>נוף איילון</t>
  </si>
  <si>
    <t>שיקום</t>
  </si>
  <si>
    <t>לפני שנה ושבעה חודשים</t>
  </si>
  <si>
    <t>אחרי שני השתלות מח עצם בתהליך של שיקום
 בעיקר עזרה עם הילדים ובשביל מיכל
 וימי כיף</t>
  </si>
  <si>
    <t>רננה קלזן</t>
  </si>
  <si>
    <t>רינה ניקובה 13 ירושלים</t>
  </si>
  <si>
    <t>0523660461</t>
  </si>
  <si>
    <t>סיימתי טיפולים כרגע בשיקום בהר הצופים</t>
  </si>
  <si>
    <t>יואינג סרקומה בסקפולה ימין</t>
  </si>
  <si>
    <t>יונתן קלזן</t>
  </si>
  <si>
    <t>0544491331</t>
  </si>
  <si>
    <t>ביאן נאסר</t>
  </si>
  <si>
    <t>מגד אלכורום</t>
  </si>
  <si>
    <t>לוקימיה</t>
  </si>
  <si>
    <t>נאפז</t>
  </si>
  <si>
    <t>ספיה</t>
  </si>
  <si>
    <t>כרמל אזולאי</t>
  </si>
  <si>
    <t>24/12/2021</t>
  </si>
  <si>
    <t>הדס 37</t>
  </si>
  <si>
    <t>סרקומה בכבד</t>
  </si>
  <si>
    <t>זאק</t>
  </si>
  <si>
    <t>איריס</t>
  </si>
  <si>
    <t>בן זוארי</t>
  </si>
  <si>
    <t>בדולח 4/3</t>
  </si>
  <si>
    <t>מודעין מכבים רעות</t>
  </si>
  <si>
    <t>סיים כימו, לוקח כדורים ביולוגיים</t>
  </si>
  <si>
    <t>ניורו ציטומה</t>
  </si>
  <si>
    <t>אוריה רבקה דהן</t>
  </si>
  <si>
    <t>מבצע חורב 14</t>
  </si>
  <si>
    <t>סיימה טיפולים- רוצים להשאר מעודכנים</t>
  </si>
  <si>
    <t>לא כרגע</t>
  </si>
  <si>
    <t>טלי</t>
  </si>
  <si>
    <t>שילת ביתן</t>
  </si>
  <si>
    <t>מושב ברכיה אל אפיקי מים 116</t>
  </si>
  <si>
    <t>מושב ברכיה</t>
  </si>
  <si>
    <t>0537010288</t>
  </si>
  <si>
    <t>סיימתי</t>
  </si>
  <si>
    <t>לימפומה הודג׳קין</t>
  </si>
  <si>
    <t>סיגלית ביתן</t>
  </si>
  <si>
    <t>0524842342</t>
  </si>
  <si>
    <t>שרה ג'וליה זרמטי</t>
  </si>
  <si>
    <t xml:space="preserve">עינים למשפט 28, מזכרת משה, ירושלים. </t>
  </si>
  <si>
    <t>0587060630</t>
  </si>
  <si>
    <t>בטיפולי כימו אקטיביים (4/12)</t>
  </si>
  <si>
    <t xml:space="preserve">אסתר </t>
  </si>
  <si>
    <t>0549260513</t>
  </si>
  <si>
    <t>שראל אמקייס</t>
  </si>
  <si>
    <t>16/07/2021</t>
  </si>
  <si>
    <t>צבעוני 5</t>
  </si>
  <si>
    <t>עושה טיפול ניסיוני עם כדורים, מנסים למצוא טיפול מתאים</t>
  </si>
  <si>
    <t>יצחק</t>
  </si>
  <si>
    <t>ירדן זגורי</t>
  </si>
  <si>
    <t xml:space="preserve">גן העצמאות 15,קריית מוצקין </t>
  </si>
  <si>
    <t>קריית מוצקין</t>
  </si>
  <si>
    <t>0545866506</t>
  </si>
  <si>
    <t>לימפומה הודגקינס</t>
  </si>
  <si>
    <t>אתי זגורי</t>
  </si>
  <si>
    <t>0528032194</t>
  </si>
  <si>
    <t>שובל לוי</t>
  </si>
  <si>
    <t>21/02/2022</t>
  </si>
  <si>
    <t>בטיפולי אחזקה, מנסה להתחיל לעבוד, עדיין חלשה . ישמחו להיות מעודכנים</t>
  </si>
  <si>
    <t>חני</t>
  </si>
  <si>
    <t>עידית</t>
  </si>
  <si>
    <t>רומי שוהם</t>
  </si>
  <si>
    <t>22/07/2021</t>
  </si>
  <si>
    <t>אירוסים 18/9</t>
  </si>
  <si>
    <t>ערד</t>
  </si>
  <si>
    <t>סיימה טיפולים, התחילה לימודים במכללה.</t>
  </si>
  <si>
    <t>לומדת במכללה</t>
  </si>
  <si>
    <t>קלאודיה</t>
  </si>
  <si>
    <t>יאיר קקון</t>
  </si>
  <si>
    <t>ברקת 68 ספסופה</t>
  </si>
  <si>
    <t>ספסופה</t>
  </si>
  <si>
    <t>0525525388</t>
  </si>
  <si>
    <t>עמת</t>
  </si>
  <si>
    <t>0522369191</t>
  </si>
  <si>
    <t>דביר דהאן</t>
  </si>
  <si>
    <t>אבן שמואל, הרחבה, 1061</t>
  </si>
  <si>
    <t>אבן שמואל</t>
  </si>
  <si>
    <t>סיים טיפולים, רוצים להשאר מעודכנים</t>
  </si>
  <si>
    <t>לימפומה הודצ'קין</t>
  </si>
  <si>
    <t>איילת</t>
  </si>
  <si>
    <t>יהונתן יוסף יגן</t>
  </si>
  <si>
    <t>הולצברג שמחה 22/6 ירושלים</t>
  </si>
  <si>
    <t>נון הוגקי'ן ליפומה</t>
  </si>
  <si>
    <t>רחל יגן</t>
  </si>
  <si>
    <t>0506272224</t>
  </si>
  <si>
    <t>אמא שלי עכשיו חולה בסרטן ריאות אשמח באמת להישאר ולעזור לכולם גם מבחינת ביטוח לאומי וזכויות וגם מישהו שבאת מבין ויודע ללות</t>
  </si>
  <si>
    <t>ידידיה סמוכה</t>
  </si>
  <si>
    <t>הרצל 11 3</t>
  </si>
  <si>
    <t>טירת כרמל</t>
  </si>
  <si>
    <t xml:space="preserve">בטיפולים </t>
  </si>
  <si>
    <t>15.1.23</t>
  </si>
  <si>
    <t>שגיא</t>
  </si>
  <si>
    <t>0525333858</t>
  </si>
  <si>
    <t>0523962014</t>
  </si>
  <si>
    <t>עדיין בטיפולים כרגע ביתיים מסתדדרים</t>
  </si>
  <si>
    <t>יהונתן אדוגניה</t>
  </si>
  <si>
    <t>31/05/2021</t>
  </si>
  <si>
    <t>ירמיהו 23</t>
  </si>
  <si>
    <t>סיים טיפולים, לא חזר למסגרת, רוצים להשאר מעודכנים</t>
  </si>
  <si>
    <t>יאונג סארקומה</t>
  </si>
  <si>
    <t>גזהגן</t>
  </si>
  <si>
    <t>יעלם</t>
  </si>
  <si>
    <t>דויד גורל</t>
  </si>
  <si>
    <t>מרשוב 4 ב' רחובות</t>
  </si>
  <si>
    <t>בלינסון</t>
  </si>
  <si>
    <t>לימפומה של תאי בי מוגדלים במוח</t>
  </si>
  <si>
    <t>נחמיה גורל</t>
  </si>
  <si>
    <t>מיטל גורל</t>
  </si>
  <si>
    <t>תמיר צרפתי</t>
  </si>
  <si>
    <t>19/10/2021</t>
  </si>
  <si>
    <t>הציונות 125 על 1</t>
  </si>
  <si>
    <t>משה</t>
  </si>
  <si>
    <t>אירנה</t>
  </si>
  <si>
    <t>21/07/2025</t>
  </si>
  <si>
    <t>נעה איבגי</t>
  </si>
  <si>
    <t>בר יהודה 2</t>
  </si>
  <si>
    <t>קריית מלאכי</t>
  </si>
  <si>
    <t xml:space="preserve">טיפולי כימו בארה״ב </t>
  </si>
  <si>
    <t>אין פרוטוקול</t>
  </si>
  <si>
    <t>נוירו בלסטומה</t>
  </si>
  <si>
    <t>נועה איבגי, בת שנתיים וחצי מקריית מלאכי. מטופלת בתל השומר. ילדה שמחה ומפולפלת. אוהבת אטרקציות עם מים, חול קינטי, גואש, דברים מלכלכים.</t>
  </si>
  <si>
    <t>נועם מלכה</t>
  </si>
  <si>
    <t>הפטל 52 יבנה</t>
  </si>
  <si>
    <t>סיימה טיפולים, לא חזרה למסגרת, רוצים להשאר מעדוכנים</t>
  </si>
  <si>
    <t>פאני</t>
  </si>
  <si>
    <t>אריאל עזרא</t>
  </si>
  <si>
    <t xml:space="preserve">אחזקה </t>
  </si>
  <si>
    <t>אוקטובר - נובמבר</t>
  </si>
  <si>
    <t>דוריאן</t>
  </si>
  <si>
    <t>נויה</t>
  </si>
  <si>
    <t>אריאל בחופשת לידה ובעלה לא עובד בגלל המצב
 כל סיוע כלכלי</t>
  </si>
  <si>
    <t>אריאל עזרא בת 3.5 מבית שאן. מטופלת בשניידר, נשאר אשפוז אחרון (נכון ל2.9). אוהבת לצייר,לשחק בבובות. קשר מעולה עם אנשים, סופר אנרגטית עם שמחת חיים מטורפת. כובשת כל מי שבנוכחותה.</t>
  </si>
  <si>
    <t xml:space="preserve">ריאל ורדי </t>
  </si>
  <si>
    <t>רח' הרקפת 17, קריית מנחם עיר גנים, ירושלים</t>
  </si>
  <si>
    <t>0536557223</t>
  </si>
  <si>
    <t>אחרי השתלת מח עצם מתורם. מטופלת בתרופות לgvhd כתוצאה מהשתל.</t>
  </si>
  <si>
    <t xml:space="preserve">T-ALL </t>
  </si>
  <si>
    <t xml:space="preserve">רינת ורדי </t>
  </si>
  <si>
    <t>0536557221</t>
  </si>
  <si>
    <t>הודיה מרציאנו</t>
  </si>
  <si>
    <r>
      <rPr>
        <rFont val="Arial"/>
        <color rgb="FF000000"/>
        <sz val="12.0"/>
      </rPr>
      <t>2</t>
    </r>
    <r>
      <rPr>
        <rFont val="Arial"/>
        <color rgb="FF000000"/>
        <sz val="12.0"/>
      </rPr>
      <t>.9</t>
    </r>
    <r>
      <rPr>
        <rFont val="Arial"/>
        <color rgb="FF000000"/>
        <sz val="12.0"/>
      </rPr>
      <t>.2024</t>
    </r>
  </si>
  <si>
    <t xml:space="preserve">טיפולי אחזקה </t>
  </si>
  <si>
    <t>4 חודשים</t>
  </si>
  <si>
    <t>בגן חלקית בגלל המערכ החיסונית</t>
  </si>
  <si>
    <t>דצמבר שנה שעברה</t>
  </si>
  <si>
    <t xml:space="preserve">יהודה </t>
  </si>
  <si>
    <t xml:space="preserve">הודיה בת 3 מאשקלון. מטופלת בשניידר, אמורה לסיים טיפולים בעוד ארבעה חודשים. אוהבת הכל אבל המצב רוח מאוד משתנה לפי הטיפולים. צריך מישהו קבוע כדי לרכוש את האמון שלה. נמצאת לרוב בבידודים בזמן האישפוז. יצאה לפני כחודש מטיפול נמרץ. </t>
  </si>
  <si>
    <t>הילדה נמצאת באחזקה עדיין עושה טיפולים, חזרה באופן חלקי למסגרות  האמא תשמח לימי כיף או לביקור במחלקה הוספתי אותה לקבוצה</t>
  </si>
  <si>
    <t>אורי כהן</t>
  </si>
  <si>
    <t xml:space="preserve">הרב מוהליבר </t>
  </si>
  <si>
    <t>Msk</t>
  </si>
  <si>
    <t>בטיפול משמר בניו יורק גרים בישראל</t>
  </si>
  <si>
    <t xml:space="preserve">שנה וחצי </t>
  </si>
  <si>
    <t xml:space="preserve">נוירובלסטומה </t>
  </si>
  <si>
    <t>22/05/23</t>
  </si>
  <si>
    <t>רון</t>
  </si>
  <si>
    <t>0542828882</t>
  </si>
  <si>
    <t>0504888958</t>
  </si>
  <si>
    <t>נמצאים בין טיפולים, טסים בקרוב לניו יורק שוב לביקורת. לא צריכים כרגע כלום</t>
  </si>
  <si>
    <t>21/08/2024</t>
  </si>
  <si>
    <t>יאיר יהודה</t>
  </si>
  <si>
    <t>29/12/2022</t>
  </si>
  <si>
    <t>האלה 59</t>
  </si>
  <si>
    <t>מושב בית עזרא</t>
  </si>
  <si>
    <t>הפטו בלסטומה</t>
  </si>
  <si>
    <t>28\12\2022</t>
  </si>
  <si>
    <t>לירן</t>
  </si>
  <si>
    <t>אם יש אפשרות לנופש משפחתי אילת או משהו נשמח</t>
  </si>
  <si>
    <t>יאיר יהודה בן 4 ממושב בית עזרא. סיים טיפולים. אוהב משחקי קופסא (זיכרון, מגנטים). לטייל, גן שעשועים, ממש אוהב כדורגל. בעיקר צריך תשומת לב, לשחק איתו להיות איתו. יהנה מהכל</t>
  </si>
  <si>
    <t>אילה בוכריס</t>
  </si>
  <si>
    <t>האדמור מבלז 33 אשדוד</t>
  </si>
  <si>
    <t>עברתי השתלת מח עצם עצמית ב30 בינואר</t>
  </si>
  <si>
    <t>הושקין לימפומה</t>
  </si>
  <si>
    <t>0527184696</t>
  </si>
  <si>
    <t>שגב לדאני</t>
  </si>
  <si>
    <t>האורן 8</t>
  </si>
  <si>
    <t>טיפול פעיל</t>
  </si>
  <si>
    <t>חצי שנה- 8 חודשים</t>
  </si>
  <si>
    <t>B-ALL</t>
  </si>
  <si>
    <t>28.9.25</t>
  </si>
  <si>
    <t>נריה</t>
  </si>
  <si>
    <t>0508776500</t>
  </si>
  <si>
    <t>תהלה</t>
  </si>
  <si>
    <t>0546540711</t>
  </si>
  <si>
    <t>תודה!</t>
  </si>
  <si>
    <t>הילה הרוש</t>
  </si>
  <si>
    <t>הכלנית 1 אור יהודה קומה 3 דירה 6</t>
  </si>
  <si>
    <t>סיימה טיפולים, חזרה חלקית למסגרת.</t>
  </si>
  <si>
    <t>Germcell</t>
  </si>
  <si>
    <t>הרוש יוסי</t>
  </si>
  <si>
    <t>הרוש חיה</t>
  </si>
  <si>
    <t>מילן קבטני</t>
  </si>
  <si>
    <t>סחלב 2, לוד</t>
  </si>
  <si>
    <t>0538317612</t>
  </si>
  <si>
    <t>סיימתי טיפולים, מחכה לפט סיטי</t>
  </si>
  <si>
    <t>גלב קבטני</t>
  </si>
  <si>
    <t>0523380399</t>
  </si>
  <si>
    <t>איתי רפאל גמליאל</t>
  </si>
  <si>
    <t>23/01/2022</t>
  </si>
  <si>
    <t>תל אביב 20</t>
  </si>
  <si>
    <t>28/10/2025</t>
  </si>
  <si>
    <t xml:space="preserve">ליהי בנזימן </t>
  </si>
  <si>
    <t>בדיוק השבוע חוגגת 5</t>
  </si>
  <si>
    <t xml:space="preserve">יחזקאל קוטשר </t>
  </si>
  <si>
    <t>באחזקה מלוקמיה ALL</t>
  </si>
  <si>
    <t>לפני שנה,אבל באחזקה</t>
  </si>
  <si>
    <t>23.01.23</t>
  </si>
  <si>
    <t xml:space="preserve">אלי </t>
  </si>
  <si>
    <t>0559766384</t>
  </si>
  <si>
    <t>0534452171</t>
  </si>
  <si>
    <t>הלל חדד</t>
  </si>
  <si>
    <t>קיבוץ כרמים</t>
  </si>
  <si>
    <t>אמורה לסיים טיפול עוד חודש, חזרה למסגרת.</t>
  </si>
  <si>
    <t>רביד פנקר</t>
  </si>
  <si>
    <t>הסופר 4</t>
  </si>
  <si>
    <t xml:space="preserve">058-5555609 </t>
  </si>
  <si>
    <t>מחלים</t>
  </si>
  <si>
    <t>19.12.24</t>
  </si>
  <si>
    <t xml:space="preserve">לימפומה הודג'קין </t>
  </si>
  <si>
    <t>19.9.24</t>
  </si>
  <si>
    <t>ריימונד</t>
  </si>
  <si>
    <t>0587577317</t>
  </si>
  <si>
    <t>רקפת</t>
  </si>
  <si>
    <t>0507577317</t>
  </si>
  <si>
    <t>יאיר טלקר</t>
  </si>
  <si>
    <t>19/07/2021</t>
  </si>
  <si>
    <t>אלול 5 דירה 24</t>
  </si>
  <si>
    <t>סיים טיפולים, משלים בגרויות בבית, רוצים להשאר מעודכנים.</t>
  </si>
  <si>
    <t>משלים בגרויות בבית</t>
  </si>
  <si>
    <t>עילאי סויד</t>
  </si>
  <si>
    <t>14/07/2022</t>
  </si>
  <si>
    <t>שלום עליכם 32א דירה 5</t>
  </si>
  <si>
    <t>קרית אתא</t>
  </si>
  <si>
    <t>במעקבים אחת לחודש, מנסה לחזור לשגרה</t>
  </si>
  <si>
    <t>אוגוסט25</t>
  </si>
  <si>
    <t>חזר חלקית</t>
  </si>
  <si>
    <t>נתן</t>
  </si>
  <si>
    <t>סיגל</t>
  </si>
  <si>
    <t>רוני המבורגר</t>
  </si>
  <si>
    <t>עתלית- נחל ברקן 15א׳</t>
  </si>
  <si>
    <t xml:space="preserve">ביולוגי </t>
  </si>
  <si>
    <t xml:space="preserve">לימפומה הודג׳קין </t>
  </si>
  <si>
    <t>0546690194</t>
  </si>
  <si>
    <t xml:space="preserve">הסבר על הקבוצה קצת </t>
  </si>
  <si>
    <t>נדב פריימוביץ</t>
  </si>
  <si>
    <t>בקעת בית נטופה 9</t>
  </si>
  <si>
    <t>ביקורת כל חצי שנה</t>
  </si>
  <si>
    <t>לןקמיה</t>
  </si>
  <si>
    <t>בוריס</t>
  </si>
  <si>
    <t xml:space="preserve">נופר חורב </t>
  </si>
  <si>
    <t>מעגלים החבצלת 47</t>
  </si>
  <si>
    <t>מעגלים</t>
  </si>
  <si>
    <t>0547087031</t>
  </si>
  <si>
    <t xml:space="preserve">לימפומה הוגדקין </t>
  </si>
  <si>
    <t xml:space="preserve">מזל </t>
  </si>
  <si>
    <t>0542220381</t>
  </si>
  <si>
    <t>תודה רבה על הכל❤️</t>
  </si>
  <si>
    <t>עדן בלו</t>
  </si>
  <si>
    <t>28/07/2021</t>
  </si>
  <si>
    <t>שירת הזמיר 14</t>
  </si>
  <si>
    <t>סיימה טיפולים, לוקחת תרופות</t>
  </si>
  <si>
    <t>חפציבה</t>
  </si>
  <si>
    <t>אדר פישר</t>
  </si>
  <si>
    <t>בית הכרם משה קול 7 כניסה ב דירה 5</t>
  </si>
  <si>
    <t>כן בית ספר</t>
  </si>
  <si>
    <t>אוצקין</t>
  </si>
  <si>
    <t>אלה</t>
  </si>
  <si>
    <t>יעלה תמה שי</t>
  </si>
  <si>
    <t xml:space="preserve">אתרוג 26 גבעת וושינגטון </t>
  </si>
  <si>
    <t xml:space="preserve">בית רבן גבעת וושינגטון </t>
  </si>
  <si>
    <t>אין- בת 4</t>
  </si>
  <si>
    <t xml:space="preserve">בטיפול אגרסיבי - פרוטוקול 2 </t>
  </si>
  <si>
    <t>לוקמיה b-ALL</t>
  </si>
  <si>
    <t>12.5.25</t>
  </si>
  <si>
    <t>0587124500</t>
  </si>
  <si>
    <t xml:space="preserve">סלומה </t>
  </si>
  <si>
    <t>0524490222</t>
  </si>
  <si>
    <t>עדיין בטיפולים, לא מעוניינים בחונכות</t>
  </si>
  <si>
    <t>יעל בורוכוב</t>
  </si>
  <si>
    <t>הענבים 6</t>
  </si>
  <si>
    <t>לוקמיה B-ALL</t>
  </si>
  <si>
    <t>נרצה להתעדכן בימי גיבוש/כיף טיולים חונכות אישית לאחים</t>
  </si>
  <si>
    <t xml:space="preserve">הילדה סיימה אחזקה חזרה למסגרות </t>
  </si>
  <si>
    <t>עתי אהרון סלומון</t>
  </si>
  <si>
    <t>שניר 5</t>
  </si>
  <si>
    <t xml:space="preserve">דצמבר 2025 </t>
  </si>
  <si>
    <t>מעיין סלומון</t>
  </si>
  <si>
    <t xml:space="preserve">תיצור קשר עם נועם לגבי ימי כיף במידה ויתאפשר </t>
  </si>
  <si>
    <t>עתי סלומון בן שלוש וחצי מחדרה. נמצא באחזקה.מטופל בשניידר. אוהב לנגן ולשיר, לרקוד וכל מה שקשור במוזיקה.</t>
  </si>
  <si>
    <t>ג׳יליאן גולדסמיט</t>
  </si>
  <si>
    <t xml:space="preserve">נתן יונתן 28 דירה 62 נתניה </t>
  </si>
  <si>
    <t>0546134399</t>
  </si>
  <si>
    <t xml:space="preserve">הודגקינס לימפומה </t>
  </si>
  <si>
    <t xml:space="preserve">שרי </t>
  </si>
  <si>
    <t>0546742785</t>
  </si>
  <si>
    <t>אוראל רחמים עטיה</t>
  </si>
  <si>
    <t>אלחריזי 1 נתניה</t>
  </si>
  <si>
    <t>0547174842</t>
  </si>
  <si>
    <t>נון הודגקין לימפומה</t>
  </si>
  <si>
    <t>אורנית עטיה</t>
  </si>
  <si>
    <t>0509953531</t>
  </si>
  <si>
    <t>אורי אליהו אביסרור</t>
  </si>
  <si>
    <t>קהילת ציון 4, הרצליה</t>
  </si>
  <si>
    <t>נשאר ניתוח ביקורת פעם בחודשיים בערך</t>
  </si>
  <si>
    <t>Ewing sarcoma</t>
  </si>
  <si>
    <t>0507873722</t>
  </si>
  <si>
    <t>דניאלה פריג</t>
  </si>
  <si>
    <t>רוטשילד דירה 4 / 33</t>
  </si>
  <si>
    <t>במעקב שניידר,חזרה למסגרת,ישמחו לעדכונים</t>
  </si>
  <si>
    <t>סינוס וואין טרומבוסיס</t>
  </si>
  <si>
    <t>עודד פריג</t>
  </si>
  <si>
    <t>שושנה פריג</t>
  </si>
  <si>
    <t>אדיר לוי</t>
  </si>
  <si>
    <t>יל''ג 8 רחובות</t>
  </si>
  <si>
    <t>0546903007</t>
  </si>
  <si>
    <t>מעקבים ובדיקות כי ראו בביקורת האחרונה שיש ממצא בבלוטת התריס אז עכשיו עוקבים אחרי זה</t>
  </si>
  <si>
    <t>הודג'קין לימפומה כל הגוף</t>
  </si>
  <si>
    <t>נירית לוי</t>
  </si>
  <si>
    <t>0528849947</t>
  </si>
  <si>
    <t>סומך עליכם שיהיה כיף🥰</t>
  </si>
  <si>
    <t>ירין גומברג</t>
  </si>
  <si>
    <t>28/10/2021</t>
  </si>
  <si>
    <t>הבילוים 9</t>
  </si>
  <si>
    <t>גדרה</t>
  </si>
  <si>
    <t>טיפולי אחזקה, חזר לבית ספר</t>
  </si>
  <si>
    <t>לוקמיה T cell היי ריסק</t>
  </si>
  <si>
    <t>דן</t>
  </si>
  <si>
    <t>אמיליה</t>
  </si>
  <si>
    <t>ליעד שמש</t>
  </si>
  <si>
    <t>21/11/2022</t>
  </si>
  <si>
    <t>נורדאו 81</t>
  </si>
  <si>
    <t>שמוליק</t>
  </si>
  <si>
    <t>גפן בר און</t>
  </si>
  <si>
    <t>רח דרך יהודה המכבי, דירה 33</t>
  </si>
  <si>
    <t>בית חורון</t>
  </si>
  <si>
    <t>סיימה טיפולים לפני חודשיים</t>
  </si>
  <si>
    <t>גידול על עצב הראייה</t>
  </si>
  <si>
    <t>שרגא</t>
  </si>
  <si>
    <t>עומר יוסף</t>
  </si>
  <si>
    <t>עבר השתלה במרץ הקודם, בטיפולים בשיב"א. הולך פעם בשבוע למסגרת.</t>
  </si>
  <si>
    <t>פעם בשבוע הולך לבית ספר</t>
  </si>
  <si>
    <t>שקד שפירא</t>
  </si>
  <si>
    <t>חוט השני 1</t>
  </si>
  <si>
    <t>בטיפולים, רוצים להשאר מעודכנים</t>
  </si>
  <si>
    <t>פילוציטיקאסטרוציטומה</t>
  </si>
  <si>
    <t>תומר כרמי</t>
  </si>
  <si>
    <t>קרוננברג</t>
  </si>
  <si>
    <t>מעקבים אחת לחצי שנה בין לבין יש חשד שחזר</t>
  </si>
  <si>
    <t>שבועיים</t>
  </si>
  <si>
    <t>חצי שנב</t>
  </si>
  <si>
    <t>ששונקור בראל</t>
  </si>
  <si>
    <t>זית 3</t>
  </si>
  <si>
    <t>לקראת סבב טיפולים אחרון</t>
  </si>
  <si>
    <t>ספטמבר25</t>
  </si>
  <si>
    <t>6.10.2024</t>
  </si>
  <si>
    <t>אוראל</t>
  </si>
  <si>
    <t>איתי</t>
  </si>
  <si>
    <t>ביאליק 6</t>
  </si>
  <si>
    <t>שערי צדק והדסה</t>
  </si>
  <si>
    <t>עדיין בטיפולים כל 21 ימים לחמישה ימים</t>
  </si>
  <si>
    <t>לא - אבל יחזור בעזרת השם</t>
  </si>
  <si>
    <t>החונכות רלוונטית יותר בבית חולים</t>
  </si>
  <si>
    <t>ימי כיף וביקורים</t>
  </si>
  <si>
    <t>הילד עדיין בטיפולים, היה צריך לחזור למסגרות אבל קיבל וירוס ויחזור בקרוב,האמא תחשוב על ימי כיף ואם זה יהיה רלוונטי תיצור קשר</t>
  </si>
  <si>
    <t>אופיר אנקאוה</t>
  </si>
  <si>
    <t>הלל יפה 39</t>
  </si>
  <si>
    <t>0549914546</t>
  </si>
  <si>
    <t>מעקב</t>
  </si>
  <si>
    <t xml:space="preserve">אגרנולוציטוזיס </t>
  </si>
  <si>
    <t xml:space="preserve">מירב אדרי אנקאוה </t>
  </si>
  <si>
    <t>0502871612</t>
  </si>
  <si>
    <t>30/12/25</t>
  </si>
  <si>
    <t xml:space="preserve">נריה כדורי </t>
  </si>
  <si>
    <t>בוני החומה</t>
  </si>
  <si>
    <t xml:space="preserve">הדסה עין כרם </t>
  </si>
  <si>
    <t>אובחן לפני 4 חודשים</t>
  </si>
  <si>
    <t>כשנה - שנה וחצי</t>
  </si>
  <si>
    <t>15.5.25</t>
  </si>
  <si>
    <t>צור</t>
  </si>
  <si>
    <t>0556661586</t>
  </si>
  <si>
    <t>0528233666</t>
  </si>
  <si>
    <t xml:space="preserve">כרגע אפס, צפויה לידה עוד חודש </t>
  </si>
  <si>
    <t>אמי שרה חקשור</t>
  </si>
  <si>
    <t>אלון9</t>
  </si>
  <si>
    <t>אחזקה,  לוקחת כדורי כימו אבל בבית</t>
  </si>
  <si>
    <t>15.12.24</t>
  </si>
  <si>
    <t>מור</t>
  </si>
  <si>
    <t>ישמחו לימי כיף</t>
  </si>
  <si>
    <t>הילדה נמצאת במגרות, תשמח מאוד לצאת לימי כיף</t>
  </si>
  <si>
    <t>נלי פרמנוב</t>
  </si>
  <si>
    <t>20/10/2021</t>
  </si>
  <si>
    <t>רמז 5, דירה 10</t>
  </si>
  <si>
    <t>Small- cell carcinoma of the ovary of hypercalcemic type</t>
  </si>
  <si>
    <t>גלינה</t>
  </si>
  <si>
    <t>שי אזערי</t>
  </si>
  <si>
    <t>רחוב העבודה 3 א קרית אתא</t>
  </si>
  <si>
    <t>סיימו ,במעקבים אחת לחודשיים</t>
  </si>
  <si>
    <t xml:space="preserve">סוף חודש מאי </t>
  </si>
  <si>
    <t>14.11.23</t>
  </si>
  <si>
    <t>חן נחמן</t>
  </si>
  <si>
    <t>להצמיד חונך שילווה</t>
  </si>
  <si>
    <t>שי אזערי, בן 12. קרית אתא, אוהב להיות בחברה של גדולים, פלפל, אוהב אתגרים ולהיות בעשיה. אוהב להנות. 
ללכת לבאולינג. לשחק כדורגל, אופניים, דיבר על טניס (לא שיחק אף פעם, שווה לדבר עם נויה אוחנה אולי תעשה לו שיעור), סרטים, סוסים, טרקטורונים.</t>
  </si>
  <si>
    <t xml:space="preserve">ליאור שריקי </t>
  </si>
  <si>
    <t xml:space="preserve">ויצמן 226 רעננה </t>
  </si>
  <si>
    <t>0586576542</t>
  </si>
  <si>
    <t>סיימתי טיפולים אונקולוגים ואני ממשיכה טיפולים בלייזר co2</t>
  </si>
  <si>
    <t xml:space="preserve">סרקומה של בית הי, </t>
  </si>
  <si>
    <t>05064542</t>
  </si>
  <si>
    <t>לירן חסן</t>
  </si>
  <si>
    <t>28/11/23</t>
  </si>
  <si>
    <t>ציונות 7</t>
  </si>
  <si>
    <t>מחלים- מעקב אחת לחצי שנה</t>
  </si>
  <si>
    <t>מעוניינים רק בימי כיף</t>
  </si>
  <si>
    <t>אלה ניסני</t>
  </si>
  <si>
    <t>גורדון 28</t>
  </si>
  <si>
    <t>תל אביב עוברים לרחובות</t>
  </si>
  <si>
    <t>טיפולי אחזקה</t>
  </si>
  <si>
    <t>3.07.2024</t>
  </si>
  <si>
    <t>ביקש שאגיע לבית חולים לדבר איתו</t>
  </si>
  <si>
    <t>עילי אליעזר</t>
  </si>
  <si>
    <t>הבושם 20 דירה 11</t>
  </si>
  <si>
    <t>בטיפולים, חזר למסגרת.</t>
  </si>
  <si>
    <t>אביגיל צדוק</t>
  </si>
  <si>
    <t>חיים תורן</t>
  </si>
  <si>
    <t>0585154409</t>
  </si>
  <si>
    <t>כחודשיים</t>
  </si>
  <si>
    <t>מאי 2025</t>
  </si>
  <si>
    <t>הודצקין לימפומה</t>
  </si>
  <si>
    <t>9.5.24</t>
  </si>
  <si>
    <t xml:space="preserve">יצחק </t>
  </si>
  <si>
    <t>0528389050</t>
  </si>
  <si>
    <t>0546920826</t>
  </si>
  <si>
    <t xml:space="preserve">הילדה החלימה חוזרת למסגרות </t>
  </si>
  <si>
    <t>אמיל אלעוברה</t>
  </si>
  <si>
    <t>אלנור 182</t>
  </si>
  <si>
    <t>רהט</t>
  </si>
  <si>
    <t xml:space="preserve">מרכז שניידר לרפואה ילדים </t>
  </si>
  <si>
    <t>דצמבר 25</t>
  </si>
  <si>
    <t xml:space="preserve">פירקט לימפומה </t>
  </si>
  <si>
    <t>29/1/2025</t>
  </si>
  <si>
    <t>ויאם</t>
  </si>
  <si>
    <t>0508337980</t>
  </si>
  <si>
    <t>מירם</t>
  </si>
  <si>
    <t>0549206208</t>
  </si>
  <si>
    <t xml:space="preserve">מאוד נשמח להשתלב במידה ויתאפשר לטיול במיאמי-פלורידה. הבטחנו לגיא כאשר הייתה מרותקת למיטת הטיפולים שכאשר תסיים ותנצח את הסרטן היא תיסע לדיסניוורלד. מאז שחלתה שימרית לא עובדת ואני במילואים, ולכן זה יכול ממש ממש לעזור לנו. תודה </t>
  </si>
  <si>
    <t>מרגיש טוב סיים טיפולים, ישמחו לימי כיף אין להם בעיה להגיע למרכז</t>
  </si>
  <si>
    <t>נאור שמעון דניאל</t>
  </si>
  <si>
    <t>השיקמה 312/2</t>
  </si>
  <si>
    <t>בית חולים העמק</t>
  </si>
  <si>
    <t>סיים טיפולים, חזר למסגרת אבל שבר את הרגל אז בחודש הקרוב נמצא בבית.</t>
  </si>
  <si>
    <t>דודו דניאל</t>
  </si>
  <si>
    <t>עינת דניאל</t>
  </si>
  <si>
    <t>יגודייב אליאן</t>
  </si>
  <si>
    <t>15/06/2022</t>
  </si>
  <si>
    <t>גשר עד הלום 13/11</t>
  </si>
  <si>
    <t>יגודייב אלי</t>
  </si>
  <si>
    <t>יגודייב לואיזה</t>
  </si>
  <si>
    <t>שקד לביא</t>
  </si>
  <si>
    <t>הסביון 2</t>
  </si>
  <si>
    <t>באר גנים</t>
  </si>
  <si>
    <t>מתן</t>
  </si>
  <si>
    <t>לירז מוטחדה</t>
  </si>
  <si>
    <t>אנילביץ 18</t>
  </si>
  <si>
    <t>סיימה טיפולים , החלימה וחזרה למסגרות</t>
  </si>
  <si>
    <t>אוצקין לימפומה</t>
  </si>
  <si>
    <t>זנט</t>
  </si>
  <si>
    <t>מתנדבת שתהיה חברה ללירז</t>
  </si>
  <si>
    <t>לירז מוטחדה בת 16 מבת ים. סיימה טיפולים, בביקורות בשניידר. צריך חונכת גדולה ובוגרת שתקבל השראה ממנה.
לירז  תיכונסטית עדיין קצת ביישנית יש לה לב זהב  חברתית אוהבת להיות בחברה לעשות שופינג לטייל  
סטטוס רפואי שנה וחצי אחרי השתלת מוח עצם מעקב כל שלושה חודשים</t>
  </si>
  <si>
    <t xml:space="preserve">האמא אמרה שהילדה בריאה תודה לאל וחזרה למסגרות, תשמח להצטרף מדי פעם לימי כיף- צירפתי אותה לקבוצה </t>
  </si>
  <si>
    <t>ליה קיל</t>
  </si>
  <si>
    <t>התקופה 16א</t>
  </si>
  <si>
    <t>0524858287</t>
  </si>
  <si>
    <t>0504229449</t>
  </si>
  <si>
    <t xml:space="preserve">מירל בן משה </t>
  </si>
  <si>
    <t>יעקב דורי 2</t>
  </si>
  <si>
    <t>0587875055</t>
  </si>
  <si>
    <t xml:space="preserve">סיימתי השתלת מח עצם לפני חצי שנה </t>
  </si>
  <si>
    <t>לוקמיה ואחריה השתלת מח עצם</t>
  </si>
  <si>
    <t>0506091228</t>
  </si>
  <si>
    <t>אביב אנטקי</t>
  </si>
  <si>
    <t>סיני 30 ד</t>
  </si>
  <si>
    <t>תחת טיפולים. כעת הקרנות</t>
  </si>
  <si>
    <t xml:space="preserve">עוד מעל חצי שנה. </t>
  </si>
  <si>
    <t>27.3.2025</t>
  </si>
  <si>
    <t>גיל אנטקי</t>
  </si>
  <si>
    <t>0523497120</t>
  </si>
  <si>
    <t>ליאור דר אנטקי</t>
  </si>
  <si>
    <t>0544200955</t>
  </si>
  <si>
    <t>חיים אליאן כחלון</t>
  </si>
  <si>
    <t>התחיל אחזקה</t>
  </si>
  <si>
    <t>גן החלומות</t>
  </si>
  <si>
    <t>1.9.23</t>
  </si>
  <si>
    <t>דן כחלון</t>
  </si>
  <si>
    <t>קארין</t>
  </si>
  <si>
    <t xml:space="preserve">לתת מעטפת לילדים </t>
  </si>
  <si>
    <t>חיים אליאן בן שנתיים וחצי מגדרה. מחובר מאוד לאמא שלו, יכול להיות שיקח קצת זמן להיפתח. סיים טיפולים ונמצא באחזקה. התחיל ללכת לגן החלומות שזה גן שיקומי מאחר 
ובעקבות המחלה יש לו עיכוב התפתחותי (לא הולך יציב, לא חזק פיזית כבני גילו) אוהב לשחק, גני שעשועים. חשוב מאוד לתת מעטפת לאחים, יש לו שלושה שגדולים ממנו, בני 10,7,5.</t>
  </si>
  <si>
    <t xml:space="preserve">הילד נמצא במסגרת של גן שיקומי, הטיפולים שלו הוארכו עד לדצמבר ישמחו לצאת לימי כיף </t>
  </si>
  <si>
    <t>הדר זוהר</t>
  </si>
  <si>
    <t>22/11/2021</t>
  </si>
  <si>
    <t>התבור 284</t>
  </si>
  <si>
    <t>שער אפרים</t>
  </si>
  <si>
    <t>סיימה את הטיפולים,חזרה למסגרת . תשמח להשאר מעודכנת.</t>
  </si>
  <si>
    <t>לוקמיה All T High risk</t>
  </si>
  <si>
    <t>עידו חדד</t>
  </si>
  <si>
    <t>כורש 7 ב דירה 29</t>
  </si>
  <si>
    <t>עפולה</t>
  </si>
  <si>
    <t>סיים טיפולים בעקבות הכימו התגלה אבנים בכיסמרה מתחילים שיקום לאחר ניתוח</t>
  </si>
  <si>
    <t>24/2/25</t>
  </si>
  <si>
    <t xml:space="preserve">קרצינומה </t>
  </si>
  <si>
    <t>16/10/24</t>
  </si>
  <si>
    <t>אלונה</t>
  </si>
  <si>
    <t>עידו רוצה כלב פג/בולדוג</t>
  </si>
  <si>
    <t>רוני שמליה</t>
  </si>
  <si>
    <t>אסיף 16א</t>
  </si>
  <si>
    <t>חלתה פעם שלישית, סיימה טיפולים, מעקב צמוד</t>
  </si>
  <si>
    <t>לפני שלושה חודשים</t>
  </si>
  <si>
    <t>גרמפסלקן</t>
  </si>
  <si>
    <t>ארז שמליה</t>
  </si>
  <si>
    <t>חדווה</t>
  </si>
  <si>
    <t>האמא מבקשת ימי כיף או פעילויות לאחים של רוני בעיקר וגם לרוני אבל לא כל דבר היא יכולה ומעניין אותה וטיול משפחות להתאווררות</t>
  </si>
  <si>
    <t>מאורי אדרי</t>
  </si>
  <si>
    <t>יער חניתא 3 דירה 4</t>
  </si>
  <si>
    <t>טיפול בקרטי סוג של השתלה עצמית מחו"ל וכרגע תחת מעקב, כימו סיימה ועכשיו באחזקה</t>
  </si>
  <si>
    <t>לוקמיה מסוג all-b</t>
  </si>
  <si>
    <t>29.03.23</t>
  </si>
  <si>
    <t>מוריאל אדרי</t>
  </si>
  <si>
    <t>1 ועוד חודש תלד בת</t>
  </si>
  <si>
    <t>רוצים חונכות לקראת שנה הבאה ואם יש פעילויות ישמחו להשתתף</t>
  </si>
  <si>
    <t>לא ענתה</t>
  </si>
  <si>
    <t>נתנאל בינקוביץ</t>
  </si>
  <si>
    <t>נחל מיכה 12 דירה 8</t>
  </si>
  <si>
    <t>בטיפולי כימו</t>
  </si>
  <si>
    <t>15.12.2022</t>
  </si>
  <si>
    <t>שמואל בינקוביץ</t>
  </si>
  <si>
    <t>דינה בינקוביץ</t>
  </si>
  <si>
    <t>ליהיא סופר</t>
  </si>
  <si>
    <t>13/12/2021</t>
  </si>
  <si>
    <t>הדרור 20/7</t>
  </si>
  <si>
    <t>סדנה לעבודות יד,כגון נגרות,קרמיקה</t>
  </si>
  <si>
    <t>27/11/25</t>
  </si>
  <si>
    <t xml:space="preserve">נועם כהן </t>
  </si>
  <si>
    <t xml:space="preserve">אילפא </t>
  </si>
  <si>
    <t>15/6/25</t>
  </si>
  <si>
    <t>עכשיו התחיל גן עיריה</t>
  </si>
  <si>
    <t>07/10/24</t>
  </si>
  <si>
    <t>0535270522</t>
  </si>
  <si>
    <t>אסנת</t>
  </si>
  <si>
    <t>0522894055</t>
  </si>
  <si>
    <t xml:space="preserve"> </t>
  </si>
  <si>
    <t>גיא הנדיזדה</t>
  </si>
  <si>
    <t>יקותיאל אדם 40</t>
  </si>
  <si>
    <t>חצי שנה או שנה</t>
  </si>
  <si>
    <t>רבדו מיו סרקומה</t>
  </si>
  <si>
    <t>4/11/2024</t>
  </si>
  <si>
    <t>0527732374</t>
  </si>
  <si>
    <t>סלין</t>
  </si>
  <si>
    <t>0549796771</t>
  </si>
  <si>
    <t>בראל בדש</t>
  </si>
  <si>
    <t>שרה מלקין 19</t>
  </si>
  <si>
    <t>אחזקה עם טיפולים פעם בחודש</t>
  </si>
  <si>
    <t xml:space="preserve">מאי 2026 בערך </t>
  </si>
  <si>
    <t>12.5.2024</t>
  </si>
  <si>
    <t>עמית עמוס</t>
  </si>
  <si>
    <t>ניר עומר</t>
  </si>
  <si>
    <t>15/11/2022</t>
  </si>
  <si>
    <t>התבור 37א קדימה</t>
  </si>
  <si>
    <t>רונת</t>
  </si>
  <si>
    <t>אביב יגאלי</t>
  </si>
  <si>
    <t>16/08/2021</t>
  </si>
  <si>
    <t>הדובדבן 22</t>
  </si>
  <si>
    <t>אבן יהודה</t>
  </si>
  <si>
    <t>סיים טיפולים, חזר למסגרת ורוצים להשאר מעודכנים.</t>
  </si>
  <si>
    <t>אוריה יגאלי</t>
  </si>
  <si>
    <t>קרן יגאלי</t>
  </si>
  <si>
    <t>יהלי קלפוס</t>
  </si>
  <si>
    <t>הפרדס 45</t>
  </si>
  <si>
    <t>טלמון</t>
  </si>
  <si>
    <t>החלימה לפני שנה</t>
  </si>
  <si>
    <t>ניר קלפוס</t>
  </si>
  <si>
    <t>מנור ברכה</t>
  </si>
  <si>
    <t>22.9.2024</t>
  </si>
  <si>
    <t>050-8721151</t>
  </si>
  <si>
    <t>מנור ברכה בת שנה וארבעה חודשים מחדרה. מטופלת בשניידר. אוהבת מוזיקה ולשמוע שירים, לצחוק. מאוד אוהבת אנשים</t>
  </si>
  <si>
    <t>הילד מרגיש טוב נמצאים באחזקה, מוסרים תודה</t>
  </si>
  <si>
    <t>יאיר סמלהוב</t>
  </si>
  <si>
    <t>7.10.2024</t>
  </si>
  <si>
    <t>קלישר 24</t>
  </si>
  <si>
    <t>מקבל טיפול avig</t>
  </si>
  <si>
    <t>אין צפי לסיום</t>
  </si>
  <si>
    <t>ברס</t>
  </si>
  <si>
    <t>יונתן</t>
  </si>
  <si>
    <t xml:space="preserve">חונכות, כל יום שני באונקולוגית . לא חולה סרטן- חולה במחלה נדירה ומטופל באונקולוגית </t>
  </si>
  <si>
    <t>ענתה פעמיים וניתקה 17/11</t>
  </si>
  <si>
    <t>איתי דויטש</t>
  </si>
  <si>
    <t>בדיוק סיים טיפולים, הולך נדיר עם שקד</t>
  </si>
  <si>
    <t>יוכי</t>
  </si>
  <si>
    <t>יהונתן פסח</t>
  </si>
  <si>
    <t>שנתיים וחצי</t>
  </si>
  <si>
    <t>הרצל 69</t>
  </si>
  <si>
    <t>טיפולים כימיים פעילים</t>
  </si>
  <si>
    <t>24/12/2024</t>
  </si>
  <si>
    <t>0548421910</t>
  </si>
  <si>
    <t>0548411987</t>
  </si>
  <si>
    <t>נשמח למגלשה ונדנדה לגג עבור הילד לזמנים שהאי אפשר לצאת איתו לגינה</t>
  </si>
  <si>
    <t>נווה קרבסי</t>
  </si>
  <si>
    <t>ברלוביץ 8</t>
  </si>
  <si>
    <t>תחילת טיפול כימו וסטרואידים הילד עם תסמונת דאון</t>
  </si>
  <si>
    <t>7-8 חודש</t>
  </si>
  <si>
    <t>לא יכול להיות במסגרת</t>
  </si>
  <si>
    <t>שלום</t>
  </si>
  <si>
    <t>0523598116</t>
  </si>
  <si>
    <t>0528725205</t>
  </si>
  <si>
    <t>שאלה אם אפשר טאבלט</t>
  </si>
  <si>
    <t>אסתר קמחי</t>
  </si>
  <si>
    <t>מנשה כפרה 28</t>
  </si>
  <si>
    <t>בבקירות - חזרה למסגרת - דיברה איתי על בת מצווה תשמח שנחזור אליה.</t>
  </si>
  <si>
    <t>All לוקמיה</t>
  </si>
  <si>
    <t>יוסף חיים</t>
  </si>
  <si>
    <t>נהוראי חיים אסולין</t>
  </si>
  <si>
    <t>אורלוב זאב</t>
  </si>
  <si>
    <t xml:space="preserve">פתח תקווה </t>
  </si>
  <si>
    <t xml:space="preserve">מאושפז, כרגע בהשתלות </t>
  </si>
  <si>
    <t>25.6.25</t>
  </si>
  <si>
    <t>0542607878</t>
  </si>
  <si>
    <t>0547775326</t>
  </si>
  <si>
    <t>אם יש עזרה בתמיכה נפשית לאח הגדול ולהורים</t>
  </si>
  <si>
    <t>נמצאים באשפוז כרגע בין השתלות. הילד לא ירצה חונכות וימי כיף כרגע לא רלוונטי</t>
  </si>
  <si>
    <t>אלינור עיני</t>
  </si>
  <si>
    <t>האביב 22</t>
  </si>
  <si>
    <t>סיימה טיפולים,בביקורת</t>
  </si>
  <si>
    <t>אבנר</t>
  </si>
  <si>
    <t>אין מענה</t>
  </si>
  <si>
    <t>הלל לנה יעקב</t>
  </si>
  <si>
    <t xml:space="preserve">אריה אלטמן 7 </t>
  </si>
  <si>
    <t>גידול במוח</t>
  </si>
  <si>
    <t>התחלנו גן טטח</t>
  </si>
  <si>
    <t>לאו גליומה</t>
  </si>
  <si>
    <t>10.9.24</t>
  </si>
  <si>
    <t>0506066030</t>
  </si>
  <si>
    <t>0544757338</t>
  </si>
  <si>
    <t xml:space="preserve">עזרה בסייעת בגן, או הצגה של מיקי לילדה ולאחים שלה </t>
  </si>
  <si>
    <t>נועה לב</t>
  </si>
  <si>
    <t>חיה רוזנטל 9</t>
  </si>
  <si>
    <t xml:space="preserve"> באחזקה</t>
  </si>
  <si>
    <t>לוקמיה TALL</t>
  </si>
  <si>
    <t>22.7.24</t>
  </si>
  <si>
    <t>נופש למשפחות ניסו להביא מישהי לחונכות ולא הלך.</t>
  </si>
  <si>
    <t xml:space="preserve">נועה לב בת שנה מראשון לציון. מטופלת בשניידר, עוד חודש וחצי בערך יסיימו עם האינטנסיביות בבית חולים ויעברו להיות מטופלים בבית. מאוד טמפרמנטית וסקרנית. צריכה הרבה חום ואהבה ואוהבת שמחזיקים אותה. </t>
  </si>
  <si>
    <t>כרגע באחזקה נמצאים בבית , לא צריכים כלום מוסרים תודה</t>
  </si>
  <si>
    <t>הסלע 7</t>
  </si>
  <si>
    <t>אחרי השתלת מח עצם</t>
  </si>
  <si>
    <t>ניב</t>
  </si>
  <si>
    <t>אם אפשר עזרה בלימודים בעיקר שפה וחשבון</t>
  </si>
  <si>
    <t>יונתן בן 13.5 מרמת גן. אחרי השתלת מח עצם בשניידר ויהיה בבידוד לעוד חודש בערך (ניתן להגיע לבקר בביה"ח עם מסכה). אוהב גיימינג מוזיקה וחיות מאוד מאוד חברותי. בקרוב יתחילו תופעות לוואי של הטיפול אבל בנתיים מרגיש ממש טוב. חונך בן.</t>
  </si>
  <si>
    <t>הילד החלים ברוך השם וחזר למסגרות</t>
  </si>
  <si>
    <t>ליה וטורי</t>
  </si>
  <si>
    <t>האורנים, חצב, Israel</t>
  </si>
  <si>
    <t>סיימה ארבעה טיפולים מתוך חמש</t>
  </si>
  <si>
    <t>ניתאי גטהון</t>
  </si>
  <si>
    <t>שעריים 12</t>
  </si>
  <si>
    <t>חזרו לטיפולים תומכים</t>
  </si>
  <si>
    <t xml:space="preserve">Atrt </t>
  </si>
  <si>
    <t>סוף אוגוסט</t>
  </si>
  <si>
    <t>שלומית</t>
  </si>
  <si>
    <t xml:space="preserve">אין </t>
  </si>
  <si>
    <t>חזרו לטיפולים תומכים, אין צורך בימי כיף או ביקורים כי הוא עוד קטן</t>
  </si>
  <si>
    <t>סיני לובינסקי</t>
  </si>
  <si>
    <t xml:space="preserve">שנה וארבעה חודשים </t>
  </si>
  <si>
    <t>הרצל 145</t>
  </si>
  <si>
    <t>בטיפולים כימותרפיים</t>
  </si>
  <si>
    <t xml:space="preserve">עוד חצי שנה </t>
  </si>
  <si>
    <t>14/04/25</t>
  </si>
  <si>
    <t>אלכסנדר לובינסקי</t>
  </si>
  <si>
    <t>0547954211</t>
  </si>
  <si>
    <t>מאי לובינסקי</t>
  </si>
  <si>
    <t>0505320321</t>
  </si>
  <si>
    <t>הוא בטיפולים, ישמח לביקור מאוד</t>
  </si>
  <si>
    <t>יעל אייכנבאום</t>
  </si>
  <si>
    <t>אליהו בן חור 4 דירה 13</t>
  </si>
  <si>
    <t>בטיפולי אחזקה, חזרה למסגרת לפני שלושה חודשים. ישמחו להשאר מעודכנים</t>
  </si>
  <si>
    <t>שגית</t>
  </si>
  <si>
    <t>נחמן ניסים אייש</t>
  </si>
  <si>
    <t>צפת</t>
  </si>
  <si>
    <t>סיימו טיפולים, התחיל כיתה ז, חונכות לא רלוונטית</t>
  </si>
  <si>
    <t>לא, נמצא בבית</t>
  </si>
  <si>
    <t>אנפלסטיק ALELC</t>
  </si>
  <si>
    <t>רפאל חי</t>
  </si>
  <si>
    <t>בלה</t>
  </si>
  <si>
    <t>מבקשים עזרה בתלושי מזון</t>
  </si>
  <si>
    <t>נחמן ניסים עייש בן 12.5 מצפת. סיים טיפולים. חברותי ורגיש, אוהב אקסטרים מסעדות לטייל, ברוך השם מרגיש מצוין ללא הגבלות רפואיות</t>
  </si>
  <si>
    <t>אביב פרידמן</t>
  </si>
  <si>
    <t>פומלית 10 ב</t>
  </si>
  <si>
    <t>התחילה אחזקה</t>
  </si>
  <si>
    <t>31/12/2024</t>
  </si>
  <si>
    <t>מתניה</t>
  </si>
  <si>
    <t>0505952274</t>
  </si>
  <si>
    <t>0509099911</t>
  </si>
  <si>
    <t>עופרי גולן</t>
  </si>
  <si>
    <t>יוסף נקר 44</t>
  </si>
  <si>
    <t>בטיפולים עד סוף השנה, נמצאים במסגרת כמה שמתאפשר במקביל לטיפולים</t>
  </si>
  <si>
    <t>גידולים סרטניים בגזע המוח</t>
  </si>
  <si>
    <t>טליה אביגיל כהן</t>
  </si>
  <si>
    <t>ז'בוטינסקי 28/1</t>
  </si>
  <si>
    <t>אחרי השתלה, מגיעים כמה פעמים בשבוע לביקורת בשניידר.</t>
  </si>
  <si>
    <t>אסיף אברהמי</t>
  </si>
  <si>
    <t>8 חודשים</t>
  </si>
  <si>
    <t xml:space="preserve">ז׳בוטינסקי </t>
  </si>
  <si>
    <t>מחר יעשו בדיקת מח עצם לראות אם מתחילים אחזקה</t>
  </si>
  <si>
    <t xml:space="preserve">אלמוג אברהמי </t>
  </si>
  <si>
    <t>0509818888</t>
  </si>
  <si>
    <t>רותם אברהמי ניזרי</t>
  </si>
  <si>
    <t>0538250025</t>
  </si>
  <si>
    <t>סיימו טיפולים, מחר יש בדיקה לראות אם מח העצם תקין ואם כן בעזרת השם מתחילים אחזקה</t>
  </si>
  <si>
    <t>עמית מלר</t>
  </si>
  <si>
    <t>שפיגלמן 8</t>
  </si>
  <si>
    <t>גידול בגזע המוח, אין עבורו טיפול, אחרי כימו ותרופה ביולוגית, המצב אותו דבר</t>
  </si>
  <si>
    <t>גידול בגזע המח</t>
  </si>
  <si>
    <t>נעמי שירה בלנגה</t>
  </si>
  <si>
    <t>14/10/2021</t>
  </si>
  <si>
    <t>מעלה אילן 6</t>
  </si>
  <si>
    <t>קדומים</t>
  </si>
  <si>
    <t>סיימו אחזקה בנובמבר</t>
  </si>
  <si>
    <t>ביה'סמשה</t>
  </si>
  <si>
    <t>מאי'ה</t>
  </si>
  <si>
    <t>ניסני נועה</t>
  </si>
  <si>
    <t>20/04/2021</t>
  </si>
  <si>
    <t>שמעון בן שטח 17/6</t>
  </si>
  <si>
    <t>סיימה טיפולים, נמצאת במעקב, חזרה למסגרת ותשמח להיות מועדכנת בפעילות בעמותה.</t>
  </si>
  <si>
    <t>הפטובלסטומה גדול בכבד</t>
  </si>
  <si>
    <t>יסמין</t>
  </si>
  <si>
    <t>לייה מויאל</t>
  </si>
  <si>
    <t>האלונים 20 דירה 42</t>
  </si>
  <si>
    <t>גידול מוח גקמינומה</t>
  </si>
  <si>
    <t>עומר שמעון חגואל</t>
  </si>
  <si>
    <t>27/08/2021</t>
  </si>
  <si>
    <t>רח אלנקווה 58 דירה 7</t>
  </si>
  <si>
    <t>טיפולים תמידיים</t>
  </si>
  <si>
    <t>חצי יום כן</t>
  </si>
  <si>
    <t>אופטיק גליומה גידול בראש</t>
  </si>
  <si>
    <t>כמה שיותר חונכים כי הוא לא עצמאי טיולים וחצי כייף</t>
  </si>
  <si>
    <t>ליאן לוי</t>
  </si>
  <si>
    <t>איתמר בן אבי 35 דירה 1</t>
  </si>
  <si>
    <t>יצאו למיאמי, אחזקה</t>
  </si>
  <si>
    <t>יהל עמוס</t>
  </si>
  <si>
    <t>סייפן</t>
  </si>
  <si>
    <t>כפר תבור</t>
  </si>
  <si>
    <t xml:space="preserve">בדצמבר יש MRI </t>
  </si>
  <si>
    <t>אחרי הטיול למיאמי</t>
  </si>
  <si>
    <t>intemix ganglioneurobalstoma</t>
  </si>
  <si>
    <t>להשתתף בפעילויות אם יש בצפון כי למרכז לא יכולה להגיע כדי לשמור על המורל אפילו שיש לה סרטן אלים ואין תרופה</t>
  </si>
  <si>
    <t>לשאול את הילדה</t>
  </si>
  <si>
    <t xml:space="preserve">האמא אמרה שהם נמצאים במעקבים,הילד חזר לשגרה </t>
  </si>
  <si>
    <t>דור קרן</t>
  </si>
  <si>
    <t>משעול כרכום 3</t>
  </si>
  <si>
    <t>בית עובד</t>
  </si>
  <si>
    <t>באחזקה, חזר למסגרת, ישמחו מאוד להיות מועדכנים בפעילות.</t>
  </si>
  <si>
    <t>דני</t>
  </si>
  <si>
    <t>נעה עזרא</t>
  </si>
  <si>
    <t>התחיה 2א</t>
  </si>
  <si>
    <t>ספטמבר 25</t>
  </si>
  <si>
    <t>1/7/24</t>
  </si>
  <si>
    <t>אילון</t>
  </si>
  <si>
    <t>0527907747</t>
  </si>
  <si>
    <t>רונית</t>
  </si>
  <si>
    <t>0545548427</t>
  </si>
  <si>
    <t>יום כיף לכל האחים</t>
  </si>
  <si>
    <t>אור פרבר</t>
  </si>
  <si>
    <t>רפאל איתן 38</t>
  </si>
  <si>
    <t>סיימו טיפולים מחכים לתשובות באוגוסט</t>
  </si>
  <si>
    <t>סוף דצמבר תחילת ינואר</t>
  </si>
  <si>
    <t>לימפומה ננושקין</t>
  </si>
  <si>
    <t>ינון</t>
  </si>
  <si>
    <t>ניקול זילברשר</t>
  </si>
  <si>
    <t>זבוטינסקי 7 דירה 54</t>
  </si>
  <si>
    <t>סיימה אחזקה בינואר</t>
  </si>
  <si>
    <t>אלסיה</t>
  </si>
  <si>
    <t>אמיר מלנצ'יק</t>
  </si>
  <si>
    <t>זלמן שנאור 28 דירה 22</t>
  </si>
  <si>
    <t>סיימו טיפולים, חזר למסגרת.</t>
  </si>
  <si>
    <t>יוליה</t>
  </si>
  <si>
    <t>אריאל סיאני</t>
  </si>
  <si>
    <t>30/07/2022</t>
  </si>
  <si>
    <t>כצלנסון 60</t>
  </si>
  <si>
    <t>מקבל תרופות קבועות, מצבו משתפר</t>
  </si>
  <si>
    <t>שלמה</t>
  </si>
  <si>
    <t>הראל כרמל</t>
  </si>
  <si>
    <t>17/09/2021</t>
  </si>
  <si>
    <t>דרך אוהד 11/1</t>
  </si>
  <si>
    <t>סיים טיפולים בדצמבר 2021, חזר למסגרת. רוצים להשאר מעודכנים</t>
  </si>
  <si>
    <t>יואינג סארקומה</t>
  </si>
  <si>
    <t>ליאב חסאן</t>
  </si>
  <si>
    <t>שבטי ישראל</t>
  </si>
  <si>
    <t xml:space="preserve">מושב פורת </t>
  </si>
  <si>
    <t>0544477249</t>
  </si>
  <si>
    <t>ברוך בשם בסדר גמור</t>
  </si>
  <si>
    <t>קסטלמן</t>
  </si>
  <si>
    <t>חודש מאי/ יוני</t>
  </si>
  <si>
    <t>0526881605</t>
  </si>
  <si>
    <t>0523312196</t>
  </si>
  <si>
    <t>עשהאל רפאילוב</t>
  </si>
  <si>
    <t>17/05/2021</t>
  </si>
  <si>
    <t>פרנק 24/1</t>
  </si>
  <si>
    <t>אחזקה ב''ה סיים</t>
  </si>
  <si>
    <t>דיאנה</t>
  </si>
  <si>
    <t>יובל מכלוף</t>
  </si>
  <si>
    <t>אורט 23א</t>
  </si>
  <si>
    <t>0508681919</t>
  </si>
  <si>
    <t>24.5.2023</t>
  </si>
  <si>
    <t>מסגרת לימודית</t>
  </si>
  <si>
    <t>1.2.2023</t>
  </si>
  <si>
    <t>0504008981</t>
  </si>
  <si>
    <t>סימי</t>
  </si>
  <si>
    <t>0523950794</t>
  </si>
  <si>
    <t>האם גם מחלימים יכולים להצטרף?</t>
  </si>
  <si>
    <t>27/10/2025</t>
  </si>
  <si>
    <t>דניאל שלמה ניצן</t>
  </si>
  <si>
    <t>אחד העם 107</t>
  </si>
  <si>
    <t>0506726785</t>
  </si>
  <si>
    <t xml:space="preserve">כימותרפיה </t>
  </si>
  <si>
    <t>סוף יוני.</t>
  </si>
  <si>
    <t>לא.</t>
  </si>
  <si>
    <t>סרטן סורקומה</t>
  </si>
  <si>
    <t>30.7.2025</t>
  </si>
  <si>
    <t>0523687848</t>
  </si>
  <si>
    <t>0547702559</t>
  </si>
  <si>
    <t>הלל בר ציון</t>
  </si>
  <si>
    <t>לחי 4</t>
  </si>
  <si>
    <t>בריאה</t>
  </si>
  <si>
    <t>השתלת מח עצם hlh</t>
  </si>
  <si>
    <t>19/08/2025</t>
  </si>
  <si>
    <t>שגיא פרחובניק</t>
  </si>
  <si>
    <t>נוף הגליל</t>
  </si>
  <si>
    <t xml:space="preserve">טיפולים בארצות הברית </t>
  </si>
  <si>
    <t>כן , שבוע טיפול שבוע בית שבוע בית ספר</t>
  </si>
  <si>
    <t>האחרון 2024 
הראשון 2018</t>
  </si>
  <si>
    <t>פאזן</t>
  </si>
  <si>
    <t>חולה בפעם השלישית , חונכות</t>
  </si>
  <si>
    <t>לוי נתן צבי</t>
  </si>
  <si>
    <t xml:space="preserve">אגסי שמעון </t>
  </si>
  <si>
    <t>0587709393</t>
  </si>
  <si>
    <t>בטיפול כימותרפי+ביולוגי</t>
  </si>
  <si>
    <t>1.8.25</t>
  </si>
  <si>
    <t>אוסטסרקומה גרורתית</t>
  </si>
  <si>
    <t>20.6.24</t>
  </si>
  <si>
    <t>בראל</t>
  </si>
  <si>
    <t xml:space="preserve">רחל </t>
  </si>
  <si>
    <t>0587175455</t>
  </si>
  <si>
    <t>לא עונה בכלל</t>
  </si>
  <si>
    <t>גטנת ביאגדיה</t>
  </si>
  <si>
    <t>16/04/2023</t>
  </si>
  <si>
    <t>הרב פתיאה 5</t>
  </si>
  <si>
    <t>עדיין בטיפולים</t>
  </si>
  <si>
    <t>אדיסו ביאגדיה</t>
  </si>
  <si>
    <t>טילאנש ביאגדיה</t>
  </si>
  <si>
    <t>יהונדב אדרי</t>
  </si>
  <si>
    <t>30/4/2025</t>
  </si>
  <si>
    <t>23.8.2024</t>
  </si>
  <si>
    <t>מעוניינים בחונכות תבדוק עם יהונדב</t>
  </si>
  <si>
    <t>יהב שלום סרור</t>
  </si>
  <si>
    <t>19/04/2021</t>
  </si>
  <si>
    <t>איילה 24</t>
  </si>
  <si>
    <t>סיים טיפולים , רוצה להישאר מעודכן</t>
  </si>
  <si>
    <t>כרגע בבית</t>
  </si>
  <si>
    <t>Lch</t>
  </si>
  <si>
    <t>אירן</t>
  </si>
  <si>
    <t>יהונתן שקד</t>
  </si>
  <si>
    <t>26/10/2021</t>
  </si>
  <si>
    <t>יעל רום 16 דירה 60</t>
  </si>
  <si>
    <t>בריא אבל נמצא בטיפול פסיכולוג בעקבות המחלה, חזר לפני כמה חודשים למסגרת.</t>
  </si>
  <si>
    <t>לימפומה ברקיט נון הוצ'קין</t>
  </si>
  <si>
    <t>נטלי</t>
  </si>
  <si>
    <t>טליה צור</t>
  </si>
  <si>
    <t>אחזקה כרגע</t>
  </si>
  <si>
    <t>סוף אוקטובר תחילת נובמבר</t>
  </si>
  <si>
    <t>ניר צור</t>
  </si>
  <si>
    <t>גילה צור</t>
  </si>
  <si>
    <t>לטליה יש אח תאום (בר מצווה בספטמבר)
 6 אחים סה"כ
 דגש על האח תאום והקטנה (10)</t>
  </si>
  <si>
    <t>טליה צור, בת 13 בספטמבר. מראש העין מטופלת בשניידר, אמורה לסיים טיפולים לקראת נובמבר. אוהבת לשיר, לרקוד ולצייר. 
אוהבת את נועה קירל ובכלל את כל מה שקשור לעולם המוזיקה הישראלית. ילדה זורמת, חייכנית ושנונה מאוד.</t>
  </si>
  <si>
    <t>סיימו טיפולים נמצאים באחזקה, הילדה חזרה למסגרות ב1.9 ישמחו מאוד לחונכות</t>
  </si>
  <si>
    <t>קדמי אופיר</t>
  </si>
  <si>
    <t>דוש קריאל גרדוש 2/35</t>
  </si>
  <si>
    <t>ביקורות סביב השיקום</t>
  </si>
  <si>
    <t>לפני שנתיים</t>
  </si>
  <si>
    <t>אוסטרוסורקומה</t>
  </si>
  <si>
    <t>ערן</t>
  </si>
  <si>
    <t xml:space="preserve">אופיר אוהבת פעילויות, ימי כיף וסדנאות </t>
  </si>
  <si>
    <t>עיינה חיה מסאמי</t>
  </si>
  <si>
    <t>30/08/2022</t>
  </si>
  <si>
    <t>טרומפלדור 12 דירה4</t>
  </si>
  <si>
    <t>כן ח.מיוחד</t>
  </si>
  <si>
    <t>לוקמיה (אחרי השתלה) תסמונת דאון</t>
  </si>
  <si>
    <t>עדן פרץ</t>
  </si>
  <si>
    <t>מגידו 5</t>
  </si>
  <si>
    <t>בטיפולים עד יולי, לא נמצאת במסגרת, ישמחו ליותר ביקורים של החונכת, וימי כיף כשיש.</t>
  </si>
  <si>
    <t>(דראי)עוזרי נוריאל</t>
  </si>
  <si>
    <t>משעול שמשון 2/10</t>
  </si>
  <si>
    <t>קרית ג.</t>
  </si>
  <si>
    <t>נויראובלסטומה</t>
  </si>
  <si>
    <t>מרדכי</t>
  </si>
  <si>
    <t>גל שטקלמכר</t>
  </si>
  <si>
    <t>אורטל 13/2</t>
  </si>
  <si>
    <t>סיימו טיפולים, במעקב פעם בחודש וחזרו למסגרת. ישמחו להשאר מעודכנים.</t>
  </si>
  <si>
    <t>יובל</t>
  </si>
  <si>
    <t>אנאל- בתיה וובה</t>
  </si>
  <si>
    <t>28/06/2022</t>
  </si>
  <si>
    <t>הרב פרץ ציוני 30,דירה 14</t>
  </si>
  <si>
    <t>טיפולים, יום ראשון השתלת מח עצם, נמצא בבידוד</t>
  </si>
  <si>
    <t>ברהן</t>
  </si>
  <si>
    <t>הדס גולדיאן</t>
  </si>
  <si>
    <t>23/11/2022</t>
  </si>
  <si>
    <t>הרב גולד 3א</t>
  </si>
  <si>
    <t>נירית</t>
  </si>
  <si>
    <t>ירדן פנחס</t>
  </si>
  <si>
    <t>רחוב המטע 30</t>
  </si>
  <si>
    <t>להבות הבשן</t>
  </si>
  <si>
    <t>בניו יורק בטיפולים עד סוף שנה</t>
  </si>
  <si>
    <t>יוחאי</t>
  </si>
  <si>
    <t>אביגייל</t>
  </si>
  <si>
    <t>קיבוץ כפר החורש, כפר החורש, ישראל</t>
  </si>
  <si>
    <t>ב"ה ! באחזקה</t>
  </si>
  <si>
    <t>אלא בקשר</t>
  </si>
  <si>
    <t>הודייה</t>
  </si>
  <si>
    <t>אליאן כחלון</t>
  </si>
  <si>
    <r>
      <rPr>
        <rFont val="Arial"/>
        <color rgb="FF000000"/>
        <sz val="12.0"/>
      </rPr>
      <t xml:space="preserve">
</t>
    </r>
    <r>
      <rPr>
        <rFont val="Google Sans"/>
        <color rgb="FF3C4043"/>
        <sz val="12.0"/>
      </rPr>
      <t xml:space="preserve">טיפולי כימו ככדורים דרך הפה , עדיין בבדיקות והדמיות </t>
    </r>
  </si>
  <si>
    <t>וימס</t>
  </si>
  <si>
    <t>עמי</t>
  </si>
  <si>
    <t>עדיין מחפשים חונכות</t>
  </si>
  <si>
    <t>אליאן כחלון בת שלוש מנתניה, אוהבת חום ואהבה, ציורים, משחקים, גני שעשועים. אחים- בן 8, בן 11, בת 12 וחצי</t>
  </si>
  <si>
    <t>עדיין בטיפולים, האמא אמרה שממש מבקשת חונכות</t>
  </si>
  <si>
    <t>מיכל נגר</t>
  </si>
  <si>
    <t>מרגנית 11</t>
  </si>
  <si>
    <t>רכסים</t>
  </si>
  <si>
    <t>ווילמיס בכילייה</t>
  </si>
  <si>
    <t>גלעד מרדכי מרק</t>
  </si>
  <si>
    <t>הפרחים 8</t>
  </si>
  <si>
    <t>‭0587988714‬</t>
  </si>
  <si>
    <t>22.09.2024</t>
  </si>
  <si>
    <t>אוהד</t>
  </si>
  <si>
    <t>0523779120</t>
  </si>
  <si>
    <t>0526424902</t>
  </si>
  <si>
    <t>ליאן אבן צור</t>
  </si>
  <si>
    <t>אברבנאל 47</t>
  </si>
  <si>
    <t>קריית חיים</t>
  </si>
  <si>
    <t>סיימה טיפולים, חזר חלקית למסגרת.</t>
  </si>
  <si>
    <t>קליל אנפלסטי , גידול כלייתי</t>
  </si>
  <si>
    <t>פטריקס</t>
  </si>
  <si>
    <t>נועם חמישה</t>
  </si>
  <si>
    <t>נופך 1/1</t>
  </si>
  <si>
    <t>באחזקה . ישמחו לשמוע על פעילויות כשיש</t>
  </si>
  <si>
    <t>אלרואי מרדכי</t>
  </si>
  <si>
    <t>מושב יערה</t>
  </si>
  <si>
    <t>בטיפולי אחזקה, חזר למסגרת עם מטפלת צמודה.</t>
  </si>
  <si>
    <t>מודולובלסטומה</t>
  </si>
  <si>
    <t>עתי שמעון אטדגי</t>
  </si>
  <si>
    <t>העצמאות 77/31</t>
  </si>
  <si>
    <t>בריא,ביקורת כל 3 חודשים</t>
  </si>
  <si>
    <t>מדלובלסטומה</t>
  </si>
  <si>
    <t>מורדכי אטדגי</t>
  </si>
  <si>
    <t>מעיין אטדגי</t>
  </si>
  <si>
    <t>לירון שילה</t>
  </si>
  <si>
    <t>המשוט 10, דירה 13</t>
  </si>
  <si>
    <t>בטיפולי אחזקה, חזר למסגרת.ישמחו להיות מעודכנים.</t>
  </si>
  <si>
    <t>דביר</t>
  </si>
  <si>
    <t>הודיה אלקיים</t>
  </si>
  <si>
    <t>גדרה 38</t>
  </si>
  <si>
    <t>לפני כמה שנים</t>
  </si>
  <si>
    <t>סרטן מסוג ניורבלסטומה</t>
  </si>
  <si>
    <t>דודו יצחק אלקיים</t>
  </si>
  <si>
    <t>מירב אלקיים</t>
  </si>
  <si>
    <t>האמא שיתפה שהם בתהליכי גירושים עם בתי משפט כי הוא עקשן לא נותן לה לראות אותה, האבא פשוט לקח את הילדה אליו והרעיל אותה נגד האמא והיא נשארה עם ארבעת האחים הנותרים לבד</t>
  </si>
  <si>
    <t>אדל רבקה אליקים</t>
  </si>
  <si>
    <t>תמר 2</t>
  </si>
  <si>
    <t>סיימה טיפול ביולוגי באפריל ,הולכים למעקבים</t>
  </si>
  <si>
    <t>Adem. נגעים מרובים במוח</t>
  </si>
  <si>
    <t>אהרן</t>
  </si>
  <si>
    <t>לירון</t>
  </si>
  <si>
    <t>הילדה עולה לכיתה א. אולי עזרה עם שיעורים פרטיים כדי להשלים לימודים העתיד . כרגע היא מאושפזת כל 3 שבועות 5 ימים ברצף כבר שנה וחצי יש לה עוד 11 טיפולים ביולוגיים. שזה קצת פחות משנה .. בנוסף ילד לנו ילד בן 17 שנולד עם שיתוק מוחין .</t>
  </si>
  <si>
    <t>אייל כהן</t>
  </si>
  <si>
    <t>סיים טיפולים מעקבים</t>
  </si>
  <si>
    <t>15 באוקטובר</t>
  </si>
  <si>
    <t>סאלי</t>
  </si>
  <si>
    <t>אבא של דניאל נפטר, לא מעוניינים בחונכות</t>
  </si>
  <si>
    <t>מורל טל אור בכר</t>
  </si>
  <si>
    <t>13/04/2022</t>
  </si>
  <si>
    <t>התמר 155</t>
  </si>
  <si>
    <t>בית אלעזרי</t>
  </si>
  <si>
    <t>איתן קניגר</t>
  </si>
  <si>
    <t>בגין 36</t>
  </si>
  <si>
    <t>סיים טיפולים אונקולוגיים, אחרי השתלת כבד נמצא בביקורות</t>
  </si>
  <si>
    <t>סרטן בכבד</t>
  </si>
  <si>
    <t>1.8.2024</t>
  </si>
  <si>
    <t>חד הורית</t>
  </si>
  <si>
    <t xml:space="preserve">עינת </t>
  </si>
  <si>
    <t>יישמח לביקורים</t>
  </si>
  <si>
    <t>איתן קניגר בן 9 מכפר יונה. אוהב לגו, רובוטיקה, כלבים, מדעים והארי פוטר. שקט וביישן. יעבור בשבועות הקרובים השתלת כבד, בשל סרטן כבד אגריסיבי.</t>
  </si>
  <si>
    <t>עידן נחמיה</t>
  </si>
  <si>
    <t>יוסי בנאי 30</t>
  </si>
  <si>
    <t>0502175171</t>
  </si>
  <si>
    <t>תל השומר - שיבא</t>
  </si>
  <si>
    <t>אשפוז בשיקום</t>
  </si>
  <si>
    <t>לקראת הסוף</t>
  </si>
  <si>
    <t>יחזור בעוד שבועיים</t>
  </si>
  <si>
    <t>ג'רמינומה במח</t>
  </si>
  <si>
    <t>נובמבר 2024</t>
  </si>
  <si>
    <t>0527907503</t>
  </si>
  <si>
    <t>נמצאים טיפולים שיקומיים באשפוז יום, לא מעוניינים בחונכות</t>
  </si>
  <si>
    <t>אדרי יהונתן רפאל</t>
  </si>
  <si>
    <t>שפירא אברהם 17 דירה 8</t>
  </si>
  <si>
    <t xml:space="preserve">נתניה </t>
  </si>
  <si>
    <t>טיפולים סבבי כימו</t>
  </si>
  <si>
    <t>בירקיט למפומה</t>
  </si>
  <si>
    <t>0503307220</t>
  </si>
  <si>
    <t>שרה</t>
  </si>
  <si>
    <t>0542450021</t>
  </si>
  <si>
    <t>המחלה חזרה פעם שניה . הם כרגע עושים 2 סבבים ויודיעו לנו לגבי המשך</t>
  </si>
  <si>
    <t>פלג לחמני</t>
  </si>
  <si>
    <t>הרמה 2/22</t>
  </si>
  <si>
    <t>סיים טיפולים ואחזקה</t>
  </si>
  <si>
    <t>אלדד</t>
  </si>
  <si>
    <t>אריאל בלולו</t>
  </si>
  <si>
    <t>הטופז 78</t>
  </si>
  <si>
    <t>תל מונד</t>
  </si>
  <si>
    <t>סיימו טיפולים באוקטובר 2022, במעקבים. לומדת בכיתה א. רוצים להשאר מעודכנים</t>
  </si>
  <si>
    <t>ויקי</t>
  </si>
  <si>
    <t>אמין שיבלי</t>
  </si>
  <si>
    <t>שיבלי אום אלגנם</t>
  </si>
  <si>
    <t>נשאת</t>
  </si>
  <si>
    <t>אמאני</t>
  </si>
  <si>
    <t>אדל רחל אביטבול</t>
  </si>
  <si>
    <t>4.4.2024</t>
  </si>
  <si>
    <t>שי אביטבול</t>
  </si>
  <si>
    <t>יהונתן יחיאל שגב</t>
  </si>
  <si>
    <t>יקינטון 11/1</t>
  </si>
  <si>
    <t>קרית ביאליק</t>
  </si>
  <si>
    <t>סיימו טיפולים ביולי 2022, התחיל בית ספר. רוצים להשאר מעודכנים</t>
  </si>
  <si>
    <t>רווית</t>
  </si>
  <si>
    <t>אפרת אלקן</t>
  </si>
  <si>
    <t>ירושלים 34</t>
  </si>
  <si>
    <t xml:space="preserve">ביח שניידר </t>
  </si>
  <si>
    <t>טיפולים פעילים</t>
  </si>
  <si>
    <t>לא סיימה</t>
  </si>
  <si>
    <t>L.C.H</t>
  </si>
  <si>
    <t>3/25</t>
  </si>
  <si>
    <t xml:space="preserve">גלעד </t>
  </si>
  <si>
    <t>0533359064</t>
  </si>
  <si>
    <t>0526287741</t>
  </si>
  <si>
    <t>נישמח שתיצרו איתנו קשר</t>
  </si>
  <si>
    <t>יבניאל</t>
  </si>
  <si>
    <t>4.12.2024</t>
  </si>
  <si>
    <t>סנדרה</t>
  </si>
  <si>
    <t>24/7/2025</t>
  </si>
  <si>
    <t>אוריין ניסנוב</t>
  </si>
  <si>
    <t>תחילת יוני 24</t>
  </si>
  <si>
    <t xml:space="preserve">אוריין בת 8 מבאר שבע. מטופלת בשניידר, נמצאת בטיפולים הכוללים אישפוז פעמיים בחודש. אוהבת לרקוד, לראות סרטים בקולנוע, לשחק ולהתאפר. ילדה שמחה ואנרגטית. אם אפשר לשבת איתה טיפה על לימודים היא תשמח ממש. </t>
  </si>
  <si>
    <t>נועם כהן</t>
  </si>
  <si>
    <t>בית אל 20 , דירה 89 תל אביב</t>
  </si>
  <si>
    <t>החלים ב''ה</t>
  </si>
  <si>
    <t>All T cell</t>
  </si>
  <si>
    <t>18/6/2025</t>
  </si>
  <si>
    <t>שמעון טימסית</t>
  </si>
  <si>
    <t>27/02/2022</t>
  </si>
  <si>
    <t>הרי גולן 2/8</t>
  </si>
  <si>
    <t>חזר פעם שניה,מתחיל טיפולים</t>
  </si>
  <si>
    <t>לוקמיה ALL פילדלפיה</t>
  </si>
  <si>
    <t>לבנה</t>
  </si>
  <si>
    <t>ליאן בן בנימין</t>
  </si>
  <si>
    <t>שניר 16</t>
  </si>
  <si>
    <t>בשיקום</t>
  </si>
  <si>
    <t xml:space="preserve">לפני שנתיים </t>
  </si>
  <si>
    <t>פז</t>
  </si>
  <si>
    <t>ירין יוסף שושן</t>
  </si>
  <si>
    <t>17/12/2021</t>
  </si>
  <si>
    <t>טיילת נווה 8 דירה 3</t>
  </si>
  <si>
    <t>קצרין</t>
  </si>
  <si>
    <t>סיים טיפולים, חזר למסגרת.</t>
  </si>
  <si>
    <t>יצחק צח</t>
  </si>
  <si>
    <t>צרניאחובסקי סופיה</t>
  </si>
  <si>
    <t>יקינטון 2 חריש</t>
  </si>
  <si>
    <t xml:space="preserve">רמב"ם </t>
  </si>
  <si>
    <t>באים לביקורת כל כמה חודשים</t>
  </si>
  <si>
    <t>גן חובה</t>
  </si>
  <si>
    <t>17.10.2022</t>
  </si>
  <si>
    <t>0526879583</t>
  </si>
  <si>
    <t>0526879584</t>
  </si>
  <si>
    <t>אביב אלוש</t>
  </si>
  <si>
    <t>תן אביב</t>
  </si>
  <si>
    <t>1.1.2025</t>
  </si>
  <si>
    <t>ALSH</t>
  </si>
  <si>
    <t>אוגוסט 22</t>
  </si>
  <si>
    <t>לא רלוונטי חונכות</t>
  </si>
  <si>
    <t>הילה בן דוד</t>
  </si>
  <si>
    <t>תאשור 2</t>
  </si>
  <si>
    <t xml:space="preserve">שניידר ואיכילוב </t>
  </si>
  <si>
    <t>אחרי ניתוח, טיפולים ביולוגיים דרך כדורים ונמצאת באחזקה</t>
  </si>
  <si>
    <t>אין זה לשנים רבות</t>
  </si>
  <si>
    <t>כן, עם סייעת רפואית צמודה</t>
  </si>
  <si>
    <t>NF1 גידול במערכות העצבים של המוח</t>
  </si>
  <si>
    <t>אורן בן דוד</t>
  </si>
  <si>
    <t>לירז בן דוד</t>
  </si>
  <si>
    <t>טיולים ופעילויות תשמח לבוא, היא רואה בעין אחת</t>
  </si>
  <si>
    <t>היה לה קשה עם הפרידה</t>
  </si>
  <si>
    <t>הילדה אחרי ניתוח שעברה היום, שותה כדורים ביולוגיים ונמצאת באחזקה, תשמח לימי כיף עם האחים. צירפתי את האמא לקבוצה
לא ענתה</t>
  </si>
  <si>
    <t>אדל</t>
  </si>
  <si>
    <t>נחל צהלים 4/14</t>
  </si>
  <si>
    <t>ביקורת פעם בשלושה חודשים</t>
  </si>
  <si>
    <t>ניובחסטומה</t>
  </si>
  <si>
    <t>שנהב</t>
  </si>
  <si>
    <t xml:space="preserve">יובל תהילה בן דוד </t>
  </si>
  <si>
    <t>עובדיה בידאני 25</t>
  </si>
  <si>
    <t>בביקורות פעם בשבוע</t>
  </si>
  <si>
    <t>23/2</t>
  </si>
  <si>
    <t xml:space="preserve">23/2 </t>
  </si>
  <si>
    <t xml:space="preserve">לומדת פרטי </t>
  </si>
  <si>
    <t xml:space="preserve">מגיל לידה </t>
  </si>
  <si>
    <t xml:space="preserve">שחר </t>
  </si>
  <si>
    <t>0207169991</t>
  </si>
  <si>
    <t xml:space="preserve">מעיין </t>
  </si>
  <si>
    <t>0522448847</t>
  </si>
  <si>
    <t>נופשים לילד ולמשפחה, ימי כיף,  וחונך שיעזור בשיעורי בית</t>
  </si>
  <si>
    <t>אחרי השתלת מח עצם שהאח תרם שעברה טוב ברוך השם, נמצאת בחינוך ביתי כרגע. חונכות פחות רלוונטי אבל ימי כיף יתקבלו באהבה.  מאוד מאוד ישמחו להצטרף לחול</t>
  </si>
  <si>
    <t>לביא אלקבץ</t>
  </si>
  <si>
    <t>מרדכי אנילביץ 12</t>
  </si>
  <si>
    <t>סיימו טיפולים, במעקבים. חזר למסגרת.</t>
  </si>
  <si>
    <t>יואב עקב</t>
  </si>
  <si>
    <t xml:space="preserve">הזית </t>
  </si>
  <si>
    <t xml:space="preserve">בית אלעזרי </t>
  </si>
  <si>
    <t>0522546336</t>
  </si>
  <si>
    <t>בטיפול</t>
  </si>
  <si>
    <t>לא ידוע, כמה שנים</t>
  </si>
  <si>
    <t>כן, עם ביקורות פעמיים בשבוע</t>
  </si>
  <si>
    <t>0529248354</t>
  </si>
  <si>
    <t>0529271399</t>
  </si>
  <si>
    <t>אריאל פרץ</t>
  </si>
  <si>
    <t>שמואל עדן 12/29</t>
  </si>
  <si>
    <t>סתיו</t>
  </si>
  <si>
    <t>נדב</t>
  </si>
  <si>
    <t>כרכום 18</t>
  </si>
  <si>
    <t>בית אריה</t>
  </si>
  <si>
    <t xml:space="preserve"> סיים טיפולים פעם בחודש הקזת דם בשניידר </t>
  </si>
  <si>
    <t>שחר</t>
  </si>
  <si>
    <t>בעיקר מעוניינת לימי כיף</t>
  </si>
  <si>
    <t>מרגיש טוב תודה לאל נמצא במסגרות, סיימו אחזקה עדיין עושים אחת לחודש הקזת דם בשניידר</t>
  </si>
  <si>
    <t>עברי ארביב</t>
  </si>
  <si>
    <t>22/10/2021</t>
  </si>
  <si>
    <t>יעקב פלומניק 4 דירה 44</t>
  </si>
  <si>
    <t>סיים אחזקה, חזר לגן.</t>
  </si>
  <si>
    <t>דניאל בן אהרון</t>
  </si>
  <si>
    <t>בני בנימין 55</t>
  </si>
  <si>
    <t>מטופל- תרופות קבועות, עושה טיפול בריאות אחת לחודש</t>
  </si>
  <si>
    <t xml:space="preserve">ילד מתוק, מחפשים מישהו שישחק איתו שיצא איתו  </t>
  </si>
  <si>
    <t>עדיין בטיפולים עם התרופות הקבועות שלו, כרגע גם עושים אחת לחודש טיפול בריאות. נמצא במסגרות. ישמח לצאת לימי כיף ולקבל חונכות</t>
  </si>
  <si>
    <t>נועה אליהו</t>
  </si>
  <si>
    <t>24/10/2021</t>
  </si>
  <si>
    <t>הנגב 19</t>
  </si>
  <si>
    <t>ביקורות כל חצי שנה</t>
  </si>
  <si>
    <t>רבדים3</t>
  </si>
  <si>
    <t>קיבוץ רבדים</t>
  </si>
  <si>
    <t>באחזקה בבית ,מעקב אחת לחודש</t>
  </si>
  <si>
    <t xml:space="preserve">אזור אוגוסט </t>
  </si>
  <si>
    <t>יוני2024</t>
  </si>
  <si>
    <t>אירה</t>
  </si>
  <si>
    <t>ההורים ידועים בציבור לא נשואים
 האמא בהירון (אוגוסט)</t>
  </si>
  <si>
    <t>יותם יאיר לוי</t>
  </si>
  <si>
    <t>עובדה</t>
  </si>
  <si>
    <t>25 לאפריל 24</t>
  </si>
  <si>
    <t>יותם יאיר לוי בן תשע וחצי מעובדה. מטופל בשניידר. החונכות תכלול מפגשים בשניידר לפי המצאות של המשפחה. ובנוסף יש אפשרוצ לדאוג לטיסות מגן יבנה לבסיס עובדה שם המשפחה מתגוררת. כך שהמתנדב צריך להיות עם רכב:) כל מה שצריך זה חברה טובה</t>
  </si>
  <si>
    <t xml:space="preserve">הילד חזר למסגרת, ימי כיף לא רלוונטים בגלל מיקום ישמחו ממש להצטרף לטיסה לדובאי  </t>
  </si>
  <si>
    <t>יהונתן אליאס</t>
  </si>
  <si>
    <t>קרן היסוד 1</t>
  </si>
  <si>
    <t>יוני 2025</t>
  </si>
  <si>
    <t>שושי</t>
  </si>
  <si>
    <t>כל מה שיוכל לשמח את הילד שלנו נשמח לשמוע עליו... :) תבורכו!!</t>
  </si>
  <si>
    <t>הילד מחלים וחזר למסגרות</t>
  </si>
  <si>
    <t>לאה רונית שינדלר</t>
  </si>
  <si>
    <t>פרל 25</t>
  </si>
  <si>
    <t>יואינג סרקומה בלסת</t>
  </si>
  <si>
    <t>שרה צביה רבינוביץ</t>
  </si>
  <si>
    <t>האורים 6 דירה 7</t>
  </si>
  <si>
    <t>סיימה אחזקה,ביקורות</t>
  </si>
  <si>
    <t>גדיול בגזע המוח</t>
  </si>
  <si>
    <t>מנחם</t>
  </si>
  <si>
    <t>תהילה</t>
  </si>
  <si>
    <t>שי לי פריאל חדש</t>
  </si>
  <si>
    <t>תמרי 16/16</t>
  </si>
  <si>
    <t>עידן חדש</t>
  </si>
  <si>
    <t>צליל חדש</t>
  </si>
  <si>
    <t>ליאן דיאנה</t>
  </si>
  <si>
    <t>9.9.2024</t>
  </si>
  <si>
    <t>סיימה טיפולים בדצמבר</t>
  </si>
  <si>
    <t>ברקילימפומה</t>
  </si>
  <si>
    <t>תחילת יולי</t>
  </si>
  <si>
    <t>כנראה נשאית חיידק עמיד , אוהבת לצייר וטובה בזה לשים דגש גם על האחים</t>
  </si>
  <si>
    <t>ליאן דיאנה בת 6 מטבריה. אוהבת לצייר, משחקי קופסא, משחקים בטלפון, כל מה שקשור בורוד, חדקרן, נצנצים, נסיכות.. לשים דגש גם על האחים:)</t>
  </si>
  <si>
    <t xml:space="preserve">האמא אומרת שנרשמו מספר פעמים ליום כיף ולא התקיים כי הם מטבריה שואלת אם יש אפשרות לארגן לה הסעה לנווה אילן ליום שלישי 4 אנשים צריכים להיות שם בשתיים - אירוע של האגודה למלחמה בסרטן </t>
  </si>
  <si>
    <t xml:space="preserve">שחף חיה </t>
  </si>
  <si>
    <t>17/2/2025</t>
  </si>
  <si>
    <t>משעול הפטל 3</t>
  </si>
  <si>
    <t xml:space="preserve">אילת </t>
  </si>
  <si>
    <t>ווילאמס דרגה 3</t>
  </si>
  <si>
    <t>21.10.24</t>
  </si>
  <si>
    <t xml:space="preserve">יהב </t>
  </si>
  <si>
    <t>0507023998</t>
  </si>
  <si>
    <t xml:space="preserve">שרון </t>
  </si>
  <si>
    <t>0544774808</t>
  </si>
  <si>
    <t xml:space="preserve">עדיין בטיפולים אין צפי לסיום, תשמח ממש לביקור במחלקה הם באישפוז בשבוע הבא , אם יש אפשרות להתרים בובת ענק של יחידת החילוץ ואנה ואלזה וגבי שאחד המתנדבים יוכל להפתיע אותה   </t>
  </si>
  <si>
    <t>אנאל שירה אשרוף</t>
  </si>
  <si>
    <t>קוסטריקה 35 דירה 2</t>
  </si>
  <si>
    <t>קרית מנחם, ירושלים</t>
  </si>
  <si>
    <t xml:space="preserve">הדסה </t>
  </si>
  <si>
    <t>טיפול כימותרפי דרך הבית באמצעות כדורים,ביקורות אחת ל3 שבועותף באחזקה עד סוף השנה</t>
  </si>
  <si>
    <t>lch</t>
  </si>
  <si>
    <t>ניסים אשרוף</t>
  </si>
  <si>
    <t>אסתי אשרוף</t>
  </si>
  <si>
    <t>ישמחו לחונכות אישית,ליווי משפחתי,עדכונים על פעילויות.</t>
  </si>
  <si>
    <t>אנאל שירה אשרוף. בת 4.5 מירושלים, מטופלת בהדסה. אוהבת לצייר, לרקוד, מוזיקה, איפור, משחקי בנות. אנרגיות ושמחה. באחזקה עד סוף השנה.</t>
  </si>
  <si>
    <t>25/11/2024</t>
  </si>
  <si>
    <t>הילה פרץ</t>
  </si>
  <si>
    <t>יד בנימין</t>
  </si>
  <si>
    <t>דרך האבות 245</t>
  </si>
  <si>
    <t>בדיקות</t>
  </si>
  <si>
    <t>מעקבים בדיקות</t>
  </si>
  <si>
    <t>לוקמיה AML , תסמונת דאון , בעברה ניתוח לתיקון AV Canal</t>
  </si>
  <si>
    <t>אליאור</t>
  </si>
  <si>
    <t>שירה אורי בניה</t>
  </si>
  <si>
    <t>קיבוץ עמיר</t>
  </si>
  <si>
    <t>סיימו טיפולים, חזרה למסגרת ורוצים להיות מעודכנים</t>
  </si>
  <si>
    <t>אבישי</t>
  </si>
  <si>
    <t>אור יעקב קדרינל</t>
  </si>
  <si>
    <t>דגן 14</t>
  </si>
  <si>
    <t>ילד עם אפילפסיה מאוזנת, גידול בגזע המוח, בטיפול אקטיבי תחת 2 תרופות ביולוגיות.</t>
  </si>
  <si>
    <t>כן רוב הזמן</t>
  </si>
  <si>
    <t>גליומה בגזע המוח</t>
  </si>
  <si>
    <t>08/2023</t>
  </si>
  <si>
    <t xml:space="preserve">050-6720540 </t>
  </si>
  <si>
    <t xml:space="preserve">054-3456945 </t>
  </si>
  <si>
    <t>תודה רבה על פועלכם. נשמח לדבר ;)</t>
  </si>
  <si>
    <t>ההדרים 38, קדימה צורן, ישראל</t>
  </si>
  <si>
    <t>נסיגה ומעקבים</t>
  </si>
  <si>
    <t>וילמס טיומר, גרורות בריאות</t>
  </si>
  <si>
    <t xml:space="preserve"> פטמה איסמעיל אלנצצר</t>
  </si>
  <si>
    <t>שכונת הבדואים</t>
  </si>
  <si>
    <t>טייבה</t>
  </si>
  <si>
    <t>1.1.26</t>
  </si>
  <si>
    <t xml:space="preserve"> TAMM</t>
  </si>
  <si>
    <t>1.5.2025</t>
  </si>
  <si>
    <t>איסמעיל</t>
  </si>
  <si>
    <t>0547181212</t>
  </si>
  <si>
    <t>נורה</t>
  </si>
  <si>
    <t>0527747263</t>
  </si>
  <si>
    <t xml:space="preserve">טיולים/ ימי כייף /שיבואו לשחק איתה </t>
  </si>
  <si>
    <t>ילדה ממש חמודה נמצאת רוב הזמן לבד, לא במסגרות. מאוד ישמחו לחונכות</t>
  </si>
  <si>
    <t>אביגיל נסימיאן</t>
  </si>
  <si>
    <t xml:space="preserve">הרב משה צבי נריה 6 </t>
  </si>
  <si>
    <t>BALL</t>
  </si>
  <si>
    <t>03/03/2026</t>
  </si>
  <si>
    <t>29/04/2025</t>
  </si>
  <si>
    <t>ששון</t>
  </si>
  <si>
    <t>0508507389</t>
  </si>
  <si>
    <t>0533370135</t>
  </si>
  <si>
    <t>נוריאל יצחק</t>
  </si>
  <si>
    <t>27/05/2020</t>
  </si>
  <si>
    <t>יהודה הלוי 24/7</t>
  </si>
  <si>
    <t>מקבלים פעם בחודש טיפול ביולוגי</t>
  </si>
  <si>
    <t>נואל</t>
  </si>
  <si>
    <t>דניאלה יעל</t>
  </si>
  <si>
    <t>שרה כלפון</t>
  </si>
  <si>
    <t xml:space="preserve">זבוטינסקי </t>
  </si>
  <si>
    <t xml:space="preserve">עוד שנה </t>
  </si>
  <si>
    <t>לא סיימו</t>
  </si>
  <si>
    <t>נרובלסטומה</t>
  </si>
  <si>
    <t>28/08/25</t>
  </si>
  <si>
    <t>0586274872</t>
  </si>
  <si>
    <t>0539337614</t>
  </si>
  <si>
    <t>הלל כהן</t>
  </si>
  <si>
    <t>נמצאים כרגע בטיפולים וישמחו לצאת לימי כיף, מוסרים תודה רבה על הכל</t>
  </si>
  <si>
    <t>אלין עאזם</t>
  </si>
  <si>
    <t>בטיפולים שוטפים שבועיים</t>
  </si>
  <si>
    <t>עומר</t>
  </si>
  <si>
    <t>ריאם</t>
  </si>
  <si>
    <t>מעוניינת בימי כיף בעיקר</t>
  </si>
  <si>
    <t>מבקשת עזרה בבית הספר שיוכלו להבין את המצב שלה, היא רוצה לחזור למסגרת אבל צריכה עזרה עם מישהו שיוכל להגיע לעזור לה בחורף</t>
  </si>
  <si>
    <t>עלמה וולף</t>
  </si>
  <si>
    <t>29.9.2024</t>
  </si>
  <si>
    <t>הבנים 62 א</t>
  </si>
  <si>
    <t>סיימה טיפולים, צריכה לעשות בדיקות אחרונות ולראות מה המצב</t>
  </si>
  <si>
    <t>יוניסרקומה</t>
  </si>
  <si>
    <t>בערך 22.09.2024</t>
  </si>
  <si>
    <t>רפאל גיגי</t>
  </si>
  <si>
    <t>הכל תקין</t>
  </si>
  <si>
    <t>פברואר 25</t>
  </si>
  <si>
    <t>עמנואל</t>
  </si>
  <si>
    <t xml:space="preserve">רפאל גיגי בן שנתיים מטבריה, מישהי חרדית בוגרת שתתאים למשפחה. אחים- בת 6, בן 3, בן שנה </t>
  </si>
  <si>
    <t>סיימו טיפולים אבל נמצאים כרגע במעקבים ובדיקות עקב גוש שהתגלה, יחשבו האם יש להם צורך בחונכות
אתמול קיבלו תשובה שברוך השם המחלה כבר לא נמצאת אצלו, אין להם צורך בחונכות</t>
  </si>
  <si>
    <t>איתן אבלסום</t>
  </si>
  <si>
    <t>סנונית 45</t>
  </si>
  <si>
    <t>סיימו טיפולים וחזר למסגרת</t>
  </si>
  <si>
    <t>שמגר 6 דירה 29</t>
  </si>
  <si>
    <t xml:space="preserve">טיפול שיקומי ולא תרופתי. לא מקבלת תרופות </t>
  </si>
  <si>
    <t>כן- חינוך מיוחד</t>
  </si>
  <si>
    <t>מדולובלוסטומה</t>
  </si>
  <si>
    <t>אברהם הרשי</t>
  </si>
  <si>
    <t>אסתר הרשי</t>
  </si>
  <si>
    <t>נזרת היילסגי</t>
  </si>
  <si>
    <t>24/04/2023</t>
  </si>
  <si>
    <t>חיים עוזר 21 דירה 5</t>
  </si>
  <si>
    <t>ביקורות אחת לשלושה חודשים</t>
  </si>
  <si>
    <t>לפני שנה וחצי</t>
  </si>
  <si>
    <t>זית היילסגי</t>
  </si>
  <si>
    <t>סלע היילסגי</t>
  </si>
  <si>
    <t>יהדות איטליה 25</t>
  </si>
  <si>
    <t xml:space="preserve">מאי 2025 </t>
  </si>
  <si>
    <t>19.7.2023</t>
  </si>
  <si>
    <t>סיגלית</t>
  </si>
  <si>
    <t>בעיקר מתעניינת בימי כיף</t>
  </si>
  <si>
    <t>סמואל ריינן</t>
  </si>
  <si>
    <t xml:space="preserve">נחל עוז </t>
  </si>
  <si>
    <t xml:space="preserve">אוהב לאכול, לבשל, גיימינג </t>
  </si>
  <si>
    <t xml:space="preserve">פחות מבינה עברית שיחה קצת קשה בגלל זה חסרים פרטים לא הבינה מזה חונכות </t>
  </si>
  <si>
    <t>עדיין בטיפולים, מחר יש לו ביקורת אבל מרגיש טוב יותר</t>
  </si>
  <si>
    <t xml:space="preserve">דניאל בנדרסקי </t>
  </si>
  <si>
    <t>26/2/2025</t>
  </si>
  <si>
    <t xml:space="preserve">הצלע 5 </t>
  </si>
  <si>
    <t>0504874497</t>
  </si>
  <si>
    <t xml:space="preserve">בטיפול פעיל ביולוגיעם גידול מוחי </t>
  </si>
  <si>
    <t>דצמבר25</t>
  </si>
  <si>
    <t xml:space="preserve">עוד שנה מינימום </t>
  </si>
  <si>
    <t>021710066</t>
  </si>
  <si>
    <t>גידול במוח דרגה 1 אסטרוציצומה</t>
  </si>
  <si>
    <t>27.10.2017</t>
  </si>
  <si>
    <t>0546432760</t>
  </si>
  <si>
    <t xml:space="preserve">שרונה </t>
  </si>
  <si>
    <t>לא מעוניין בחונכות , יתעדכנו על אירועים בקבוצה</t>
  </si>
  <si>
    <t xml:space="preserve">עדיין בטיפולים צפי לסיום סוף שנה, חזר למסגרות וישמח לצאת ליום כיף עם אחותו </t>
  </si>
  <si>
    <t>מילה מיכאל</t>
  </si>
  <si>
    <t>הר אדר הגיא</t>
  </si>
  <si>
    <t>0549420023</t>
  </si>
  <si>
    <t>גידול בשם ווילמס אנפלסטי דרגה 4</t>
  </si>
  <si>
    <t>אפריל</t>
  </si>
  <si>
    <t>‭235276631‬</t>
  </si>
  <si>
    <t>ווילמס אנפלסטי</t>
  </si>
  <si>
    <t>25.4.2024</t>
  </si>
  <si>
    <t>שירה תשובה</t>
  </si>
  <si>
    <t xml:space="preserve">חצור הגלילית </t>
  </si>
  <si>
    <t xml:space="preserve">סיימתי </t>
  </si>
  <si>
    <t>4/2/0024</t>
  </si>
  <si>
    <t xml:space="preserve">שחלה </t>
  </si>
  <si>
    <t xml:space="preserve">שמרית </t>
  </si>
  <si>
    <t>0522266646</t>
  </si>
  <si>
    <t>מחלים, בנסיגה</t>
  </si>
  <si>
    <t>0544900978</t>
  </si>
  <si>
    <t xml:space="preserve">מיטל </t>
  </si>
  <si>
    <t xml:space="preserve">050-8385770 </t>
  </si>
  <si>
    <t>שהוא היה חולה הוא לא הוזמן לטיולים וחברים שלו כן ודי התפספס האמא תשמח אם יוכל לבוא לפעיליות</t>
  </si>
  <si>
    <t>אורי בן חמו</t>
  </si>
  <si>
    <t>16.9.2024</t>
  </si>
  <si>
    <t>טיפולים (בהתחלה)</t>
  </si>
  <si>
    <t>חצי שנה תלוי בהתפתחות</t>
  </si>
  <si>
    <t>הפסיק ללכת לבית ספר</t>
  </si>
  <si>
    <t>25.7.2024</t>
  </si>
  <si>
    <t>בר</t>
  </si>
  <si>
    <t>מעוניינים בחונכות אישית</t>
  </si>
  <si>
    <t>אורי בן חמו בן 6 מראש העין. נמצא בתחילת הטיפולים, הםסיק ללכת לבית הספר ומטופל בשניידר. אוהב להרכיב לגו פאזלים לצייר ולשחק כדורגל. לררכב על אופניים ולנגן בתופים. ילד שמח עם מלא אנרגיות.</t>
  </si>
  <si>
    <t>הראל בוקסבאום</t>
  </si>
  <si>
    <t>27/06/2023</t>
  </si>
  <si>
    <t>קיסריה</t>
  </si>
  <si>
    <t>בטיפולים, עבר סיבוך בהשתלת מח עצם-עבר השתלת ריאות התחיל שיקום</t>
  </si>
  <si>
    <t>טל בוקסבאום</t>
  </si>
  <si>
    <t>סיוע כלכלי</t>
  </si>
  <si>
    <t>אלה רבה</t>
  </si>
  <si>
    <t>גבע 16</t>
  </si>
  <si>
    <t>0586260392</t>
  </si>
  <si>
    <t>סיימנו באוגוסט הטיפולים עכשיו באחזקה עם טיפולי תרופתי</t>
  </si>
  <si>
    <t>כו</t>
  </si>
  <si>
    <t>15/12/2024</t>
  </si>
  <si>
    <t xml:space="preserve">Jordan </t>
  </si>
  <si>
    <t>נעמי</t>
  </si>
  <si>
    <t>אלה רבה בת 12 מנתניה. ילדה מהממת ואנרגטית. אוהבת לעשות טיקטוקים, צחוקים ושטויות. אמא מתוקה ממש.</t>
  </si>
  <si>
    <t>30/11/2025</t>
  </si>
  <si>
    <t xml:space="preserve">גיא ג'האן </t>
  </si>
  <si>
    <t>הבנים 104</t>
  </si>
  <si>
    <t xml:space="preserve">כפר ורבורג </t>
  </si>
  <si>
    <t>0515391020</t>
  </si>
  <si>
    <t xml:space="preserve">נמצא בטיפול אחזקה </t>
  </si>
  <si>
    <t xml:space="preserve">צפי לסיום טיפול אחזקה נובמבר 2026 </t>
  </si>
  <si>
    <t xml:space="preserve">טרם חזר </t>
  </si>
  <si>
    <t>23.9.24</t>
  </si>
  <si>
    <t xml:space="preserve">-דוד </t>
  </si>
  <si>
    <t>0507515919</t>
  </si>
  <si>
    <t xml:space="preserve">ליטל </t>
  </si>
  <si>
    <t>0507788096</t>
  </si>
  <si>
    <t>יהלי יוקלר</t>
  </si>
  <si>
    <t>הגאולה 14-9</t>
  </si>
  <si>
    <t>0507007506</t>
  </si>
  <si>
    <t>סוף ינואר</t>
  </si>
  <si>
    <t xml:space="preserve">לימפומה הודגקינס </t>
  </si>
  <si>
    <t>12/8/25</t>
  </si>
  <si>
    <t xml:space="preserve">אבי </t>
  </si>
  <si>
    <t>0504646295</t>
  </si>
  <si>
    <t>0587904040</t>
  </si>
  <si>
    <t>גאיה חוה ביטון</t>
  </si>
  <si>
    <t>חרצית 22</t>
  </si>
  <si>
    <t>0528300332</t>
  </si>
  <si>
    <t xml:space="preserve">בטיפולי כימו </t>
  </si>
  <si>
    <t>31.03.26</t>
  </si>
  <si>
    <t>אוסטוסירקומה</t>
  </si>
  <si>
    <t>24.07.2025</t>
  </si>
  <si>
    <t>0506581886</t>
  </si>
  <si>
    <t>0544313000</t>
  </si>
  <si>
    <t>גאיה ביטון בת 7 מנתניה. מטופלת באיכילוב. ילדה מצחיקה ומהממת. אוהבת דברים של גדולות. מתאהבים בה בשנייה. יש לה אח תינוק גפן. האמא מהממת וזורמת ממש</t>
  </si>
  <si>
    <t>שי שפק?</t>
  </si>
  <si>
    <t>ארז פלדמן</t>
  </si>
  <si>
    <t>השדרה 45</t>
  </si>
  <si>
    <t>צופית</t>
  </si>
  <si>
    <t>אחרי פסח 2026  ואז נכנסים לשנה של אחזקה</t>
  </si>
  <si>
    <t>All B HR לוקמיה</t>
  </si>
  <si>
    <t>16.1.2025</t>
  </si>
  <si>
    <t>אדר</t>
  </si>
  <si>
    <t>0584804005</t>
  </si>
  <si>
    <t>ארז פדלמן בן 7 מצופית. מטופל בשניידר. אמור להיות בכיתה ב, הספיק ליהיות בביהס רק 4 חודשים ומאז בטיפולים כבר כמעט שנה. ארז הוא ילד יחיד לאמא חד הורית. ילד חכם עם דמיון מפותח. אוהב לשחק בפליימוביל, דינוזאורים, אוהב כל מה שקשור בלחימה. להתחפש ללוחם וכמובן משחקי מסך שקשורים בלחימה. 
בתקופות שהטיפולים לא מעייפים, אוהב לרוץ ומאוד אנרגט, תופסת מחבואים משחקים שזזים בהם.
בשנה האחרונה היה פחות חברתי ויותר מכונס בעצמו. אבל בחודש האחרון ממש נפתח ומאוד מחפש חברה.
מחפשים חונך בן שיזרום עם השטויות שלו ושישתולל איתו. האמא ממש מושקעת בעניין, זורמת וחמודה ממש.</t>
  </si>
  <si>
    <t>יפתח פיינברג</t>
  </si>
  <si>
    <t>הולך טוב</t>
  </si>
  <si>
    <t>אבישי חיים מורד</t>
  </si>
  <si>
    <t>סימטת שמעון 306</t>
  </si>
  <si>
    <t xml:space="preserve">פורת </t>
  </si>
  <si>
    <t>0507987256</t>
  </si>
  <si>
    <t>בית חולים שניידר</t>
  </si>
  <si>
    <t xml:space="preserve">חלה בפעם השלישית </t>
  </si>
  <si>
    <t>בערך שנה</t>
  </si>
  <si>
    <t>לנגרנס</t>
  </si>
  <si>
    <t>דויד/דודי</t>
  </si>
  <si>
    <t>0506961924</t>
  </si>
  <si>
    <t>אליאור מנחם</t>
  </si>
  <si>
    <t>0509595464</t>
  </si>
  <si>
    <t>הרימון 193/1</t>
  </si>
  <si>
    <t>אדורה</t>
  </si>
  <si>
    <t>0538279541</t>
  </si>
  <si>
    <t>הדסה</t>
  </si>
  <si>
    <t>2/22025</t>
  </si>
  <si>
    <t>9/9/24</t>
  </si>
  <si>
    <t xml:space="preserve">שי </t>
  </si>
  <si>
    <t>0549003489</t>
  </si>
  <si>
    <t>0526779541</t>
  </si>
  <si>
    <t xml:space="preserve">טוהר דהאן </t>
  </si>
  <si>
    <t>בן אליעזר 3</t>
  </si>
  <si>
    <t xml:space="preserve">חולון </t>
  </si>
  <si>
    <t xml:space="preserve">052-8380471 של האמא </t>
  </si>
  <si>
    <t xml:space="preserve">בית דנה איכילוב </t>
  </si>
  <si>
    <t>אחרי ניתוח להוצאת גידול בריאה , עוברת כרגע טיפולים כימותרפיים</t>
  </si>
  <si>
    <t xml:space="preserve">16+17 לדצמבר כימוטרפיה אחרון ואז מעקבים </t>
  </si>
  <si>
    <t xml:space="preserve">לא כלכך </t>
  </si>
  <si>
    <t xml:space="preserve">גידול ממאיר בריאה השמאלית </t>
  </si>
  <si>
    <t>30/05/25</t>
  </si>
  <si>
    <t>0542882295</t>
  </si>
  <si>
    <t>0528380471</t>
  </si>
  <si>
    <t>עידן מזיג</t>
  </si>
  <si>
    <t>סוף טיפול אחזקתי</t>
  </si>
  <si>
    <t>סוף החודש בעזרת השם!!!!</t>
  </si>
  <si>
    <t>כן. גם רגיל בקיבוץ.</t>
  </si>
  <si>
    <t>לוקמיה ALL-B</t>
  </si>
  <si>
    <t>18/10/2023</t>
  </si>
  <si>
    <t>0507371251</t>
  </si>
  <si>
    <t>0507240500</t>
  </si>
  <si>
    <t>אח צעיר אחד</t>
  </si>
  <si>
    <t>מייק איידלמן</t>
  </si>
  <si>
    <t>ברנט זרח 22</t>
  </si>
  <si>
    <t>0545588827</t>
  </si>
  <si>
    <t>סיים טיפול שלשום</t>
  </si>
  <si>
    <t>ארבעה חודשים בערך</t>
  </si>
  <si>
    <t>0545447818</t>
  </si>
  <si>
    <t>קירה</t>
  </si>
  <si>
    <t>0545588826</t>
  </si>
  <si>
    <t>אשמח לדעת לגבי תוכניות וטיולים במידה ויש לילדים</t>
  </si>
  <si>
    <t>מייק אידלמן בן 14 מפתח תקווה. ילד מתוק שבדיוק סייים סבב קשוח של טיפולים, ישמח מאוד שיבואו לשבת איתו על שיעורי בית, יוציאו אותו מדי פעם לטייל קצת, מישהו שיהיה כמו חבר בשבילו.</t>
  </si>
  <si>
    <t>כשהוא לא נטופני הוא ישמח מאוד לחונכות - ישמחו מאוד להצטרף לדובאי השאלה מתי הטיסה תהיה 
עדיין לא דיברה עם מייק, תדבר איתו היום ותעדכן אותי תשובה סופית</t>
  </si>
  <si>
    <t>יהודית אבטה</t>
  </si>
  <si>
    <t>יעל 11</t>
  </si>
  <si>
    <t>0585835180</t>
  </si>
  <si>
    <t>כימו אחרי השתלה</t>
  </si>
  <si>
    <t>שלושה חודשים</t>
  </si>
  <si>
    <t>אמביאה</t>
  </si>
  <si>
    <t>0546537225</t>
  </si>
  <si>
    <t>05428662018</t>
  </si>
  <si>
    <t xml:space="preserve">היי זו בת שירות ממלאה להם את הכל האבא בקושי מבין עברית ובכללי הם משפחה במצב דיי קשה יהודית יותר מתשמח וממש צריכה חונכת ותמיכה אל תוותרו עליה תילחמו עליה והיא תיפתח ותהנה מכם הכי בעולם כשיש משהו תתקשרו אליה או לאחותה) שרה-0535213871( או אליי )איילה-0546289562(  ואוכל לתווך לה כי ההורים לא בעניינים. </t>
  </si>
  <si>
    <t>ההורים לא ממש הבינו אותי, ניסיתי לחייג לבת שירות וגם לא ענתה לי 03/12</t>
  </si>
  <si>
    <t>אור-יה פיסיהה</t>
  </si>
  <si>
    <t>אסתר המלכה 11 דירה 2</t>
  </si>
  <si>
    <t>חולה פעיל</t>
  </si>
  <si>
    <t>מרץ -אפריל</t>
  </si>
  <si>
    <t>ווליאמס טומורו</t>
  </si>
  <si>
    <t>מרה</t>
  </si>
  <si>
    <t>0523955123</t>
  </si>
  <si>
    <t>0526130729</t>
  </si>
  <si>
    <t>אור-יה פיסיהה בן 6.5 מקריית גת. ילד חייכן, אנרגטי ושובב מאוד. אוהב מחשקים בטלפון, כדורגל, ציור, שחייה, נינג'ה ולקפוץ ולטפס בכל מקום.תאום ללירן שאוהבת לרקוד ולשיר. טוהר בת 9 משחקת כדורגל ועושה פיתוח קול. עילאי בן 13 לומד בפנימיה לכדורגל של מכבי חיפה. תהל בת 15 שחקנית כדורגל מקצועית. ולישי שהוא חייל. צריך חונכ/ת רגיש ואסרטיבי, יצירתי, מישהו עם אנרגיות. האמא מתוקה ממש ומושקעת בעניין</t>
  </si>
  <si>
    <t>חושן</t>
  </si>
  <si>
    <t>גבעת יער</t>
  </si>
  <si>
    <t>0529262013</t>
  </si>
  <si>
    <t>0523630976</t>
  </si>
  <si>
    <t>פרי</t>
  </si>
  <si>
    <t>0548091084</t>
  </si>
  <si>
    <t>עומר אדם!!!</t>
  </si>
  <si>
    <t>טסים לטיפולים בחול</t>
  </si>
  <si>
    <t>ליאם נעים</t>
  </si>
  <si>
    <t>דפנה</t>
  </si>
  <si>
    <t>0506315003</t>
  </si>
  <si>
    <t>גידול מוחי</t>
  </si>
  <si>
    <t>אין פרוטוקול. זהו גידול נדיר שלא יודעים איך לטפל בו</t>
  </si>
  <si>
    <t>גידול מוחי נדיר</t>
  </si>
  <si>
    <t>21.06.21</t>
  </si>
  <si>
    <t>בנימין</t>
  </si>
  <si>
    <t>נשמח לדעת על פעילויות/נופשים/תמיכה בשעות פנאי</t>
  </si>
  <si>
    <t>ליאם נעים בן 13 מרחובות. מטופל בשניידר. יש לו גידול מאוד נדיר אז אין ממש פרוטוקול טיפול, בעיקר מעקבים לראות שלא מדרדר. האבא חטף דום לב בחגים, הוא עם נזק מוחי בבית חולים מאושפז במצב לא טוב כך שהאמא איתו כל הזמן. יש לליאם עוד אח. הם אוהבים הכל וצריכים בעיקר התייחסות,חום ואהבה. עזרה בשיעורי בית וכל מה שאפשר לתת. מצריך חבר'ה בוגרים והתייחבות!!</t>
  </si>
  <si>
    <t xml:space="preserve">ישמחו מאוד לקבל חונכות פעם או פעמיים בשבוע שיוכל לעשות איתו שיעורי בית </t>
  </si>
  <si>
    <t>נועה אהרון</t>
  </si>
  <si>
    <t xml:space="preserve">משה לוי 6 </t>
  </si>
  <si>
    <t>כל ארבעה שבועות טיפול</t>
  </si>
  <si>
    <t>יולי 23</t>
  </si>
  <si>
    <t>10.10.22</t>
  </si>
  <si>
    <t>0528038124</t>
  </si>
  <si>
    <t>שיראל</t>
  </si>
  <si>
    <t>0543985070</t>
  </si>
  <si>
    <t>ישמחו לחונכות- חונכת הן 3 בנות</t>
  </si>
  <si>
    <t>נועה אהרון בת 3 מרמלה. אוהבת ממש משחקיות לפעוטות, מגנטים, לגו, צביעה וכו. לפעמים קצת קשה לה בהתחלה להיפתח לאנשים חדשים אבל כשנפתחת ממש מתמסרת. מתעייפת יחסית מהר. אחיות שלה חמודות ממש בנות 11 ו7 וחצי. האמא מתוקה וזורמת.</t>
  </si>
  <si>
    <t>אוריאן מקייטן?</t>
  </si>
  <si>
    <t>ביום ראשון במכון האונקולוגי וישמחו מאוד לביקור</t>
  </si>
  <si>
    <t>22/12/2025</t>
  </si>
  <si>
    <t>נגה שפרינגר</t>
  </si>
  <si>
    <t>שלם 10</t>
  </si>
  <si>
    <t>מורשת</t>
  </si>
  <si>
    <t>11/2022</t>
  </si>
  <si>
    <t>0548348999</t>
  </si>
  <si>
    <t>23/12/2025</t>
  </si>
  <si>
    <t>שלי אוזיאל</t>
  </si>
  <si>
    <t xml:space="preserve">נעמי שמר 12 </t>
  </si>
  <si>
    <t>0522565428</t>
  </si>
  <si>
    <t>מטופלת בכדורים מגיעה לבדיקות כל שבוע אחרי השתלת מח עצם</t>
  </si>
  <si>
    <t>הטיפול האחרון היה ב10.02.25</t>
  </si>
  <si>
    <t>לוקמיה חריפה וגידול בלב</t>
  </si>
  <si>
    <t>14.11.2024</t>
  </si>
  <si>
    <t>פלורי</t>
  </si>
  <si>
    <t>0528226713</t>
  </si>
  <si>
    <t>אח אחד</t>
  </si>
  <si>
    <t>אשמח שתקשרו אותי לעוד מחלימים ואשמח לצאת לטיולים ולהקשר ולהכיר אנשים חדשים</t>
  </si>
  <si>
    <t>נהוראי פלבני</t>
  </si>
  <si>
    <t>דב גרונר215/9</t>
  </si>
  <si>
    <t>0544546175</t>
  </si>
  <si>
    <t>הדסה ע"כ</t>
  </si>
  <si>
    <t>אובחן באוסטוסרקומה</t>
  </si>
  <si>
    <t>במסגרת ישיבתית</t>
  </si>
  <si>
    <t>מאובחן כחולה באוסטוסרקומה</t>
  </si>
  <si>
    <t>01/12/2025</t>
  </si>
  <si>
    <t>0537256179</t>
  </si>
  <si>
    <t>בניה שטרן</t>
  </si>
  <si>
    <t>רמת עמידר 3</t>
  </si>
  <si>
    <t>מודולבסטומה</t>
  </si>
  <si>
    <t>21.7.24</t>
  </si>
  <si>
    <t>משפחה דתית מעוניינים בחונכות אוהב סמי הכבאי פליימוביל וספרים</t>
  </si>
  <si>
    <t>שם מלא</t>
  </si>
  <si>
    <t>מספר טלפון אישי</t>
  </si>
  <si>
    <t>מגדר</t>
  </si>
  <si>
    <t>כתובת מגורים מלאה</t>
  </si>
  <si>
    <t>מצב רפואי עדכני (אחזקה, טיפולים, סיימת טיפולים וכו..)</t>
  </si>
  <si>
    <t>אם סיימת טיפולים - באיזה תאריך סיימת</t>
  </si>
  <si>
    <t>תעודת זהות בוגר/ת</t>
  </si>
  <si>
    <t>שם ההורה</t>
  </si>
  <si>
    <t>טלפון הורה (שימו לב להכניס את הטלפון של ההורה מהסעיף הקודם)</t>
  </si>
  <si>
    <t>בקשות אישיות או דברים שחשוב לך שנדע :)</t>
  </si>
  <si>
    <t>הערות פנימי</t>
  </si>
  <si>
    <t>אדל וייסקובוי</t>
  </si>
  <si>
    <t xml:space="preserve">שולמית אלוני 1 ראשון לציון </t>
  </si>
  <si>
    <t xml:space="preserve">טרשת נפוצה </t>
  </si>
  <si>
    <t xml:space="preserve">כרגע מחליפה לטיפול חדש </t>
  </si>
  <si>
    <t>ילנה וייסקובוי (אמא)</t>
  </si>
  <si>
    <t>0526936928</t>
  </si>
  <si>
    <t>23/05/2022</t>
  </si>
  <si>
    <t>ציקובני אלינה</t>
  </si>
  <si>
    <t>האילנות 2/9 כפר סבא</t>
  </si>
  <si>
    <t>Anemia Aplastic</t>
  </si>
  <si>
    <t>במעקבים בבית ספר בכיתת חינוך מיוחד פעם בכמה שבועות.</t>
  </si>
  <si>
    <t>אין שיתוף פעולה</t>
  </si>
  <si>
    <t>אוקסנה</t>
  </si>
  <si>
    <t>אם חד הורית,לא עובדת בערך שנתיים.ילדה מטופלת בשלוותה (מחשבות הובדניות עקב חרם בבית ספר עם ניסיונות)עכשיו בנוסף מטופלת בבית חולים שניידר עם אנמיה אפלסטית</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</si>
</sst>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dd&quot;/&quot;mm&quot;/&quot;yyyy"/>
    <numFmt numFmtId="165" formatCode="m/d/yyyy h:mm:ss"/>
    <numFmt numFmtId="166" formatCode="m/d/yy"/>
    <numFmt numFmtId="167" formatCode="m&quot;/&quot;d&quot;/&quot;yyyy"/>
    <numFmt numFmtId="168" formatCode="M/d/yyyy"/>
    <numFmt numFmtId="169" formatCode="mm/yyyy"/>
    <numFmt numFmtId="170" formatCode="yyyy-mm-dd"/>
    <numFmt numFmtId="171" formatCode="mmmm d"/>
    <numFmt numFmtId="172" formatCode="m/d/yyyy"/>
    <numFmt numFmtId="173" formatCode="#,##0.0"/>
    <numFmt numFmtId="174" formatCode="mm/dd/yy"/>
    <numFmt numFmtId="175" formatCode="mm/dd/yyyy"/>
    <numFmt numFmtId="176" formatCode="mm/dd"/>
  </numFmts>
  <fonts count="8">
    <font>
      <sz val="10.0"/>
      <color rgb="FF000000"/>
      <name val="Arial"/>
      <scheme val="minor"/>
    </font>
    <font>
      <color theme="1"/>
      <name val="Arial"/>
      <scheme val="minor"/>
    </font>
    <font>
      <sz val="12.0"/>
      <color rgb="FF000000"/>
      <name val="Arial"/>
    </font>
    <font>
      <sz val="12.0"/>
      <color theme="1"/>
      <name val="Arial"/>
    </font>
    <font>
      <sz val="12.0"/>
      <color rgb="FF434343"/>
      <name val="Arial"/>
    </font>
    <font>
      <sz val="13.0"/>
      <color theme="1"/>
      <name val="Arial"/>
    </font>
    <font>
      <sz val="12.0"/>
      <color theme="1"/>
      <name val="Arial"/>
      <scheme val="minor"/>
    </font>
    <font>
      <color theme="1"/>
      <name val="Arial"/>
    </font>
  </fonts>
  <fills count="13">
    <fill>
      <patternFill patternType="none"/>
    </fill>
    <fill>
      <patternFill patternType="lightGray"/>
    </fill>
    <fill>
      <patternFill patternType="solid">
        <fgColor rgb="FFFFFF00"/>
        <bgColor rgb="FFFFFF00"/>
      </patternFill>
    </fill>
    <fill>
      <patternFill patternType="solid">
        <fgColor rgb="FFFFC70F"/>
        <bgColor rgb="FFFFC70F"/>
      </patternFill>
    </fill>
    <fill>
      <patternFill patternType="solid">
        <fgColor rgb="FFF8F9FA"/>
        <bgColor rgb="FFF8F9FA"/>
      </patternFill>
    </fill>
    <fill>
      <patternFill patternType="solid">
        <fgColor rgb="FFFFFFFF"/>
        <bgColor rgb="FFFFFFFF"/>
      </patternFill>
    </fill>
    <fill>
      <patternFill patternType="solid">
        <fgColor rgb="FF6AE7F9"/>
        <bgColor rgb="FF6AE7F9"/>
      </patternFill>
    </fill>
    <fill>
      <patternFill patternType="solid">
        <fgColor rgb="FF95FF00"/>
        <bgColor rgb="FF95FF00"/>
      </patternFill>
    </fill>
    <fill>
      <patternFill patternType="solid">
        <fgColor rgb="FF2480F3"/>
        <bgColor rgb="FF2480F3"/>
      </patternFill>
    </fill>
    <fill>
      <patternFill patternType="solid">
        <fgColor rgb="FFF9CB9C"/>
        <bgColor rgb="FFF9CB9C"/>
      </patternFill>
    </fill>
    <fill>
      <patternFill patternType="solid">
        <fgColor rgb="FF00FFFF"/>
        <bgColor rgb="FF00FFFF"/>
      </patternFill>
    </fill>
    <fill>
      <patternFill patternType="solid">
        <fgColor rgb="FFFFD966"/>
        <bgColor rgb="FFFFD966"/>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0" fillId="0" fontId="1" numFmtId="164" xfId="0" applyAlignment="1" applyFont="1" applyNumberFormat="1">
      <alignment horizontal="right" readingOrder="0" shrinkToFit="0" vertical="center" wrapText="0"/>
    </xf>
    <xf borderId="0" fillId="0" fontId="1" numFmtId="49" xfId="0" applyAlignment="1" applyFont="1" applyNumberFormat="1">
      <alignment horizontal="right" readingOrder="0" shrinkToFit="0" vertical="center" wrapText="0"/>
    </xf>
    <xf borderId="0" fillId="0" fontId="1" numFmtId="0" xfId="0" applyAlignment="1" applyFont="1">
      <alignment horizontal="right" readingOrder="0" shrinkToFit="0" vertical="center" wrapText="1"/>
    </xf>
    <xf borderId="0" fillId="0" fontId="1" numFmtId="0" xfId="0" applyAlignment="1" applyFont="1">
      <alignment horizontal="right"/>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horizontal="right"/>
    </xf>
    <xf borderId="0" fillId="0" fontId="1" numFmtId="0" xfId="0" applyAlignment="1" applyFont="1">
      <alignment horizontal="right" shrinkToFit="0" wrapText="1"/>
    </xf>
    <xf borderId="1" fillId="0" fontId="2" numFmtId="0" xfId="0" applyAlignment="1" applyBorder="1" applyFont="1">
      <alignment horizontal="right" readingOrder="0" shrinkToFit="0" vertical="center" wrapText="1"/>
    </xf>
    <xf borderId="1" fillId="0" fontId="2" numFmtId="164" xfId="0" applyAlignment="1" applyBorder="1" applyFont="1" applyNumberFormat="1">
      <alignment horizontal="right" readingOrder="0" shrinkToFit="0" vertical="center" wrapText="1"/>
    </xf>
    <xf borderId="1" fillId="0" fontId="2" numFmtId="1" xfId="0" applyAlignment="1" applyBorder="1" applyFont="1" applyNumberFormat="1">
      <alignment horizontal="right" readingOrder="0" shrinkToFit="0" vertical="center" wrapText="1"/>
    </xf>
    <xf borderId="1" fillId="0" fontId="3" numFmtId="0" xfId="0" applyAlignment="1" applyBorder="1" applyFont="1">
      <alignment horizontal="right" shrinkToFit="0" vertical="center" wrapText="1"/>
    </xf>
    <xf borderId="1" fillId="0" fontId="2" numFmtId="0" xfId="0" applyAlignment="1" applyBorder="1" applyFont="1">
      <alignment horizontal="right" shrinkToFit="0" vertical="center" wrapText="1"/>
    </xf>
    <xf borderId="1" fillId="0" fontId="2" numFmtId="0" xfId="0" applyAlignment="1" applyBorder="1" applyFont="1">
      <alignment horizontal="right" readingOrder="0" shrinkToFit="0" vertical="center" wrapText="1"/>
    </xf>
    <xf borderId="1" fillId="0" fontId="3" numFmtId="0" xfId="0" applyAlignment="1" applyBorder="1" applyFont="1">
      <alignment horizontal="right" readingOrder="0" shrinkToFit="0" vertical="center" wrapText="1"/>
    </xf>
    <xf borderId="1" fillId="0" fontId="4" numFmtId="0" xfId="0" applyAlignment="1" applyBorder="1" applyFont="1">
      <alignment horizontal="right" shrinkToFit="0" vertical="center" wrapText="1"/>
    </xf>
    <xf borderId="1" fillId="0" fontId="4" numFmtId="14" xfId="0" applyAlignment="1" applyBorder="1" applyFont="1" applyNumberFormat="1">
      <alignment horizontal="right" readingOrder="0" shrinkToFit="0" vertical="center" wrapText="1"/>
    </xf>
    <xf borderId="1" fillId="0" fontId="3" numFmtId="0" xfId="0" applyAlignment="1" applyBorder="1" applyFont="1">
      <alignment horizontal="right" readingOrder="0" shrinkToFit="0" vertical="center" wrapText="1"/>
    </xf>
    <xf quotePrefix="1" borderId="1" fillId="0" fontId="3" numFmtId="0" xfId="0" applyAlignment="1" applyBorder="1" applyFont="1">
      <alignment horizontal="right" shrinkToFit="0" vertical="center" wrapText="1"/>
    </xf>
    <xf borderId="1" fillId="0" fontId="3" numFmtId="0" xfId="0" applyAlignment="1" applyBorder="1" applyFont="1">
      <alignment horizontal="right" shrinkToFit="0" vertical="center" wrapText="1"/>
    </xf>
    <xf borderId="1" fillId="0" fontId="4" numFmtId="164" xfId="0" applyAlignment="1" applyBorder="1" applyFont="1" applyNumberFormat="1">
      <alignment horizontal="right" shrinkToFit="0" vertical="center" wrapText="1"/>
    </xf>
    <xf quotePrefix="1" borderId="1" fillId="0" fontId="4" numFmtId="0" xfId="0" applyAlignment="1" applyBorder="1" applyFont="1">
      <alignment horizontal="right" shrinkToFit="0" vertical="center" wrapText="1"/>
    </xf>
    <xf borderId="1" fillId="0" fontId="4" numFmtId="0" xfId="0" applyAlignment="1" applyBorder="1" applyFont="1">
      <alignment horizontal="right" readingOrder="0" shrinkToFit="0" vertical="center" wrapText="1"/>
    </xf>
    <xf borderId="1" fillId="0" fontId="4" numFmtId="0" xfId="0" applyAlignment="1" applyBorder="1" applyFont="1">
      <alignment horizontal="right" readingOrder="0" shrinkToFit="0" vertical="center" wrapText="1"/>
    </xf>
    <xf borderId="1" fillId="0" fontId="4" numFmtId="164" xfId="0" applyAlignment="1" applyBorder="1" applyFont="1" applyNumberFormat="1">
      <alignment horizontal="right" readingOrder="0" shrinkToFit="0" vertical="center" wrapText="1"/>
    </xf>
    <xf borderId="1" fillId="0" fontId="2" numFmtId="164" xfId="0" applyAlignment="1" applyBorder="1" applyFont="1" applyNumberFormat="1">
      <alignment horizontal="right" readingOrder="0" shrinkToFit="0" vertical="center" wrapText="1"/>
    </xf>
    <xf borderId="1" fillId="0" fontId="2" numFmtId="166" xfId="0" applyAlignment="1" applyBorder="1" applyFont="1" applyNumberFormat="1">
      <alignment horizontal="right" readingOrder="0" shrinkToFit="0" vertical="center" wrapText="1"/>
    </xf>
    <xf borderId="1" fillId="0" fontId="2" numFmtId="0" xfId="0" applyAlignment="1" applyBorder="1" applyFont="1">
      <alignment horizontal="right" shrinkToFit="0" vertical="center" wrapText="1"/>
    </xf>
    <xf borderId="1" fillId="0" fontId="3" numFmtId="0" xfId="0" applyAlignment="1" applyBorder="1" applyFont="1">
      <alignment horizontal="right" vertical="bottom"/>
    </xf>
    <xf borderId="1" fillId="0" fontId="3" numFmtId="167" xfId="0" applyAlignment="1" applyBorder="1" applyFont="1" applyNumberFormat="1">
      <alignment horizontal="right" vertical="bottom"/>
    </xf>
    <xf borderId="1" fillId="0" fontId="2" numFmtId="0" xfId="0" applyAlignment="1" applyBorder="1" applyFont="1">
      <alignment horizontal="right" readingOrder="0" shrinkToFit="0" vertical="bottom" wrapText="1"/>
    </xf>
    <xf quotePrefix="1" borderId="1" fillId="0" fontId="3" numFmtId="0" xfId="0" applyAlignment="1" applyBorder="1" applyFont="1">
      <alignment horizontal="right" vertical="bottom"/>
    </xf>
    <xf borderId="1" fillId="0" fontId="3" numFmtId="14" xfId="0" applyAlignment="1" applyBorder="1" applyFont="1" applyNumberFormat="1">
      <alignment horizontal="right" vertical="bottom"/>
    </xf>
    <xf borderId="1" fillId="0" fontId="3" numFmtId="168" xfId="0" applyAlignment="1" applyBorder="1" applyFont="1" applyNumberFormat="1">
      <alignment horizontal="right" vertical="bottom"/>
    </xf>
    <xf borderId="1" fillId="0" fontId="3" numFmtId="0" xfId="0" applyAlignment="1" applyBorder="1" applyFont="1">
      <alignment horizontal="right" shrinkToFit="0" vertical="bottom" wrapText="1"/>
    </xf>
    <xf borderId="1" fillId="0" fontId="3" numFmtId="0" xfId="0" applyAlignment="1" applyBorder="1" applyFont="1">
      <alignment horizontal="right" readingOrder="0" vertical="bottom"/>
    </xf>
    <xf borderId="1" fillId="0" fontId="2" numFmtId="0" xfId="0" applyAlignment="1" applyBorder="1" applyFont="1">
      <alignment horizontal="right" readingOrder="0" shrinkToFit="0" vertical="center" wrapText="1"/>
    </xf>
    <xf borderId="1" fillId="2" fontId="2" numFmtId="0" xfId="0" applyAlignment="1" applyBorder="1" applyFill="1" applyFont="1">
      <alignment horizontal="right" readingOrder="0" shrinkToFit="0" vertical="center" wrapText="1"/>
    </xf>
    <xf borderId="1" fillId="2" fontId="3" numFmtId="0" xfId="0" applyAlignment="1" applyBorder="1" applyFont="1">
      <alignment horizontal="right" readingOrder="0" shrinkToFit="0" vertical="center" wrapText="1"/>
    </xf>
    <xf borderId="1" fillId="2" fontId="3" numFmtId="0" xfId="0" applyAlignment="1" applyBorder="1" applyFont="1">
      <alignment horizontal="right" vertical="bottom"/>
    </xf>
    <xf borderId="1" fillId="2" fontId="3" numFmtId="167" xfId="0" applyAlignment="1" applyBorder="1" applyFont="1" applyNumberFormat="1">
      <alignment horizontal="right" vertical="bottom"/>
    </xf>
    <xf borderId="1" fillId="2" fontId="3" numFmtId="0" xfId="0" applyAlignment="1" applyBorder="1" applyFont="1">
      <alignment horizontal="right" readingOrder="0" shrinkToFit="0" vertical="center" wrapText="1"/>
    </xf>
    <xf borderId="1" fillId="2" fontId="2" numFmtId="0" xfId="0" applyAlignment="1" applyBorder="1" applyFont="1">
      <alignment horizontal="right" readingOrder="0" shrinkToFit="0" vertical="bottom" wrapText="1"/>
    </xf>
    <xf borderId="1" fillId="2" fontId="3" numFmtId="0" xfId="0" applyAlignment="1" applyBorder="1" applyFont="1">
      <alignment horizontal="right" readingOrder="0" vertical="bottom"/>
    </xf>
    <xf borderId="1" fillId="2" fontId="2" numFmtId="0" xfId="0" applyAlignment="1" applyBorder="1" applyFont="1">
      <alignment horizontal="right" shrinkToFit="0" vertical="center" wrapText="1"/>
    </xf>
    <xf borderId="1" fillId="2" fontId="3" numFmtId="0" xfId="0" applyAlignment="1" applyBorder="1" applyFont="1">
      <alignment horizontal="right" shrinkToFit="0" vertical="bottom" wrapText="0"/>
    </xf>
    <xf borderId="1" fillId="2" fontId="2" numFmtId="0" xfId="0" applyAlignment="1" applyBorder="1" applyFont="1">
      <alignment horizontal="right" readingOrder="0" shrinkToFit="0" vertical="center" wrapText="1"/>
    </xf>
    <xf borderId="1" fillId="2" fontId="3" numFmtId="168" xfId="0" applyAlignment="1" applyBorder="1" applyFont="1" applyNumberFormat="1">
      <alignment horizontal="right" vertical="bottom"/>
    </xf>
    <xf quotePrefix="1" borderId="1" fillId="2" fontId="3" numFmtId="0" xfId="0" applyAlignment="1" applyBorder="1" applyFont="1">
      <alignment horizontal="right" vertical="bottom"/>
    </xf>
    <xf borderId="1" fillId="2" fontId="3" numFmtId="0" xfId="0" applyAlignment="1" applyBorder="1" applyFont="1">
      <alignment horizontal="right" shrinkToFit="0" vertical="center" wrapText="1"/>
    </xf>
    <xf borderId="1" fillId="2" fontId="3" numFmtId="0" xfId="0" applyAlignment="1" applyBorder="1" applyFont="1">
      <alignment horizontal="right" shrinkToFit="0" vertical="bottom" wrapText="1"/>
    </xf>
    <xf borderId="1" fillId="0" fontId="2" numFmtId="0" xfId="0" applyAlignment="1" applyBorder="1" applyFont="1">
      <alignment horizontal="right" readingOrder="0" shrinkToFit="0" vertical="bottom" wrapText="1"/>
    </xf>
    <xf borderId="1" fillId="0" fontId="3" numFmtId="0" xfId="0" applyAlignment="1" applyBorder="1" applyFont="1">
      <alignment horizontal="right" readingOrder="0"/>
    </xf>
    <xf borderId="1" fillId="0" fontId="3" numFmtId="167" xfId="0" applyAlignment="1" applyBorder="1" applyFont="1" applyNumberFormat="1">
      <alignment horizontal="right" readingOrder="0"/>
    </xf>
    <xf borderId="1" fillId="0" fontId="3" numFmtId="0" xfId="0" applyAlignment="1" applyBorder="1" applyFont="1">
      <alignment horizontal="right" readingOrder="0"/>
    </xf>
    <xf borderId="1" fillId="0" fontId="3" numFmtId="0" xfId="0" applyAlignment="1" applyBorder="1" applyFont="1">
      <alignment horizontal="right"/>
    </xf>
    <xf borderId="1" fillId="0" fontId="3" numFmtId="168" xfId="0" applyAlignment="1" applyBorder="1" applyFont="1" applyNumberFormat="1">
      <alignment horizontal="right" readingOrder="0"/>
    </xf>
    <xf borderId="1" fillId="0" fontId="3" numFmtId="0" xfId="0" applyAlignment="1" applyBorder="1" applyFont="1">
      <alignment horizontal="right" shrinkToFit="0" wrapText="1"/>
    </xf>
    <xf quotePrefix="1" borderId="1" fillId="0" fontId="3" numFmtId="0" xfId="0" applyAlignment="1" applyBorder="1" applyFont="1">
      <alignment horizontal="right" readingOrder="0"/>
    </xf>
    <xf borderId="1" fillId="0" fontId="3" numFmtId="14" xfId="0" applyAlignment="1" applyBorder="1" applyFont="1" applyNumberFormat="1">
      <alignment horizontal="right" readingOrder="0"/>
    </xf>
    <xf borderId="1" fillId="0" fontId="3" numFmtId="0" xfId="0" applyAlignment="1" applyBorder="1" applyFont="1">
      <alignment horizontal="right" shrinkToFit="0" vertical="bottom" wrapText="0"/>
    </xf>
    <xf quotePrefix="1" borderId="1" fillId="0" fontId="2" numFmtId="0" xfId="0" applyAlignment="1" applyBorder="1" applyFont="1">
      <alignment horizontal="right" shrinkToFit="0" vertical="center" wrapText="1"/>
    </xf>
    <xf borderId="1" fillId="0" fontId="2" numFmtId="0" xfId="0" applyAlignment="1" applyBorder="1" applyFont="1">
      <alignment horizontal="right" shrinkToFit="0" vertical="center" wrapText="1"/>
    </xf>
    <xf borderId="1" fillId="2" fontId="4" numFmtId="0" xfId="0" applyAlignment="1" applyBorder="1" applyFont="1">
      <alignment horizontal="right" shrinkToFit="0" vertical="center" wrapText="1"/>
    </xf>
    <xf borderId="1" fillId="2" fontId="4" numFmtId="14" xfId="0" applyAlignment="1" applyBorder="1" applyFont="1" applyNumberFormat="1">
      <alignment horizontal="right" readingOrder="0" shrinkToFit="0" vertical="center" wrapText="1"/>
    </xf>
    <xf borderId="1" fillId="2" fontId="4" numFmtId="164" xfId="0" applyAlignment="1" applyBorder="1" applyFont="1" applyNumberFormat="1">
      <alignment horizontal="right" readingOrder="0" shrinkToFit="0" vertical="center" wrapText="1"/>
    </xf>
    <xf quotePrefix="1" borderId="1" fillId="2" fontId="4" numFmtId="0" xfId="0" applyAlignment="1" applyBorder="1" applyFont="1">
      <alignment horizontal="right" shrinkToFit="0" vertical="center" wrapText="1"/>
    </xf>
    <xf borderId="1" fillId="2" fontId="4" numFmtId="0" xfId="0" applyAlignment="1" applyBorder="1" applyFont="1">
      <alignment horizontal="right" readingOrder="0" shrinkToFit="0" vertical="center" wrapText="1"/>
    </xf>
    <xf borderId="1" fillId="2" fontId="4" numFmtId="0" xfId="0" applyAlignment="1" applyBorder="1" applyFont="1">
      <alignment horizontal="right" readingOrder="0" shrinkToFit="0" vertical="center" wrapText="1"/>
    </xf>
    <xf borderId="1" fillId="0" fontId="3" numFmtId="168" xfId="0" applyAlignment="1" applyBorder="1" applyFont="1" applyNumberFormat="1">
      <alignment horizontal="right" readingOrder="0" vertical="bottom"/>
    </xf>
    <xf borderId="1" fillId="2" fontId="2" numFmtId="164" xfId="0" applyAlignment="1" applyBorder="1" applyFont="1" applyNumberFormat="1">
      <alignment horizontal="right" readingOrder="0" shrinkToFit="0" vertical="center" wrapText="1"/>
    </xf>
    <xf borderId="1" fillId="0" fontId="2" numFmtId="169" xfId="0" applyAlignment="1" applyBorder="1" applyFont="1" applyNumberFormat="1">
      <alignment horizontal="right" readingOrder="0" shrinkToFit="0" vertical="center" wrapText="1"/>
    </xf>
    <xf borderId="1" fillId="3" fontId="2" numFmtId="0" xfId="0" applyAlignment="1" applyBorder="1" applyFill="1" applyFont="1">
      <alignment horizontal="right" readingOrder="0" shrinkToFit="0" vertical="center" wrapText="1"/>
    </xf>
    <xf borderId="1" fillId="4" fontId="3" numFmtId="0" xfId="0" applyAlignment="1" applyBorder="1" applyFill="1" applyFont="1">
      <alignment horizontal="right" shrinkToFit="0" wrapText="1"/>
    </xf>
    <xf quotePrefix="1" borderId="1" fillId="4" fontId="3" numFmtId="0" xfId="0" applyAlignment="1" applyBorder="1" applyFont="1">
      <alignment horizontal="right" shrinkToFit="0" wrapText="1"/>
    </xf>
    <xf borderId="1" fillId="4" fontId="3" numFmtId="0" xfId="0" applyAlignment="1" applyBorder="1" applyFont="1">
      <alignment horizontal="right" readingOrder="0" shrinkToFit="0" wrapText="1"/>
    </xf>
    <xf borderId="1" fillId="4" fontId="5" numFmtId="0" xfId="0" applyAlignment="1" applyBorder="1" applyFont="1">
      <alignment readingOrder="0"/>
    </xf>
    <xf borderId="1" fillId="4" fontId="3" numFmtId="164" xfId="0" applyAlignment="1" applyBorder="1" applyFont="1" applyNumberFormat="1">
      <alignment horizontal="right" shrinkToFit="0" wrapText="1"/>
    </xf>
    <xf quotePrefix="1" borderId="1" fillId="4" fontId="3" numFmtId="0" xfId="0" applyAlignment="1" applyBorder="1" applyFont="1">
      <alignment horizontal="right" shrinkToFit="0" wrapText="1"/>
    </xf>
    <xf borderId="1" fillId="0" fontId="3" numFmtId="0" xfId="0" applyAlignment="1" applyBorder="1" applyFont="1">
      <alignment horizontal="right" readingOrder="0" shrinkToFit="0" wrapText="1"/>
    </xf>
    <xf borderId="1" fillId="5" fontId="2" numFmtId="0" xfId="0" applyAlignment="1" applyBorder="1" applyFill="1" applyFont="1">
      <alignment horizontal="right" readingOrder="0" shrinkToFit="0" vertical="center" wrapText="1"/>
    </xf>
    <xf borderId="1" fillId="0" fontId="3" numFmtId="14" xfId="0" applyAlignment="1" applyBorder="1" applyFont="1" applyNumberFormat="1">
      <alignment horizontal="right" readingOrder="0" shrinkToFit="0" vertical="center" wrapText="1"/>
    </xf>
    <xf quotePrefix="1" borderId="1" fillId="0" fontId="3" numFmtId="0" xfId="0" applyAlignment="1" applyBorder="1" applyFont="1">
      <alignment horizontal="right" readingOrder="0" shrinkToFit="0" vertical="center" wrapText="1"/>
    </xf>
    <xf borderId="1" fillId="0" fontId="3" numFmtId="164" xfId="0" applyAlignment="1" applyBorder="1" applyFont="1" applyNumberFormat="1">
      <alignment horizontal="right" readingOrder="0" shrinkToFit="0" vertical="center" wrapText="1"/>
    </xf>
    <xf borderId="1" fillId="0" fontId="2" numFmtId="170" xfId="0" applyAlignment="1" applyBorder="1" applyFont="1" applyNumberFormat="1">
      <alignment horizontal="right" readingOrder="0" shrinkToFit="0" vertical="center" wrapText="1"/>
    </xf>
    <xf borderId="1" fillId="5" fontId="2" numFmtId="164" xfId="0" applyAlignment="1" applyBorder="1" applyFont="1" applyNumberFormat="1">
      <alignment horizontal="right" shrinkToFit="0" vertical="center" wrapText="1"/>
    </xf>
    <xf borderId="1" fillId="0" fontId="6" numFmtId="0" xfId="0" applyAlignment="1" applyBorder="1" applyFont="1">
      <alignment horizontal="right" readingOrder="0"/>
    </xf>
    <xf borderId="1" fillId="0" fontId="6" numFmtId="14" xfId="0" applyAlignment="1" applyBorder="1" applyFont="1" applyNumberFormat="1">
      <alignment horizontal="right" readingOrder="0"/>
    </xf>
    <xf borderId="1" fillId="0" fontId="6" numFmtId="0" xfId="0" applyAlignment="1" applyBorder="1" applyFont="1">
      <alignment horizontal="right" readingOrder="0"/>
    </xf>
    <xf quotePrefix="1" borderId="1" fillId="0" fontId="6" numFmtId="0" xfId="0" applyAlignment="1" applyBorder="1" applyFont="1">
      <alignment horizontal="right"/>
    </xf>
    <xf borderId="1" fillId="0" fontId="6" numFmtId="0" xfId="0" applyAlignment="1" applyBorder="1" applyFont="1">
      <alignment horizontal="right"/>
    </xf>
    <xf quotePrefix="1" borderId="1" fillId="0" fontId="6" numFmtId="0" xfId="0" applyAlignment="1" applyBorder="1" applyFont="1">
      <alignment horizontal="right" readingOrder="0"/>
    </xf>
    <xf borderId="1" fillId="0" fontId="6" numFmtId="0" xfId="0" applyAlignment="1" applyBorder="1" applyFont="1">
      <alignment horizontal="right" shrinkToFit="0" wrapText="1"/>
    </xf>
    <xf borderId="1" fillId="0" fontId="6" numFmtId="0" xfId="0" applyAlignment="1" applyBorder="1" applyFont="1">
      <alignment horizontal="right" readingOrder="0" shrinkToFit="0" wrapText="1"/>
    </xf>
    <xf borderId="1" fillId="0" fontId="3" numFmtId="171" xfId="0" applyAlignment="1" applyBorder="1" applyFont="1" applyNumberFormat="1">
      <alignment horizontal="right" shrinkToFit="0" vertical="center" wrapText="1"/>
    </xf>
    <xf borderId="1" fillId="0" fontId="3" numFmtId="0" xfId="0" applyAlignment="1" applyBorder="1" applyFont="1">
      <alignment horizontal="right" readingOrder="0" shrinkToFit="0" wrapText="1"/>
    </xf>
    <xf borderId="1" fillId="6" fontId="2" numFmtId="0" xfId="0" applyAlignment="1" applyBorder="1" applyFill="1" applyFont="1">
      <alignment horizontal="right" readingOrder="0" shrinkToFit="0" vertical="center" wrapText="1"/>
    </xf>
    <xf borderId="1" fillId="0" fontId="2" numFmtId="0" xfId="0" applyAlignment="1" applyBorder="1" applyFont="1">
      <alignment horizontal="right" vertical="bottom"/>
    </xf>
    <xf borderId="1" fillId="0" fontId="2" numFmtId="164" xfId="0" applyAlignment="1" applyBorder="1" applyFont="1" applyNumberFormat="1">
      <alignment horizontal="right" shrinkToFit="0" vertical="center" wrapText="1"/>
    </xf>
    <xf borderId="1" fillId="5" fontId="2" numFmtId="0" xfId="0" applyAlignment="1" applyBorder="1" applyFont="1">
      <alignment horizontal="right" readingOrder="0" shrinkToFit="0" vertical="center" wrapText="1"/>
    </xf>
    <xf borderId="1" fillId="5" fontId="4" numFmtId="164" xfId="0" applyAlignment="1" applyBorder="1" applyFont="1" applyNumberFormat="1">
      <alignment horizontal="right" readingOrder="0" shrinkToFit="0" vertical="center" wrapText="1"/>
    </xf>
    <xf borderId="1" fillId="5" fontId="4" numFmtId="0" xfId="0" applyAlignment="1" applyBorder="1" applyFont="1">
      <alignment horizontal="right" shrinkToFit="0" vertical="center" wrapText="1"/>
    </xf>
    <xf borderId="1" fillId="5" fontId="3" numFmtId="0" xfId="0" applyAlignment="1" applyBorder="1" applyFont="1">
      <alignment horizontal="right" readingOrder="0" shrinkToFit="0" vertical="center" wrapText="1"/>
    </xf>
    <xf quotePrefix="1" borderId="1" fillId="5" fontId="4" numFmtId="0" xfId="0" applyAlignment="1" applyBorder="1" applyFont="1">
      <alignment horizontal="right" shrinkToFit="0" vertical="center" wrapText="1"/>
    </xf>
    <xf borderId="1" fillId="5" fontId="4" numFmtId="0" xfId="0" applyAlignment="1" applyBorder="1" applyFont="1">
      <alignment horizontal="right" readingOrder="0" shrinkToFit="0" vertical="center" wrapText="1"/>
    </xf>
    <xf borderId="1" fillId="5" fontId="3" numFmtId="0" xfId="0" applyAlignment="1" applyBorder="1" applyFont="1">
      <alignment horizontal="right" readingOrder="0" shrinkToFit="0" vertical="center" wrapText="1"/>
    </xf>
    <xf borderId="1" fillId="5" fontId="4" numFmtId="164" xfId="0" applyAlignment="1" applyBorder="1" applyFont="1" applyNumberFormat="1">
      <alignment horizontal="right" shrinkToFit="0" vertical="center" wrapText="1"/>
    </xf>
    <xf borderId="1" fillId="5" fontId="3" numFmtId="0" xfId="0" applyAlignment="1" applyBorder="1" applyFont="1">
      <alignment horizontal="right" shrinkToFit="0" vertical="center" wrapText="1"/>
    </xf>
    <xf borderId="1" fillId="4" fontId="2" numFmtId="0" xfId="0" applyAlignment="1" applyBorder="1" applyFont="1">
      <alignment horizontal="right" readingOrder="0" shrinkToFit="0" vertical="center" wrapText="1"/>
    </xf>
    <xf borderId="1" fillId="4" fontId="2" numFmtId="164" xfId="0" applyAlignment="1" applyBorder="1" applyFont="1" applyNumberFormat="1">
      <alignment horizontal="right" readingOrder="0" shrinkToFit="0" vertical="center" wrapText="1"/>
    </xf>
    <xf borderId="1" fillId="4" fontId="2" numFmtId="0" xfId="0" applyAlignment="1" applyBorder="1" applyFont="1">
      <alignment horizontal="right" readingOrder="0" shrinkToFit="0" vertical="center" wrapText="1"/>
    </xf>
    <xf borderId="1" fillId="4" fontId="2" numFmtId="1" xfId="0" applyAlignment="1" applyBorder="1" applyFont="1" applyNumberFormat="1">
      <alignment horizontal="right" readingOrder="0" shrinkToFit="0" vertical="center" wrapText="1"/>
    </xf>
    <xf borderId="1" fillId="4" fontId="3" numFmtId="0" xfId="0" applyAlignment="1" applyBorder="1" applyFont="1">
      <alignment horizontal="right" readingOrder="0" shrinkToFit="0" vertical="center" wrapText="1"/>
    </xf>
    <xf borderId="1" fillId="4" fontId="3" numFmtId="0" xfId="0" applyAlignment="1" applyBorder="1" applyFont="1">
      <alignment horizontal="right" shrinkToFit="0" vertical="center" wrapText="1"/>
    </xf>
    <xf borderId="1" fillId="5" fontId="2" numFmtId="164" xfId="0" applyAlignment="1" applyBorder="1" applyFont="1" applyNumberFormat="1">
      <alignment horizontal="right" readingOrder="0" shrinkToFit="0" vertical="center" wrapText="1"/>
    </xf>
    <xf borderId="1" fillId="5" fontId="2" numFmtId="0" xfId="0" applyAlignment="1" applyBorder="1" applyFont="1">
      <alignment horizontal="right" shrinkToFit="0" vertical="center" wrapText="1"/>
    </xf>
    <xf borderId="1" fillId="4" fontId="4" numFmtId="0" xfId="0" applyAlignment="1" applyBorder="1" applyFont="1">
      <alignment horizontal="right" shrinkToFit="0" vertical="center" wrapText="1"/>
    </xf>
    <xf borderId="1" fillId="4" fontId="4" numFmtId="14" xfId="0" applyAlignment="1" applyBorder="1" applyFont="1" applyNumberFormat="1">
      <alignment horizontal="right" readingOrder="0" shrinkToFit="0" vertical="center" wrapText="1"/>
    </xf>
    <xf borderId="1" fillId="4" fontId="3" numFmtId="0" xfId="0" applyAlignment="1" applyBorder="1" applyFont="1">
      <alignment horizontal="right" readingOrder="0" shrinkToFit="0" vertical="center" wrapText="1"/>
    </xf>
    <xf borderId="1" fillId="4" fontId="3" numFmtId="0" xfId="0" applyAlignment="1" applyBorder="1" applyFont="1">
      <alignment horizontal="right" shrinkToFit="0" vertical="center" wrapText="1"/>
    </xf>
    <xf borderId="1" fillId="4" fontId="4" numFmtId="164" xfId="0" applyAlignment="1" applyBorder="1" applyFont="1" applyNumberFormat="1">
      <alignment horizontal="right" shrinkToFit="0" vertical="center" wrapText="1"/>
    </xf>
    <xf borderId="1" fillId="4" fontId="4" numFmtId="0" xfId="0" applyAlignment="1" applyBorder="1" applyFont="1">
      <alignment horizontal="right" readingOrder="0" shrinkToFit="0" vertical="center" wrapText="1"/>
    </xf>
    <xf borderId="1" fillId="4" fontId="4" numFmtId="0" xfId="0" applyAlignment="1" applyBorder="1" applyFont="1">
      <alignment horizontal="right" readingOrder="0" shrinkToFit="0" vertical="center" wrapText="1"/>
    </xf>
    <xf borderId="1" fillId="7" fontId="2" numFmtId="0" xfId="0" applyAlignment="1" applyBorder="1" applyFill="1" applyFont="1">
      <alignment horizontal="right" readingOrder="0" shrinkToFit="0" vertical="center" wrapText="1"/>
    </xf>
    <xf borderId="1" fillId="5" fontId="2" numFmtId="1" xfId="0" applyAlignment="1" applyBorder="1" applyFont="1" applyNumberFormat="1">
      <alignment horizontal="right" readingOrder="0" shrinkToFit="0" vertical="center" wrapText="1"/>
    </xf>
    <xf borderId="1" fillId="5" fontId="4" numFmtId="14" xfId="0" applyAlignment="1" applyBorder="1" applyFont="1" applyNumberFormat="1">
      <alignment horizontal="right" readingOrder="0" shrinkToFit="0" vertical="center" wrapText="1"/>
    </xf>
    <xf borderId="1" fillId="5" fontId="4" numFmtId="0" xfId="0" applyAlignment="1" applyBorder="1" applyFont="1">
      <alignment horizontal="right" readingOrder="0" shrinkToFit="0" vertical="center" wrapText="1"/>
    </xf>
    <xf borderId="1" fillId="4" fontId="2" numFmtId="0" xfId="0" applyAlignment="1" applyBorder="1" applyFont="1">
      <alignment horizontal="right" shrinkToFit="0" vertical="center" wrapText="1"/>
    </xf>
    <xf borderId="1" fillId="4" fontId="2" numFmtId="172" xfId="0" applyAlignment="1" applyBorder="1" applyFont="1" applyNumberFormat="1">
      <alignment horizontal="right" readingOrder="0" shrinkToFit="0" vertical="center" wrapText="1"/>
    </xf>
    <xf borderId="1" fillId="5" fontId="2" numFmtId="170" xfId="0" applyAlignment="1" applyBorder="1" applyFont="1" applyNumberFormat="1">
      <alignment horizontal="right" readingOrder="0" shrinkToFit="0" vertical="center" wrapText="1"/>
    </xf>
    <xf borderId="1" fillId="4" fontId="3" numFmtId="173" xfId="0" applyAlignment="1" applyBorder="1" applyFont="1" applyNumberFormat="1">
      <alignment horizontal="right" readingOrder="0" shrinkToFit="0" vertical="center" wrapText="1"/>
    </xf>
    <xf quotePrefix="1" borderId="1" fillId="4" fontId="4" numFmtId="0" xfId="0" applyAlignment="1" applyBorder="1" applyFont="1">
      <alignment horizontal="right" shrinkToFit="0" vertical="center" wrapText="1"/>
    </xf>
    <xf borderId="1" fillId="8" fontId="2" numFmtId="0" xfId="0" applyAlignment="1" applyBorder="1" applyFill="1" applyFont="1">
      <alignment horizontal="right" readingOrder="0" shrinkToFit="0" vertical="center" wrapText="1"/>
    </xf>
    <xf borderId="1" fillId="5" fontId="3" numFmtId="164" xfId="0" applyAlignment="1" applyBorder="1" applyFont="1" applyNumberFormat="1">
      <alignment horizontal="right" shrinkToFit="0" vertical="center" wrapText="1"/>
    </xf>
    <xf borderId="1" fillId="5" fontId="3" numFmtId="14" xfId="0" applyAlignment="1" applyBorder="1" applyFont="1" applyNumberFormat="1">
      <alignment horizontal="right" readingOrder="0" shrinkToFit="0" vertical="center" wrapText="1"/>
    </xf>
    <xf quotePrefix="1" borderId="1" fillId="5" fontId="3" numFmtId="0" xfId="0" applyAlignment="1" applyBorder="1" applyFont="1">
      <alignment horizontal="right" readingOrder="0" shrinkToFit="0" vertical="center" wrapText="1"/>
    </xf>
    <xf borderId="1" fillId="5" fontId="3" numFmtId="164" xfId="0" applyAlignment="1" applyBorder="1" applyFont="1" applyNumberFormat="1">
      <alignment horizontal="right" readingOrder="0" shrinkToFit="0" vertical="center" wrapText="1"/>
    </xf>
    <xf borderId="1" fillId="5" fontId="2" numFmtId="164" xfId="0" applyAlignment="1" applyBorder="1" applyFont="1" applyNumberFormat="1">
      <alignment horizontal="right" shrinkToFit="0" vertical="center" wrapText="1"/>
    </xf>
    <xf borderId="1" fillId="5" fontId="3" numFmtId="0" xfId="0" applyAlignment="1" applyBorder="1" applyFont="1">
      <alignment horizontal="right" readingOrder="0"/>
    </xf>
    <xf borderId="1" fillId="5" fontId="3" numFmtId="167" xfId="0" applyAlignment="1" applyBorder="1" applyFont="1" applyNumberFormat="1">
      <alignment horizontal="right" readingOrder="0"/>
    </xf>
    <xf quotePrefix="1" borderId="1" fillId="5" fontId="3" numFmtId="0" xfId="0" applyAlignment="1" applyBorder="1" applyFont="1">
      <alignment horizontal="right" readingOrder="0"/>
    </xf>
    <xf borderId="1" fillId="5" fontId="3" numFmtId="168" xfId="0" applyAlignment="1" applyBorder="1" applyFont="1" applyNumberFormat="1">
      <alignment horizontal="right" readingOrder="0"/>
    </xf>
    <xf quotePrefix="1" borderId="1" fillId="5" fontId="2" numFmtId="0" xfId="0" applyAlignment="1" applyBorder="1" applyFont="1">
      <alignment horizontal="right" shrinkToFit="0" vertical="center" wrapText="1"/>
    </xf>
    <xf borderId="1" fillId="5" fontId="3" numFmtId="0" xfId="0" applyAlignment="1" applyBorder="1" applyFont="1">
      <alignment horizontal="right" shrinkToFit="0" wrapText="1"/>
    </xf>
    <xf borderId="1" fillId="4" fontId="3" numFmtId="164" xfId="0" applyAlignment="1" applyBorder="1" applyFont="1" applyNumberFormat="1">
      <alignment horizontal="right" readingOrder="0" shrinkToFit="0" vertical="center" wrapText="1"/>
    </xf>
    <xf borderId="1" fillId="5" fontId="3" numFmtId="0" xfId="0" applyAlignment="1" applyBorder="1" applyFont="1">
      <alignment horizontal="right" readingOrder="0"/>
    </xf>
    <xf borderId="1" fillId="4" fontId="2" numFmtId="166" xfId="0" applyAlignment="1" applyBorder="1" applyFont="1" applyNumberFormat="1">
      <alignment horizontal="right" readingOrder="0" shrinkToFit="0" vertical="center" wrapText="1"/>
    </xf>
    <xf borderId="1" fillId="5" fontId="2" numFmtId="174" xfId="0" applyAlignment="1" applyBorder="1" applyFont="1" applyNumberFormat="1">
      <alignment horizontal="right" readingOrder="0" shrinkToFit="0" vertical="center" wrapText="1"/>
    </xf>
    <xf borderId="1" fillId="5" fontId="3" numFmtId="0" xfId="0" applyAlignment="1" applyBorder="1" applyFont="1">
      <alignment horizontal="right" shrinkToFit="0" vertical="center" wrapText="1"/>
    </xf>
    <xf borderId="1" fillId="4" fontId="3" numFmtId="14" xfId="0" applyAlignment="1" applyBorder="1" applyFont="1" applyNumberFormat="1">
      <alignment horizontal="right" readingOrder="0" shrinkToFit="0" vertical="center" wrapText="1"/>
    </xf>
    <xf quotePrefix="1" borderId="1" fillId="4" fontId="3" numFmtId="0" xfId="0" applyAlignment="1" applyBorder="1" applyFont="1">
      <alignment horizontal="right" readingOrder="0" shrinkToFit="0" vertical="center" wrapText="1"/>
    </xf>
    <xf borderId="1" fillId="4" fontId="2" numFmtId="164" xfId="0" applyAlignment="1" applyBorder="1" applyFont="1" applyNumberFormat="1">
      <alignment horizontal="right" shrinkToFit="0" vertical="center" wrapText="1"/>
    </xf>
    <xf borderId="1" fillId="4" fontId="3" numFmtId="0" xfId="0" applyAlignment="1" applyBorder="1" applyFont="1">
      <alignment horizontal="right" readingOrder="0"/>
    </xf>
    <xf borderId="1" fillId="4" fontId="3" numFmtId="167" xfId="0" applyAlignment="1" applyBorder="1" applyFont="1" applyNumberFormat="1">
      <alignment horizontal="right" readingOrder="0"/>
    </xf>
    <xf borderId="1" fillId="4" fontId="3" numFmtId="0" xfId="0" applyAlignment="1" applyBorder="1" applyFont="1">
      <alignment horizontal="right" readingOrder="0"/>
    </xf>
    <xf borderId="1" fillId="4" fontId="3" numFmtId="168" xfId="0" applyAlignment="1" applyBorder="1" applyFont="1" applyNumberFormat="1">
      <alignment horizontal="right" readingOrder="0"/>
    </xf>
    <xf quotePrefix="1" borderId="1" fillId="4" fontId="2" numFmtId="0" xfId="0" applyAlignment="1" applyBorder="1" applyFont="1">
      <alignment horizontal="right" shrinkToFit="0" vertical="center" wrapText="1"/>
    </xf>
    <xf quotePrefix="1" borderId="1" fillId="4" fontId="3" numFmtId="0" xfId="0" applyAlignment="1" applyBorder="1" applyFont="1">
      <alignment horizontal="right" readingOrder="0"/>
    </xf>
    <xf borderId="1" fillId="4" fontId="3" numFmtId="0" xfId="0" applyAlignment="1" applyBorder="1" applyFont="1">
      <alignment horizontal="right" shrinkToFit="0" wrapText="1"/>
    </xf>
    <xf borderId="1" fillId="8" fontId="2" numFmtId="164" xfId="0" applyAlignment="1" applyBorder="1" applyFont="1" applyNumberFormat="1">
      <alignment horizontal="right" readingOrder="0" shrinkToFit="0" vertical="center" wrapText="1"/>
    </xf>
    <xf quotePrefix="1" borderId="1" fillId="5" fontId="2" numFmtId="0" xfId="0" applyAlignment="1" applyBorder="1" applyFont="1">
      <alignment horizontal="right" readingOrder="0" shrinkToFit="0" vertical="center" wrapText="1"/>
    </xf>
    <xf borderId="1" fillId="9" fontId="2" numFmtId="164" xfId="0" applyAlignment="1" applyBorder="1" applyFill="1" applyFont="1" applyNumberFormat="1">
      <alignment horizontal="right" readingOrder="0" shrinkToFit="0" vertical="center" wrapText="1"/>
    </xf>
    <xf quotePrefix="1" borderId="1" fillId="5" fontId="2" numFmtId="164" xfId="0" applyAlignment="1" applyBorder="1" applyFont="1" applyNumberFormat="1">
      <alignment horizontal="right" readingOrder="0" shrinkToFit="0" vertical="center" wrapText="1"/>
    </xf>
    <xf borderId="1" fillId="4" fontId="4" numFmtId="164" xfId="0" applyAlignment="1" applyBorder="1" applyFont="1" applyNumberFormat="1">
      <alignment horizontal="right" readingOrder="0" shrinkToFit="0" vertical="center" wrapText="1"/>
    </xf>
    <xf borderId="1" fillId="5" fontId="2" numFmtId="175" xfId="0" applyAlignment="1" applyBorder="1" applyFont="1" applyNumberFormat="1">
      <alignment horizontal="right" readingOrder="0" shrinkToFit="0" vertical="center" wrapText="1"/>
    </xf>
    <xf borderId="1" fillId="5" fontId="6" numFmtId="0" xfId="0" applyAlignment="1" applyBorder="1" applyFont="1">
      <alignment horizontal="right" readingOrder="0" shrinkToFit="0" vertical="center" wrapText="1"/>
    </xf>
    <xf borderId="1" fillId="4" fontId="3" numFmtId="0" xfId="0" applyAlignment="1" applyBorder="1" applyFont="1">
      <alignment horizontal="right" readingOrder="0" shrinkToFit="0" wrapText="1"/>
    </xf>
    <xf borderId="1" fillId="4" fontId="3" numFmtId="171" xfId="0" applyAlignment="1" applyBorder="1" applyFont="1" applyNumberFormat="1">
      <alignment horizontal="right" shrinkToFit="0" vertical="center" wrapText="1"/>
    </xf>
    <xf borderId="1" fillId="4" fontId="1" numFmtId="166" xfId="0" applyAlignment="1" applyBorder="1" applyFont="1" applyNumberFormat="1">
      <alignment readingOrder="0"/>
    </xf>
    <xf borderId="1" fillId="4" fontId="2" numFmtId="175" xfId="0" applyAlignment="1" applyBorder="1" applyFont="1" applyNumberFormat="1">
      <alignment horizontal="right" readingOrder="0" shrinkToFit="0" vertical="center" wrapText="1"/>
    </xf>
    <xf borderId="1" fillId="4" fontId="2" numFmtId="170" xfId="0" applyAlignment="1" applyBorder="1" applyFont="1" applyNumberFormat="1">
      <alignment horizontal="right" readingOrder="0" shrinkToFit="0" vertical="center" wrapText="1"/>
    </xf>
    <xf borderId="1" fillId="5" fontId="2" numFmtId="166" xfId="0" applyAlignment="1" applyBorder="1" applyFont="1" applyNumberFormat="1">
      <alignment horizontal="right" readingOrder="0" shrinkToFit="0" vertical="center" wrapText="1"/>
    </xf>
    <xf borderId="1" fillId="4" fontId="6" numFmtId="0" xfId="0" applyAlignment="1" applyBorder="1" applyFont="1">
      <alignment horizontal="right" readingOrder="0"/>
    </xf>
    <xf borderId="1" fillId="4" fontId="6" numFmtId="14" xfId="0" applyAlignment="1" applyBorder="1" applyFont="1" applyNumberFormat="1">
      <alignment horizontal="right" readingOrder="0"/>
    </xf>
    <xf borderId="1" fillId="4" fontId="6" numFmtId="0" xfId="0" applyAlignment="1" applyBorder="1" applyFont="1">
      <alignment horizontal="right" readingOrder="0"/>
    </xf>
    <xf quotePrefix="1" borderId="1" fillId="4" fontId="6" numFmtId="0" xfId="0" applyAlignment="1" applyBorder="1" applyFont="1">
      <alignment horizontal="right" readingOrder="0"/>
    </xf>
    <xf borderId="1" fillId="4" fontId="6" numFmtId="0" xfId="0" applyAlignment="1" applyBorder="1" applyFont="1">
      <alignment horizontal="right"/>
    </xf>
    <xf borderId="1" fillId="4" fontId="6" numFmtId="0" xfId="0" applyAlignment="1" applyBorder="1" applyFont="1">
      <alignment horizontal="right" readingOrder="0" shrinkToFit="0" wrapText="1"/>
    </xf>
    <xf borderId="1" fillId="4" fontId="6" numFmtId="0" xfId="0" applyAlignment="1" applyBorder="1" applyFont="1">
      <alignment horizontal="center" readingOrder="0" shrinkToFit="0" vertical="center" wrapText="1"/>
    </xf>
    <xf borderId="1" fillId="5" fontId="6" numFmtId="0" xfId="0" applyAlignment="1" applyBorder="1" applyFont="1">
      <alignment horizontal="right" readingOrder="0"/>
    </xf>
    <xf borderId="1" fillId="5" fontId="6" numFmtId="14" xfId="0" applyAlignment="1" applyBorder="1" applyFont="1" applyNumberFormat="1">
      <alignment horizontal="right" readingOrder="0"/>
    </xf>
    <xf borderId="1" fillId="5" fontId="6" numFmtId="0" xfId="0" applyAlignment="1" applyBorder="1" applyFont="1">
      <alignment horizontal="right" readingOrder="0"/>
    </xf>
    <xf borderId="1" fillId="5" fontId="6" numFmtId="0" xfId="0" applyAlignment="1" applyBorder="1" applyFont="1">
      <alignment horizontal="right"/>
    </xf>
    <xf quotePrefix="1" borderId="1" fillId="5" fontId="6" numFmtId="0" xfId="0" applyAlignment="1" applyBorder="1" applyFont="1">
      <alignment horizontal="right" readingOrder="0"/>
    </xf>
    <xf borderId="1" fillId="5" fontId="6" numFmtId="0" xfId="0" applyAlignment="1" applyBorder="1" applyFont="1">
      <alignment horizontal="right" shrinkToFit="0" wrapText="1"/>
    </xf>
    <xf borderId="1" fillId="5" fontId="6" numFmtId="0" xfId="0" applyAlignment="1" applyBorder="1" applyFont="1">
      <alignment horizontal="right" readingOrder="0" shrinkToFit="0" wrapText="1"/>
    </xf>
    <xf borderId="1" fillId="10" fontId="2" numFmtId="0" xfId="0" applyAlignment="1" applyBorder="1" applyFill="1" applyFont="1">
      <alignment horizontal="right" readingOrder="0" shrinkToFit="0" vertical="center" wrapText="1"/>
    </xf>
    <xf quotePrefix="1" borderId="1" fillId="5" fontId="3" numFmtId="0" xfId="0" applyAlignment="1" applyBorder="1" applyFont="1">
      <alignment horizontal="right" shrinkToFit="0" vertical="center" wrapText="1"/>
    </xf>
    <xf borderId="1" fillId="9" fontId="4" numFmtId="0" xfId="0" applyAlignment="1" applyBorder="1" applyFont="1">
      <alignment horizontal="right" shrinkToFit="0" vertical="center" wrapText="1"/>
    </xf>
    <xf quotePrefix="1" borderId="1" fillId="4" fontId="6" numFmtId="0" xfId="0" applyAlignment="1" applyBorder="1" applyFont="1">
      <alignment horizontal="right"/>
    </xf>
    <xf borderId="1" fillId="4" fontId="6" numFmtId="0" xfId="0" applyAlignment="1" applyBorder="1" applyFont="1">
      <alignment horizontal="right" shrinkToFit="0" wrapText="1"/>
    </xf>
    <xf borderId="1" fillId="5" fontId="3" numFmtId="0" xfId="0" applyAlignment="1" applyBorder="1" applyFont="1">
      <alignment horizontal="right" shrinkToFit="0" wrapText="1"/>
    </xf>
    <xf borderId="1" fillId="5" fontId="7" numFmtId="0" xfId="0" applyBorder="1" applyFont="1"/>
    <xf borderId="1" fillId="5" fontId="3" numFmtId="0" xfId="0" applyAlignment="1" applyBorder="1" applyFont="1">
      <alignment horizontal="right" readingOrder="0" shrinkToFit="0" wrapText="1"/>
    </xf>
    <xf borderId="1" fillId="5" fontId="3" numFmtId="164" xfId="0" applyAlignment="1" applyBorder="1" applyFont="1" applyNumberFormat="1">
      <alignment horizontal="right" shrinkToFit="0" wrapText="1"/>
    </xf>
    <xf quotePrefix="1" borderId="1" fillId="5" fontId="3" numFmtId="0" xfId="0" applyAlignment="1" applyBorder="1" applyFont="1">
      <alignment horizontal="right" shrinkToFit="0" wrapText="1"/>
    </xf>
    <xf borderId="1" fillId="4" fontId="2" numFmtId="176" xfId="0" applyAlignment="1" applyBorder="1" applyFont="1" applyNumberFormat="1">
      <alignment horizontal="right" readingOrder="0" shrinkToFit="0" vertical="center" wrapText="1"/>
    </xf>
    <xf quotePrefix="1" borderId="1" fillId="4" fontId="3" numFmtId="0" xfId="0" applyAlignment="1" applyBorder="1" applyFont="1">
      <alignment horizontal="right" shrinkToFit="0" vertical="center" wrapText="1"/>
    </xf>
    <xf borderId="0" fillId="5" fontId="3" numFmtId="0" xfId="0" applyAlignment="1" applyFont="1">
      <alignment horizontal="right" readingOrder="0" shrinkToFit="0" vertical="center" wrapText="1"/>
    </xf>
    <xf borderId="1" fillId="4" fontId="3" numFmtId="0" xfId="0" applyAlignment="1" applyBorder="1" applyFont="1">
      <alignment horizontal="right" shrinkToFit="0" wrapText="1"/>
    </xf>
    <xf borderId="1" fillId="4" fontId="5" numFmtId="0" xfId="0" applyAlignment="1" applyBorder="1" applyFont="1">
      <alignment readingOrder="0"/>
    </xf>
    <xf borderId="1" fillId="4" fontId="3" numFmtId="164" xfId="0" applyAlignment="1" applyBorder="1" applyFont="1" applyNumberFormat="1">
      <alignment horizontal="right" shrinkToFit="0" wrapText="1"/>
    </xf>
    <xf quotePrefix="1" borderId="1" fillId="4" fontId="3" numFmtId="0" xfId="0" applyAlignment="1" applyBorder="1" applyFont="1">
      <alignment horizontal="right" shrinkToFit="0" wrapText="1"/>
    </xf>
    <xf quotePrefix="1" borderId="1" fillId="4" fontId="3" numFmtId="0" xfId="0" applyAlignment="1" applyBorder="1" applyFont="1">
      <alignment horizontal="right" readingOrder="0" shrinkToFit="0" wrapText="1"/>
    </xf>
    <xf borderId="1" fillId="4" fontId="3" numFmtId="0" xfId="0" applyAlignment="1" applyBorder="1" applyFont="1">
      <alignment horizontal="right" readingOrder="0" shrinkToFit="0" wrapText="1"/>
    </xf>
    <xf borderId="1" fillId="4" fontId="3" numFmtId="0" xfId="0" applyAlignment="1" applyBorder="1" applyFont="1">
      <alignment horizontal="right"/>
    </xf>
    <xf borderId="1" fillId="5" fontId="3" numFmtId="14" xfId="0" applyAlignment="1" applyBorder="1" applyFont="1" applyNumberFormat="1">
      <alignment horizontal="right" readingOrder="0"/>
    </xf>
    <xf borderId="1" fillId="4" fontId="3" numFmtId="0" xfId="0" applyAlignment="1" applyBorder="1" applyFont="1">
      <alignment horizontal="right" vertical="bottom"/>
    </xf>
    <xf borderId="1" fillId="4" fontId="3" numFmtId="167" xfId="0" applyAlignment="1" applyBorder="1" applyFont="1" applyNumberFormat="1">
      <alignment horizontal="right" vertical="bottom"/>
    </xf>
    <xf borderId="1" fillId="4" fontId="2" numFmtId="0" xfId="0" applyAlignment="1" applyBorder="1" applyFont="1">
      <alignment horizontal="right" readingOrder="0" shrinkToFit="0" vertical="bottom" wrapText="1"/>
    </xf>
    <xf quotePrefix="1" borderId="1" fillId="4" fontId="3" numFmtId="0" xfId="0" applyAlignment="1" applyBorder="1" applyFont="1">
      <alignment horizontal="right" vertical="bottom"/>
    </xf>
    <xf borderId="1" fillId="4" fontId="3" numFmtId="14" xfId="0" applyAlignment="1" applyBorder="1" applyFont="1" applyNumberFormat="1">
      <alignment horizontal="right" vertical="bottom"/>
    </xf>
    <xf borderId="1" fillId="4" fontId="3" numFmtId="168" xfId="0" applyAlignment="1" applyBorder="1" applyFont="1" applyNumberFormat="1">
      <alignment horizontal="right" vertical="bottom"/>
    </xf>
    <xf borderId="1" fillId="4" fontId="3" numFmtId="0" xfId="0" applyAlignment="1" applyBorder="1" applyFont="1">
      <alignment horizontal="right" shrinkToFit="0" vertical="bottom" wrapText="1"/>
    </xf>
    <xf borderId="1" fillId="5" fontId="3" numFmtId="0" xfId="0" applyAlignment="1" applyBorder="1" applyFont="1">
      <alignment horizontal="right" vertical="bottom"/>
    </xf>
    <xf borderId="1" fillId="5" fontId="3" numFmtId="167" xfId="0" applyAlignment="1" applyBorder="1" applyFont="1" applyNumberFormat="1">
      <alignment horizontal="right" vertical="bottom"/>
    </xf>
    <xf borderId="1" fillId="5" fontId="2" numFmtId="0" xfId="0" applyAlignment="1" applyBorder="1" applyFont="1">
      <alignment horizontal="right" readingOrder="0" shrinkToFit="0" vertical="bottom" wrapText="1"/>
    </xf>
    <xf quotePrefix="1" borderId="1" fillId="5" fontId="3" numFmtId="0" xfId="0" applyAlignment="1" applyBorder="1" applyFont="1">
      <alignment horizontal="right" vertical="bottom"/>
    </xf>
    <xf borderId="1" fillId="5" fontId="3" numFmtId="0" xfId="0" applyAlignment="1" applyBorder="1" applyFont="1">
      <alignment horizontal="right" shrinkToFit="0" vertical="bottom" wrapText="0"/>
    </xf>
    <xf borderId="1" fillId="5" fontId="3" numFmtId="168" xfId="0" applyAlignment="1" applyBorder="1" applyFont="1" applyNumberFormat="1">
      <alignment horizontal="right" vertical="bottom"/>
    </xf>
    <xf borderId="1" fillId="5" fontId="3" numFmtId="0" xfId="0" applyAlignment="1" applyBorder="1" applyFont="1">
      <alignment horizontal="right" shrinkToFit="0" vertical="bottom" wrapText="1"/>
    </xf>
    <xf borderId="1" fillId="4" fontId="3" numFmtId="0" xfId="0" applyAlignment="1" applyBorder="1" applyFont="1">
      <alignment horizontal="right" readingOrder="0" vertical="bottom"/>
    </xf>
    <xf borderId="1" fillId="4" fontId="3" numFmtId="0" xfId="0" applyAlignment="1" applyBorder="1" applyFont="1">
      <alignment horizontal="right" shrinkToFit="0" vertical="bottom" wrapText="0"/>
    </xf>
    <xf borderId="1" fillId="5" fontId="3" numFmtId="14" xfId="0" applyAlignment="1" applyBorder="1" applyFont="1" applyNumberFormat="1">
      <alignment horizontal="right" vertical="bottom"/>
    </xf>
    <xf borderId="1" fillId="11" fontId="4" numFmtId="0" xfId="0" applyAlignment="1" applyBorder="1" applyFill="1" applyFont="1">
      <alignment horizontal="right" shrinkToFit="0" vertical="center" wrapText="1"/>
    </xf>
    <xf borderId="1" fillId="5" fontId="5" numFmtId="0" xfId="0" applyAlignment="1" applyBorder="1" applyFont="1">
      <alignment readingOrder="0"/>
    </xf>
    <xf borderId="1" fillId="5" fontId="3" numFmtId="0" xfId="0" applyAlignment="1" applyBorder="1" applyFont="1">
      <alignment horizontal="right" readingOrder="0" shrinkToFit="0" wrapText="1"/>
    </xf>
    <xf borderId="1" fillId="10" fontId="3" numFmtId="0" xfId="0" applyAlignment="1" applyBorder="1" applyFont="1">
      <alignment horizontal="right" readingOrder="0" shrinkToFit="0" vertical="center" wrapText="1"/>
    </xf>
    <xf borderId="1" fillId="0" fontId="3" numFmtId="0" xfId="0" applyAlignment="1" applyBorder="1" applyFont="1">
      <alignment horizontal="right" shrinkToFit="0" wrapText="1"/>
    </xf>
    <xf borderId="1" fillId="4" fontId="4" numFmtId="14" xfId="0" applyAlignment="1" applyBorder="1" applyFont="1" applyNumberFormat="1">
      <alignment horizontal="right" shrinkToFit="0" vertical="center" wrapText="1"/>
    </xf>
    <xf borderId="1" fillId="10" fontId="6" numFmtId="0" xfId="0" applyAlignment="1" applyBorder="1" applyFont="1">
      <alignment horizontal="right" readingOrder="0"/>
    </xf>
    <xf borderId="1" fillId="10" fontId="2" numFmtId="0" xfId="0" applyAlignment="1" applyBorder="1" applyFont="1">
      <alignment horizontal="right" shrinkToFit="0" vertical="center" wrapText="1"/>
    </xf>
    <xf borderId="1" fillId="4" fontId="2" numFmtId="14" xfId="0" applyAlignment="1" applyBorder="1" applyFont="1" applyNumberFormat="1">
      <alignment horizontal="right" readingOrder="0" shrinkToFit="0" vertical="center" wrapText="1"/>
    </xf>
    <xf borderId="1" fillId="5" fontId="2" numFmtId="1" xfId="0" applyAlignment="1" applyBorder="1" applyFont="1" applyNumberFormat="1">
      <alignment horizontal="right" shrinkToFit="0" vertical="center" wrapText="1"/>
    </xf>
    <xf borderId="1" fillId="10" fontId="4" numFmtId="0" xfId="0" applyAlignment="1" applyBorder="1" applyFont="1">
      <alignment horizontal="right" shrinkToFit="0" vertical="center" wrapText="1"/>
    </xf>
    <xf borderId="1" fillId="5" fontId="3" numFmtId="0" xfId="0" applyAlignment="1" applyBorder="1" applyFont="1">
      <alignment horizontal="right" readingOrder="2" shrinkToFit="0" vertical="center" wrapText="1"/>
    </xf>
    <xf borderId="1" fillId="5" fontId="3" numFmtId="166" xfId="0" applyAlignment="1" applyBorder="1" applyFont="1" applyNumberFormat="1">
      <alignment horizontal="right" readingOrder="0" shrinkToFit="0" vertical="center" wrapText="1"/>
    </xf>
    <xf quotePrefix="1" borderId="1" fillId="4" fontId="3" numFmtId="0" xfId="0" applyAlignment="1" applyBorder="1" applyFont="1">
      <alignment horizontal="right" readingOrder="0" shrinkToFit="0" vertical="center" wrapText="1"/>
    </xf>
    <xf quotePrefix="1" borderId="1" fillId="4" fontId="2" numFmtId="164" xfId="0" applyAlignment="1" applyBorder="1" applyFont="1" applyNumberFormat="1">
      <alignment horizontal="right" readingOrder="0" shrinkToFit="0" vertical="center" wrapText="1"/>
    </xf>
    <xf borderId="1" fillId="5" fontId="3" numFmtId="171" xfId="0" applyAlignment="1" applyBorder="1" applyFont="1" applyNumberFormat="1">
      <alignment horizontal="right" shrinkToFit="0" vertical="center" wrapText="1"/>
    </xf>
    <xf borderId="1" fillId="5" fontId="3" numFmtId="0" xfId="0" applyAlignment="1" applyBorder="1" applyFont="1">
      <alignment horizontal="right" readingOrder="0" vertical="bottom"/>
    </xf>
    <xf borderId="1" fillId="5" fontId="3" numFmtId="168" xfId="0" applyAlignment="1" applyBorder="1" applyFont="1" applyNumberFormat="1">
      <alignment horizontal="right" readingOrder="0" vertical="bottom"/>
    </xf>
    <xf borderId="1" fillId="4" fontId="3" numFmtId="165" xfId="0" applyAlignment="1" applyBorder="1" applyFont="1" applyNumberFormat="1">
      <alignment horizontal="right" shrinkToFit="0" vertical="center" wrapText="1"/>
    </xf>
    <xf borderId="1" fillId="4" fontId="3" numFmtId="164" xfId="0" applyAlignment="1" applyBorder="1" applyFont="1" applyNumberFormat="1">
      <alignment horizontal="right" shrinkToFit="0" vertical="center" wrapText="1"/>
    </xf>
    <xf quotePrefix="1" borderId="1" fillId="4" fontId="3" numFmtId="0" xfId="0" applyAlignment="1" applyBorder="1" applyFont="1">
      <alignment horizontal="right" shrinkToFit="0" wrapText="1"/>
    </xf>
    <xf borderId="1" fillId="4" fontId="3" numFmtId="0" xfId="0" applyAlignment="1" applyBorder="1" applyFont="1">
      <alignment horizontal="right" readingOrder="2" shrinkToFit="0" vertical="center" wrapText="1"/>
    </xf>
    <xf borderId="1" fillId="5" fontId="2" numFmtId="0" xfId="0" applyAlignment="1" applyBorder="1" applyFont="1">
      <alignment horizontal="right" readingOrder="0" shrinkToFit="0" vertical="center" wrapText="1"/>
    </xf>
    <xf borderId="1" fillId="5" fontId="2" numFmtId="0" xfId="0" applyAlignment="1" applyBorder="1" applyFont="1">
      <alignment horizontal="right" readingOrder="0" shrinkToFit="0" vertical="center" wrapText="1"/>
    </xf>
    <xf borderId="1" fillId="5" fontId="4" numFmtId="0" xfId="0" applyAlignment="1" applyBorder="1" applyFont="1">
      <alignment horizontal="center" shrinkToFit="0" vertical="center" wrapText="1"/>
    </xf>
    <xf borderId="1" fillId="5" fontId="4" numFmtId="164" xfId="0" applyAlignment="1" applyBorder="1" applyFont="1" applyNumberFormat="1">
      <alignment horizontal="center" readingOrder="0" shrinkToFit="0" vertical="center" wrapText="1"/>
    </xf>
    <xf borderId="1" fillId="5" fontId="2" numFmtId="1" xfId="0" applyAlignment="1" applyBorder="1" applyFont="1" applyNumberFormat="1">
      <alignment horizontal="center" readingOrder="0" shrinkToFit="0" vertical="center" wrapText="1"/>
    </xf>
    <xf borderId="1" fillId="5" fontId="4"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4" numFmtId="164" xfId="0" applyAlignment="1" applyBorder="1" applyFont="1" applyNumberFormat="1">
      <alignment horizontal="center" shrinkToFit="0" vertical="center" wrapText="1"/>
    </xf>
    <xf borderId="1" fillId="5" fontId="3" numFmtId="0" xfId="0" applyAlignment="1" applyBorder="1" applyFont="1">
      <alignment horizontal="center" readingOrder="0" shrinkToFit="0" vertical="center" wrapText="1"/>
    </xf>
    <xf borderId="1" fillId="4" fontId="2" numFmtId="0" xfId="0" applyAlignment="1" applyBorder="1" applyFont="1">
      <alignment horizontal="right" readingOrder="0" shrinkToFit="0" vertical="center" wrapText="1"/>
    </xf>
    <xf borderId="1" fillId="4" fontId="2" numFmtId="0" xfId="0" applyAlignment="1" applyBorder="1" applyFont="1">
      <alignment horizontal="right" readingOrder="0" shrinkToFit="0" vertical="center" wrapText="1"/>
    </xf>
    <xf borderId="1" fillId="4" fontId="4" numFmtId="0" xfId="0" applyAlignment="1" applyBorder="1" applyFont="1">
      <alignment horizontal="right" readingOrder="0" shrinkToFit="0" vertical="center" wrapText="1"/>
    </xf>
    <xf borderId="1" fillId="4" fontId="3" numFmtId="0" xfId="0" applyAlignment="1" applyBorder="1" applyFont="1">
      <alignment horizontal="right" readingOrder="0" shrinkToFit="0" vertical="center" wrapText="1"/>
    </xf>
    <xf borderId="1" fillId="5" fontId="4" numFmtId="0" xfId="0" applyAlignment="1" applyBorder="1" applyFont="1">
      <alignment horizontal="right" readingOrder="0" shrinkToFit="0" vertical="center" wrapText="1"/>
    </xf>
    <xf borderId="1" fillId="5" fontId="3" numFmtId="0" xfId="0" applyAlignment="1" applyBorder="1" applyFont="1">
      <alignment horizontal="right" readingOrder="0" shrinkToFit="0" vertical="center" wrapText="1"/>
    </xf>
    <xf borderId="0" fillId="5" fontId="4" numFmtId="0" xfId="0" applyAlignment="1" applyFont="1">
      <alignment horizontal="right" shrinkToFit="0" vertical="center" wrapText="1"/>
    </xf>
    <xf borderId="0" fillId="5" fontId="4" numFmtId="164" xfId="0" applyAlignment="1" applyFont="1" applyNumberFormat="1">
      <alignment horizontal="right" readingOrder="0" shrinkToFit="0" vertical="center" wrapText="1"/>
    </xf>
    <xf borderId="0" fillId="5" fontId="2" numFmtId="1" xfId="0" applyAlignment="1" applyFont="1" applyNumberFormat="1">
      <alignment horizontal="right" readingOrder="0" shrinkToFit="0" vertical="center" wrapText="1"/>
    </xf>
    <xf borderId="0" fillId="5" fontId="4" numFmtId="0" xfId="0" applyAlignment="1" applyFont="1">
      <alignment horizontal="right" readingOrder="0" shrinkToFit="0" vertical="center" wrapText="1"/>
    </xf>
    <xf borderId="0" fillId="5" fontId="2" numFmtId="0" xfId="0" applyAlignment="1" applyFont="1">
      <alignment horizontal="right" readingOrder="0" shrinkToFit="0" vertical="center" wrapText="1"/>
    </xf>
    <xf borderId="0" fillId="5" fontId="4" numFmtId="164" xfId="0" applyAlignment="1" applyFont="1" applyNumberFormat="1">
      <alignment horizontal="right" shrinkToFit="0" vertical="center" wrapText="1"/>
    </xf>
    <xf borderId="0" fillId="5" fontId="3" numFmtId="0" xfId="0" applyAlignment="1" applyFont="1">
      <alignment horizontal="right" readingOrder="0" shrinkToFit="0" vertical="center" wrapText="1"/>
    </xf>
    <xf borderId="0" fillId="5" fontId="2" numFmtId="0" xfId="0" applyAlignment="1" applyFont="1">
      <alignment horizontal="right" shrinkToFit="0" vertical="center" wrapText="1"/>
    </xf>
    <xf borderId="0" fillId="4" fontId="4" numFmtId="0" xfId="0" applyAlignment="1" applyFont="1">
      <alignment horizontal="right" shrinkToFit="0" vertical="center" wrapText="1"/>
    </xf>
    <xf borderId="0" fillId="4" fontId="4" numFmtId="164" xfId="0" applyAlignment="1" applyFont="1" applyNumberFormat="1">
      <alignment horizontal="right" readingOrder="0" shrinkToFit="0" vertical="center" wrapText="1"/>
    </xf>
    <xf borderId="0" fillId="4" fontId="2" numFmtId="1" xfId="0" applyAlignment="1" applyFont="1" applyNumberFormat="1">
      <alignment horizontal="right" readingOrder="0" shrinkToFit="0" vertical="center" wrapText="1"/>
    </xf>
    <xf borderId="0" fillId="4" fontId="4" numFmtId="0" xfId="0" applyAlignment="1" applyFont="1">
      <alignment horizontal="right" readingOrder="0" shrinkToFit="0" vertical="center" wrapText="1"/>
    </xf>
    <xf borderId="0" fillId="4" fontId="2" numFmtId="0" xfId="0" applyAlignment="1" applyFont="1">
      <alignment horizontal="right" readingOrder="0" shrinkToFit="0" vertical="center" wrapText="1"/>
    </xf>
    <xf borderId="0" fillId="4" fontId="4" numFmtId="164" xfId="0" applyAlignment="1" applyFont="1" applyNumberFormat="1">
      <alignment horizontal="right" shrinkToFit="0" vertical="center" wrapText="1"/>
    </xf>
    <xf borderId="0" fillId="4" fontId="3" numFmtId="0" xfId="0" applyAlignment="1" applyFont="1">
      <alignment horizontal="right" readingOrder="0" shrinkToFit="0" vertical="center" wrapText="1"/>
    </xf>
    <xf borderId="0" fillId="4" fontId="2" numFmtId="0" xfId="0" applyAlignment="1" applyFont="1">
      <alignment horizontal="right" shrinkToFit="0" vertical="center" wrapText="1"/>
    </xf>
    <xf borderId="0" fillId="0" fontId="1"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1" fillId="2" fontId="7" numFmtId="165" xfId="0" applyAlignment="1" applyBorder="1" applyFont="1" applyNumberFormat="1">
      <alignment horizontal="right" shrinkToFit="0" vertical="bottom" wrapText="0"/>
    </xf>
    <xf borderId="1" fillId="2" fontId="7" numFmtId="0" xfId="0" applyAlignment="1" applyBorder="1" applyFont="1">
      <alignment horizontal="right" shrinkToFit="0" vertical="bottom" wrapText="0"/>
    </xf>
    <xf borderId="1" fillId="2" fontId="7" numFmtId="0" xfId="0" applyAlignment="1" applyBorder="1" applyFont="1">
      <alignment horizontal="right" shrinkToFit="0" vertical="bottom" wrapText="0"/>
    </xf>
    <xf borderId="1" fillId="2" fontId="7" numFmtId="168" xfId="0" applyAlignment="1" applyBorder="1" applyFont="1" applyNumberFormat="1">
      <alignment shrinkToFit="0" vertical="bottom" wrapText="0"/>
    </xf>
    <xf quotePrefix="1" borderId="1" fillId="2" fontId="7" numFmtId="0" xfId="0" applyAlignment="1" applyBorder="1" applyFont="1">
      <alignment horizontal="right" shrinkToFit="0" vertical="bottom" wrapText="0"/>
    </xf>
    <xf borderId="1" fillId="2" fontId="7" numFmtId="0" xfId="0" applyAlignment="1" applyBorder="1" applyFont="1">
      <alignment horizontal="right" shrinkToFit="0" vertical="bottom" wrapText="0"/>
    </xf>
    <xf borderId="2" fillId="12" fontId="1" numFmtId="165" xfId="0" applyAlignment="1" applyBorder="1" applyFill="1" applyFont="1" applyNumberFormat="1">
      <alignment horizontal="right" readingOrder="0" shrinkToFit="0" vertical="center" wrapText="0"/>
    </xf>
    <xf borderId="2" fillId="12" fontId="1" numFmtId="0" xfId="0" applyAlignment="1" applyBorder="1" applyFont="1">
      <alignment horizontal="right" readingOrder="0" shrinkToFit="0" vertical="center" wrapText="0"/>
    </xf>
    <xf borderId="2" fillId="12" fontId="1" numFmtId="0" xfId="0" applyAlignment="1" applyBorder="1" applyFont="1">
      <alignment horizontal="right" readingOrder="0" shrinkToFit="0" vertical="center" wrapText="0"/>
    </xf>
    <xf borderId="1" fillId="12" fontId="7" numFmtId="0" xfId="0" applyAlignment="1" applyBorder="1" applyFont="1">
      <alignment horizontal="right" shrinkToFit="0" vertical="bottom" wrapText="0"/>
    </xf>
    <xf borderId="1" fillId="12" fontId="1" numFmtId="168" xfId="0" applyAlignment="1" applyBorder="1" applyFont="1" applyNumberFormat="1">
      <alignment readingOrder="0" shrinkToFit="0" vertical="center" wrapText="0"/>
    </xf>
    <xf borderId="2" fillId="12" fontId="1" numFmtId="0" xfId="0" applyAlignment="1" applyBorder="1" applyFont="1">
      <alignment horizontal="right" shrinkToFit="0" vertical="center" wrapText="0"/>
    </xf>
    <xf borderId="1" fillId="12" fontId="1" numFmtId="0" xfId="0" applyAlignment="1" applyBorder="1" applyFont="1">
      <alignment horizontal="right" shrinkToFit="0" vertical="center" wrapText="0"/>
    </xf>
  </cellXfs>
  <cellStyles count="1">
    <cellStyle xfId="0" name="Normal" builtinId="0"/>
  </cellStyles>
  <dxfs count="12">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none"/>
      </fill>
      <border/>
    </dxf>
    <dxf>
      <font/>
      <fill>
        <patternFill patternType="solid">
          <fgColor rgb="FFFFFFFF"/>
          <bgColor rgb="FFFFFFFF"/>
        </patternFill>
      </fill>
      <border/>
    </dxf>
    <dxf>
      <font/>
      <fill>
        <patternFill patternType="solid">
          <fgColor rgb="FFF9CB9C"/>
          <bgColor rgb="FFF9CB9C"/>
        </patternFill>
      </fill>
      <border/>
    </dxf>
    <dxf>
      <font/>
      <fill>
        <patternFill patternType="solid">
          <fgColor rgb="FFB7E1CD"/>
          <bgColor rgb="FFB7E1CD"/>
        </patternFill>
      </fill>
      <border/>
    </dxf>
    <dxf>
      <font/>
      <fill>
        <patternFill patternType="solid">
          <fgColor rgb="FFFFD966"/>
          <bgColor rgb="FFFFD966"/>
        </patternFill>
      </fill>
      <border/>
    </dxf>
    <dxf>
      <font/>
      <fill>
        <patternFill patternType="solid">
          <fgColor rgb="FFFFFF00"/>
          <bgColor rgb="FFFFFF00"/>
        </patternFill>
      </fill>
      <border/>
    </dxf>
    <dxf>
      <font/>
      <fill>
        <patternFill patternType="solid">
          <fgColor rgb="FF00FFFF"/>
          <bgColor rgb="FF00FFFF"/>
        </patternFill>
      </fill>
      <border/>
    </dxf>
  </dxfs>
  <tableStyles count="2">
    <tableStyle count="4" pivot="0" name="תגובות חדש רישום משפחות-style">
      <tableStyleElement dxfId="1" type="headerRow"/>
      <tableStyleElement dxfId="2" type="firstRowStripe"/>
      <tableStyleElement dxfId="3" type="secondRowStripe"/>
      <tableStyleElement dxfId="4" size="0" type="wholeTable"/>
    </tableStyle>
    <tableStyle count="4" pivot="0" name="בוגרים-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D9" displayName="Form_Responses1" name="Form_Responses1" id="1">
  <tableColumns count="30">
    <tableColumn name="Timestamp" id="1"/>
    <tableColumn name="שם מלא של הילד/ה" id="2"/>
    <tableColumn name="תאריך רישום" id="3"/>
    <tableColumn name="שיחת ביקורת - פנימי" id="4"/>
    <tableColumn name="רכז אחראי - פנימי" id="5"/>
    <tableColumn name="מין" id="6"/>
    <tableColumn name="גיל הילד/ה" id="7"/>
    <tableColumn name="רחוב" id="8"/>
    <tableColumn name="עיר" id="9"/>
    <tableColumn name="מספר טלפון של הילד/ה (במידה ויש)" id="10"/>
    <tableColumn name="בית חולים מטפל" id="11"/>
    <tableColumn name="מצב רפואי עדכני" id="12"/>
    <tableColumn name="האם סיים/ה טיפולים?" id="13"/>
    <tableColumn name="במידה וסימנת לא, מה צפי סיום על פי פרוטוקול?" id="14"/>
    <tableColumn name="במידה וסימנת כן, מתי סיים/ה טיפולים?" id="15"/>
    <tableColumn name="האם נמצא במסגרת?" id="16"/>
    <tableColumn name="תעודת זהות ילד/ה" id="17"/>
    <tableColumn name="תאריך לידה (תאריך מלא **/**/****)" id="18"/>
    <tableColumn name="אבחנה רפואית" id="19"/>
    <tableColumn name="תאריך אבחון" id="20"/>
    <tableColumn name="שם האב" id="21"/>
    <tableColumn name="מס' טלפון של האב" id="22"/>
    <tableColumn name="שם האם" id="23"/>
    <tableColumn name="מס' טלפון של האם" id="24"/>
    <tableColumn name="סטטוס זוגי" id="25"/>
    <tableColumn name="כמה אחים יש? (בנוסף לילד/ה החולים)" id="26"/>
    <tableColumn name="האם יש משהו ספציפי שתרצו לבקש/לדעת?" id="27"/>
    <tableColumn name="האם מעוניינים בחונכות?" id="28"/>
    <tableColumn name="פרטים לצורך חונכות (לצורך ליה ונעם) - פנימי" id="29"/>
    <tableColumn name="חונך - פנימי" id="30"/>
  </tableColumns>
  <tableStyleInfo name="תגובות חדש רישום משפחות-style" showColumnStripes="0" showFirstColumn="1" showLastColumn="1" showRowStripes="1"/>
</table>
</file>

<file path=xl/tables/table2.xml><?xml version="1.0" encoding="utf-8"?>
<table xmlns="http://schemas.openxmlformats.org/spreadsheetml/2006/main" ref="A1:O3" displayName="Form_Responses2" name="Form_Responses2" id="2">
  <autoFilter ref="$A$1:$O$3"/>
  <tableColumns count="15">
    <tableColumn name="Timestamp" id="1"/>
    <tableColumn name="שם מלא" id="2"/>
    <tableColumn name="מספר טלפון אישי" id="3"/>
    <tableColumn name="מגדר" id="4"/>
    <tableColumn name="כתובת מגורים מלאה" id="5"/>
    <tableColumn name="גיל" id="6"/>
    <tableColumn name="תאריך לידה" id="7"/>
    <tableColumn name="אבחנה רפואית" id="8"/>
    <tableColumn name="מצב רפואי עדכני (אחזקה, טיפולים, סיימת טיפולים וכו..)" id="9"/>
    <tableColumn name="אם סיימת טיפולים - באיזה תאריך סיימת" id="10"/>
    <tableColumn name="תעודת זהות בוגר/ת" id="11"/>
    <tableColumn name="שם ההורה" id="12"/>
    <tableColumn name="טלפון הורה (שימו לב להכניס את הטלפון של ההורה מהסעיף הקודם)" id="13"/>
    <tableColumn name="בקשות אישיות או דברים שחשוב לך שנדע :)" id="14"/>
    <tableColumn name="הערות פנימי" id="15"/>
  </tableColumns>
  <tableStyleInfo name="בוגרים-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6.25"/>
    <col customWidth="1" min="5" max="5" width="5.88"/>
    <col customWidth="1" min="6" max="9" width="18.88"/>
    <col customWidth="1" min="10" max="10" width="31.0"/>
    <col customWidth="1" min="11" max="11" width="17.38"/>
    <col customWidth="1" min="12" max="13" width="18.88"/>
    <col customWidth="1" min="14" max="14" width="39.63"/>
    <col customWidth="1" min="15" max="15" width="33.63"/>
    <col customWidth="1" min="16" max="16" width="20.38"/>
    <col customWidth="1" min="17" max="19" width="18.88"/>
    <col customWidth="1" min="20" max="20" width="14.63"/>
    <col customWidth="1" min="21" max="25" width="18.88"/>
    <col customWidth="1" min="26" max="26" width="33.13"/>
    <col customWidth="1" min="27" max="27" width="78.25"/>
    <col customWidth="1" min="28" max="28" width="23.38"/>
    <col customWidth="1" min="29" max="29" width="14.38"/>
    <col customWidth="1" min="30" max="30" width="8.75"/>
    <col customWidth="1" min="31" max="36" width="18.88"/>
  </cols>
  <sheetData>
    <row r="1" ht="22.5" customHeight="1">
      <c r="A1" s="1" t="s">
        <v>0</v>
      </c>
      <c r="B1" s="2" t="s">
        <v>1</v>
      </c>
      <c r="C1" s="3" t="s">
        <v>2</v>
      </c>
      <c r="D1" s="4" t="s">
        <v>3</v>
      </c>
      <c r="E1" s="4"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5" t="s">
        <v>26</v>
      </c>
      <c r="AB1" s="2" t="s">
        <v>27</v>
      </c>
      <c r="AC1" s="4" t="s">
        <v>28</v>
      </c>
      <c r="AD1" s="4" t="s">
        <v>29</v>
      </c>
      <c r="AE1" s="6"/>
      <c r="AF1" s="6"/>
      <c r="AG1" s="6"/>
      <c r="AH1" s="6"/>
      <c r="AI1" s="6"/>
      <c r="AJ1" s="6"/>
      <c r="AK1" s="6"/>
      <c r="AL1" s="6"/>
      <c r="AM1" s="6"/>
      <c r="AN1" s="6"/>
      <c r="AO1" s="6"/>
      <c r="AP1" s="6"/>
      <c r="AQ1" s="6"/>
      <c r="AR1" s="6"/>
      <c r="AS1" s="6"/>
      <c r="AT1" s="6"/>
      <c r="AU1" s="6"/>
      <c r="AV1" s="6"/>
      <c r="AW1" s="6"/>
      <c r="AX1" s="6"/>
      <c r="AY1" s="6"/>
      <c r="AZ1" s="6"/>
      <c r="BA1" s="6"/>
      <c r="BB1" s="6"/>
      <c r="BC1" s="6"/>
    </row>
    <row r="2" ht="22.5" customHeight="1">
      <c r="A2" s="7">
        <v>46020.91908063657</v>
      </c>
      <c r="B2" s="8" t="s">
        <v>30</v>
      </c>
      <c r="C2" s="9">
        <v>46020.0</v>
      </c>
      <c r="D2" s="10"/>
      <c r="E2" s="10"/>
      <c r="F2" s="8" t="s">
        <v>31</v>
      </c>
      <c r="G2" s="11">
        <v>6.0</v>
      </c>
      <c r="H2" s="8" t="s">
        <v>32</v>
      </c>
      <c r="I2" s="8" t="s">
        <v>33</v>
      </c>
      <c r="J2" s="10"/>
      <c r="K2" s="8" t="s">
        <v>34</v>
      </c>
      <c r="L2" s="8" t="s">
        <v>35</v>
      </c>
      <c r="M2" s="8" t="s">
        <v>36</v>
      </c>
      <c r="N2" s="8" t="s">
        <v>37</v>
      </c>
      <c r="O2" s="10"/>
      <c r="P2" s="8" t="s">
        <v>36</v>
      </c>
      <c r="Q2" s="11">
        <v>2.28009585E8</v>
      </c>
      <c r="R2" s="9">
        <v>43714.0</v>
      </c>
      <c r="S2" s="8" t="s">
        <v>38</v>
      </c>
      <c r="T2" s="11" t="s">
        <v>39</v>
      </c>
      <c r="U2" s="8" t="s">
        <v>40</v>
      </c>
      <c r="V2" s="12" t="s">
        <v>41</v>
      </c>
      <c r="W2" s="8" t="s">
        <v>42</v>
      </c>
      <c r="X2" s="12" t="s">
        <v>41</v>
      </c>
      <c r="Y2" s="8" t="s">
        <v>43</v>
      </c>
      <c r="Z2" s="11">
        <v>1.0</v>
      </c>
      <c r="AA2" s="10"/>
      <c r="AB2" s="8" t="s">
        <v>44</v>
      </c>
      <c r="AC2" s="10"/>
      <c r="AD2" s="10"/>
    </row>
    <row r="3" ht="22.5" customHeight="1">
      <c r="A3" s="13">
        <v>46023.44119820602</v>
      </c>
      <c r="B3" s="14" t="s">
        <v>45</v>
      </c>
      <c r="C3" s="15">
        <v>46023.0</v>
      </c>
      <c r="F3" s="14" t="s">
        <v>31</v>
      </c>
      <c r="G3" s="16">
        <v>9.0</v>
      </c>
      <c r="H3" s="14" t="s">
        <v>46</v>
      </c>
      <c r="I3" s="14" t="s">
        <v>47</v>
      </c>
      <c r="J3" s="17" t="s">
        <v>48</v>
      </c>
      <c r="K3" s="14" t="s">
        <v>49</v>
      </c>
      <c r="L3" s="14" t="s">
        <v>50</v>
      </c>
      <c r="M3" s="14" t="s">
        <v>36</v>
      </c>
      <c r="N3" s="14" t="s">
        <v>51</v>
      </c>
      <c r="P3" s="14" t="s">
        <v>52</v>
      </c>
      <c r="Q3" s="16">
        <v>2.25798594E8</v>
      </c>
      <c r="R3" s="15">
        <v>42678.0</v>
      </c>
      <c r="S3" s="14" t="s">
        <v>53</v>
      </c>
      <c r="T3" s="16" t="s">
        <v>54</v>
      </c>
      <c r="U3" s="14" t="s">
        <v>55</v>
      </c>
      <c r="V3" s="17" t="s">
        <v>56</v>
      </c>
      <c r="W3" s="14" t="s">
        <v>57</v>
      </c>
      <c r="X3" s="17" t="s">
        <v>48</v>
      </c>
      <c r="Y3" s="14" t="s">
        <v>43</v>
      </c>
      <c r="Z3" s="16">
        <v>2.0</v>
      </c>
      <c r="AA3" s="14" t="s">
        <v>58</v>
      </c>
      <c r="AB3" s="14" t="s">
        <v>36</v>
      </c>
    </row>
    <row r="4" ht="22.5" customHeight="1">
      <c r="A4" s="13">
        <v>46023.626538020835</v>
      </c>
      <c r="B4" s="14" t="s">
        <v>59</v>
      </c>
      <c r="C4" s="15">
        <v>46023.0</v>
      </c>
      <c r="F4" s="14" t="s">
        <v>31</v>
      </c>
      <c r="G4" s="16">
        <v>19.0</v>
      </c>
      <c r="H4" s="14" t="s">
        <v>60</v>
      </c>
      <c r="I4" s="14" t="s">
        <v>61</v>
      </c>
      <c r="J4" s="17" t="s">
        <v>62</v>
      </c>
      <c r="K4" s="14" t="s">
        <v>63</v>
      </c>
      <c r="L4" s="14" t="s">
        <v>64</v>
      </c>
      <c r="M4" s="14" t="s">
        <v>36</v>
      </c>
      <c r="N4" s="14" t="s">
        <v>65</v>
      </c>
      <c r="P4" s="14" t="s">
        <v>36</v>
      </c>
      <c r="Q4" s="16">
        <v>2.15921602E8</v>
      </c>
      <c r="R4" s="15">
        <v>38938.0</v>
      </c>
      <c r="S4" s="14" t="s">
        <v>66</v>
      </c>
      <c r="T4" s="14" t="s">
        <v>67</v>
      </c>
      <c r="U4" s="14" t="s">
        <v>68</v>
      </c>
      <c r="V4" s="17" t="s">
        <v>69</v>
      </c>
      <c r="W4" s="14" t="s">
        <v>70</v>
      </c>
      <c r="X4" s="17" t="s">
        <v>71</v>
      </c>
      <c r="Y4" s="14" t="s">
        <v>43</v>
      </c>
      <c r="Z4" s="16">
        <v>3.0</v>
      </c>
      <c r="AB4" s="14" t="s">
        <v>36</v>
      </c>
    </row>
    <row r="5" ht="22.5" customHeight="1">
      <c r="A5" s="13">
        <v>46024.95340280092</v>
      </c>
      <c r="B5" s="14" t="s">
        <v>72</v>
      </c>
      <c r="C5" s="15">
        <v>43714.0</v>
      </c>
      <c r="F5" s="14" t="s">
        <v>31</v>
      </c>
      <c r="G5" s="16">
        <v>6.0</v>
      </c>
      <c r="H5" s="14" t="s">
        <v>32</v>
      </c>
      <c r="I5" s="14" t="s">
        <v>33</v>
      </c>
      <c r="J5" s="17" t="s">
        <v>41</v>
      </c>
      <c r="K5" s="14" t="s">
        <v>34</v>
      </c>
      <c r="L5" s="14" t="s">
        <v>38</v>
      </c>
      <c r="M5" s="14" t="s">
        <v>36</v>
      </c>
      <c r="N5" s="14" t="s">
        <v>37</v>
      </c>
      <c r="P5" s="14" t="s">
        <v>36</v>
      </c>
      <c r="Q5" s="16">
        <v>2.28009585E8</v>
      </c>
      <c r="R5" s="15">
        <v>43714.0</v>
      </c>
      <c r="S5" s="14" t="s">
        <v>38</v>
      </c>
      <c r="T5" s="16" t="s">
        <v>39</v>
      </c>
      <c r="U5" s="14" t="s">
        <v>40</v>
      </c>
      <c r="V5" s="17" t="s">
        <v>41</v>
      </c>
      <c r="W5" s="14" t="s">
        <v>42</v>
      </c>
      <c r="X5" s="17" t="s">
        <v>41</v>
      </c>
      <c r="Y5" s="14" t="s">
        <v>43</v>
      </c>
      <c r="Z5" s="16">
        <v>1.0</v>
      </c>
      <c r="AA5" s="14" t="s">
        <v>73</v>
      </c>
      <c r="AB5" s="14" t="s">
        <v>44</v>
      </c>
    </row>
    <row r="6" ht="22.5" customHeight="1">
      <c r="A6" s="13">
        <v>46027.68786668981</v>
      </c>
      <c r="B6" s="14" t="s">
        <v>74</v>
      </c>
      <c r="C6" s="15">
        <v>46027.0</v>
      </c>
      <c r="F6" s="14" t="s">
        <v>31</v>
      </c>
      <c r="G6" s="16">
        <v>17.0</v>
      </c>
      <c r="H6" s="14" t="s">
        <v>75</v>
      </c>
      <c r="I6" s="14" t="s">
        <v>76</v>
      </c>
      <c r="J6" s="17" t="s">
        <v>77</v>
      </c>
      <c r="K6" s="14" t="s">
        <v>78</v>
      </c>
      <c r="L6" s="14" t="s">
        <v>79</v>
      </c>
      <c r="M6" s="14" t="s">
        <v>36</v>
      </c>
      <c r="N6" s="14" t="s">
        <v>80</v>
      </c>
      <c r="P6" s="14" t="s">
        <v>81</v>
      </c>
      <c r="Q6" s="16">
        <v>3.31030262E8</v>
      </c>
      <c r="R6" s="15">
        <v>39537.0</v>
      </c>
      <c r="S6" s="14" t="s">
        <v>82</v>
      </c>
      <c r="T6" s="16" t="s">
        <v>83</v>
      </c>
      <c r="U6" s="14" t="s">
        <v>84</v>
      </c>
      <c r="V6" s="17" t="s">
        <v>85</v>
      </c>
      <c r="W6" s="14" t="s">
        <v>86</v>
      </c>
      <c r="X6" s="17" t="s">
        <v>87</v>
      </c>
      <c r="Y6" s="14" t="s">
        <v>43</v>
      </c>
      <c r="Z6" s="16">
        <v>2.0</v>
      </c>
      <c r="AA6" s="14" t="s">
        <v>88</v>
      </c>
      <c r="AB6" s="14" t="s">
        <v>44</v>
      </c>
    </row>
    <row r="7" ht="22.5" customHeight="1">
      <c r="A7" s="13">
        <v>46027.707521840275</v>
      </c>
      <c r="B7" s="14" t="s">
        <v>89</v>
      </c>
      <c r="C7" s="15">
        <v>46027.0</v>
      </c>
      <c r="F7" s="14" t="s">
        <v>90</v>
      </c>
      <c r="G7" s="16">
        <v>11.0</v>
      </c>
      <c r="H7" s="14" t="s">
        <v>91</v>
      </c>
      <c r="I7" s="14" t="s">
        <v>33</v>
      </c>
      <c r="K7" s="14" t="s">
        <v>92</v>
      </c>
      <c r="L7" s="14" t="s">
        <v>93</v>
      </c>
      <c r="M7" s="14" t="s">
        <v>44</v>
      </c>
      <c r="O7" s="16" t="s">
        <v>94</v>
      </c>
      <c r="P7" s="14" t="s">
        <v>44</v>
      </c>
      <c r="Q7" s="16">
        <v>3.40438555E8</v>
      </c>
      <c r="R7" s="15">
        <v>42087.0</v>
      </c>
      <c r="S7" s="16" t="s">
        <v>95</v>
      </c>
      <c r="T7" s="14" t="s">
        <v>96</v>
      </c>
      <c r="U7" s="14" t="s">
        <v>97</v>
      </c>
      <c r="V7" s="16">
        <v>5.45371411E8</v>
      </c>
      <c r="W7" s="14" t="s">
        <v>98</v>
      </c>
      <c r="X7" s="17" t="s">
        <v>99</v>
      </c>
      <c r="Y7" s="14" t="s">
        <v>43</v>
      </c>
      <c r="Z7" s="16">
        <v>2.0</v>
      </c>
      <c r="AB7" s="14" t="s">
        <v>36</v>
      </c>
    </row>
    <row r="8" ht="22.5" customHeight="1">
      <c r="A8" s="13">
        <v>46028.4474084838</v>
      </c>
      <c r="B8" s="14" t="s">
        <v>100</v>
      </c>
      <c r="C8" s="15">
        <v>46028.0</v>
      </c>
      <c r="F8" s="14" t="s">
        <v>90</v>
      </c>
      <c r="G8" s="16">
        <v>4.0</v>
      </c>
      <c r="H8" s="14" t="s">
        <v>101</v>
      </c>
      <c r="I8" s="14" t="s">
        <v>102</v>
      </c>
      <c r="K8" s="14" t="s">
        <v>103</v>
      </c>
      <c r="L8" s="14" t="s">
        <v>104</v>
      </c>
      <c r="M8" s="14" t="s">
        <v>36</v>
      </c>
      <c r="N8" s="14" t="s">
        <v>105</v>
      </c>
      <c r="P8" s="14" t="s">
        <v>106</v>
      </c>
      <c r="Q8" s="16">
        <v>2.34574838E8</v>
      </c>
      <c r="R8" s="15">
        <v>44456.0</v>
      </c>
      <c r="S8" s="14" t="s">
        <v>107</v>
      </c>
      <c r="T8" s="16">
        <v>2022.0</v>
      </c>
      <c r="U8" s="14" t="s">
        <v>108</v>
      </c>
      <c r="V8" s="17" t="s">
        <v>109</v>
      </c>
      <c r="W8" s="14" t="s">
        <v>110</v>
      </c>
      <c r="X8" s="17" t="s">
        <v>111</v>
      </c>
      <c r="Y8" s="14" t="s">
        <v>43</v>
      </c>
      <c r="Z8" s="16">
        <v>2.0</v>
      </c>
      <c r="AB8" s="14" t="s">
        <v>36</v>
      </c>
    </row>
    <row r="9" ht="22.5" customHeight="1">
      <c r="A9" s="13">
        <v>46028.51163460648</v>
      </c>
      <c r="B9" s="14" t="s">
        <v>112</v>
      </c>
      <c r="C9" s="15">
        <v>46028.0</v>
      </c>
      <c r="F9" s="14" t="s">
        <v>31</v>
      </c>
      <c r="G9" s="16">
        <v>23.0</v>
      </c>
      <c r="H9" s="14" t="s">
        <v>113</v>
      </c>
      <c r="I9" s="14" t="s">
        <v>33</v>
      </c>
      <c r="J9" s="17" t="s">
        <v>114</v>
      </c>
      <c r="K9" s="14" t="s">
        <v>34</v>
      </c>
      <c r="L9" s="14" t="s">
        <v>115</v>
      </c>
      <c r="M9" s="14" t="s">
        <v>36</v>
      </c>
      <c r="N9" s="14" t="s">
        <v>116</v>
      </c>
      <c r="P9" s="14" t="s">
        <v>36</v>
      </c>
      <c r="Q9" s="16">
        <v>2.13247687E8</v>
      </c>
      <c r="R9" s="15">
        <v>37541.0</v>
      </c>
      <c r="S9" s="14" t="s">
        <v>117</v>
      </c>
      <c r="T9" s="14" t="s">
        <v>118</v>
      </c>
      <c r="U9" s="14" t="s">
        <v>119</v>
      </c>
      <c r="V9" s="17" t="s">
        <v>120</v>
      </c>
      <c r="W9" s="14" t="s">
        <v>121</v>
      </c>
      <c r="X9" s="17" t="s">
        <v>122</v>
      </c>
      <c r="Y9" s="14" t="s">
        <v>123</v>
      </c>
      <c r="Z9" s="16">
        <v>1.0</v>
      </c>
      <c r="AB9" s="14" t="s">
        <v>36</v>
      </c>
    </row>
    <row r="10">
      <c r="A10" s="6"/>
      <c r="B10" s="6"/>
      <c r="C10" s="18"/>
      <c r="D10" s="6"/>
      <c r="E10" s="6"/>
      <c r="F10" s="6"/>
      <c r="G10" s="6"/>
      <c r="H10" s="6"/>
      <c r="I10" s="6"/>
      <c r="J10" s="6"/>
      <c r="K10" s="6"/>
      <c r="L10" s="6"/>
      <c r="M10" s="6"/>
      <c r="N10" s="6"/>
      <c r="O10" s="6"/>
      <c r="P10" s="6"/>
      <c r="Q10" s="6"/>
      <c r="R10" s="6"/>
      <c r="S10" s="6"/>
      <c r="T10" s="6"/>
      <c r="U10" s="6"/>
      <c r="V10" s="6"/>
      <c r="W10" s="6"/>
      <c r="X10" s="6"/>
      <c r="Y10" s="6"/>
      <c r="Z10" s="6"/>
      <c r="AA10" s="19"/>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row>
    <row r="11">
      <c r="A11" s="6"/>
      <c r="B11" s="6"/>
      <c r="C11" s="18"/>
      <c r="D11" s="6"/>
      <c r="E11" s="6"/>
      <c r="F11" s="6"/>
      <c r="G11" s="6"/>
      <c r="H11" s="6"/>
      <c r="I11" s="6"/>
      <c r="J11" s="6"/>
      <c r="K11" s="6"/>
      <c r="L11" s="6"/>
      <c r="M11" s="6"/>
      <c r="N11" s="6"/>
      <c r="O11" s="6"/>
      <c r="P11" s="6"/>
      <c r="Q11" s="6"/>
      <c r="R11" s="6"/>
      <c r="S11" s="6"/>
      <c r="T11" s="6"/>
      <c r="U11" s="6"/>
      <c r="V11" s="6"/>
      <c r="W11" s="6"/>
      <c r="X11" s="6"/>
      <c r="Y11" s="6"/>
      <c r="Z11" s="6"/>
      <c r="AA11" s="19"/>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row>
    <row r="12">
      <c r="A12" s="6"/>
      <c r="B12" s="6"/>
      <c r="C12" s="18"/>
      <c r="D12" s="6"/>
      <c r="E12" s="6"/>
      <c r="F12" s="6"/>
      <c r="G12" s="6"/>
      <c r="H12" s="6"/>
      <c r="I12" s="6"/>
      <c r="J12" s="6"/>
      <c r="K12" s="6"/>
      <c r="L12" s="6"/>
      <c r="M12" s="6"/>
      <c r="N12" s="6"/>
      <c r="O12" s="6"/>
      <c r="P12" s="6"/>
      <c r="Q12" s="6"/>
      <c r="R12" s="6"/>
      <c r="S12" s="6"/>
      <c r="T12" s="6"/>
      <c r="U12" s="6"/>
      <c r="V12" s="6"/>
      <c r="W12" s="6"/>
      <c r="X12" s="6"/>
      <c r="Y12" s="6"/>
      <c r="Z12" s="6"/>
      <c r="AA12" s="19"/>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row>
    <row r="13">
      <c r="A13" s="6"/>
      <c r="B13" s="6"/>
      <c r="C13" s="18"/>
      <c r="D13" s="6"/>
      <c r="E13" s="6"/>
      <c r="F13" s="6"/>
      <c r="G13" s="6"/>
      <c r="H13" s="6"/>
      <c r="I13" s="6"/>
      <c r="J13" s="6"/>
      <c r="K13" s="6"/>
      <c r="L13" s="6"/>
      <c r="M13" s="6"/>
      <c r="N13" s="6"/>
      <c r="O13" s="6"/>
      <c r="P13" s="6"/>
      <c r="Q13" s="6"/>
      <c r="R13" s="6"/>
      <c r="S13" s="6"/>
      <c r="T13" s="6"/>
      <c r="U13" s="6"/>
      <c r="V13" s="6"/>
      <c r="W13" s="6"/>
      <c r="X13" s="6"/>
      <c r="Y13" s="6"/>
      <c r="Z13" s="6"/>
      <c r="AA13" s="19"/>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row>
    <row r="14">
      <c r="A14" s="6"/>
      <c r="B14" s="6"/>
      <c r="C14" s="18"/>
      <c r="D14" s="6"/>
      <c r="E14" s="6"/>
      <c r="F14" s="6"/>
      <c r="G14" s="6"/>
      <c r="H14" s="6"/>
      <c r="I14" s="6"/>
      <c r="J14" s="6"/>
      <c r="K14" s="6"/>
      <c r="L14" s="6"/>
      <c r="M14" s="6"/>
      <c r="N14" s="6"/>
      <c r="O14" s="6"/>
      <c r="P14" s="6"/>
      <c r="Q14" s="6"/>
      <c r="R14" s="6"/>
      <c r="S14" s="6"/>
      <c r="T14" s="6"/>
      <c r="U14" s="6"/>
      <c r="V14" s="6"/>
      <c r="W14" s="6"/>
      <c r="X14" s="6"/>
      <c r="Y14" s="6"/>
      <c r="Z14" s="6"/>
      <c r="AA14" s="19"/>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row>
    <row r="15">
      <c r="A15" s="6"/>
      <c r="B15" s="6"/>
      <c r="C15" s="18"/>
      <c r="D15" s="6"/>
      <c r="E15" s="6"/>
      <c r="F15" s="6"/>
      <c r="G15" s="6"/>
      <c r="H15" s="6"/>
      <c r="I15" s="6"/>
      <c r="J15" s="6"/>
      <c r="K15" s="6"/>
      <c r="L15" s="6"/>
      <c r="M15" s="6"/>
      <c r="N15" s="6"/>
      <c r="O15" s="6"/>
      <c r="P15" s="6"/>
      <c r="Q15" s="6"/>
      <c r="R15" s="6"/>
      <c r="S15" s="6"/>
      <c r="T15" s="6"/>
      <c r="U15" s="6"/>
      <c r="V15" s="6"/>
      <c r="W15" s="6"/>
      <c r="X15" s="6"/>
      <c r="Y15" s="6"/>
      <c r="Z15" s="6"/>
      <c r="AA15" s="19"/>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row>
    <row r="16">
      <c r="A16" s="6"/>
      <c r="B16" s="6"/>
      <c r="C16" s="18"/>
      <c r="D16" s="6"/>
      <c r="E16" s="6"/>
      <c r="F16" s="6"/>
      <c r="G16" s="6"/>
      <c r="H16" s="6"/>
      <c r="I16" s="6"/>
      <c r="J16" s="6"/>
      <c r="K16" s="6"/>
      <c r="L16" s="6"/>
      <c r="M16" s="6"/>
      <c r="N16" s="6"/>
      <c r="O16" s="6"/>
      <c r="P16" s="6"/>
      <c r="Q16" s="6"/>
      <c r="R16" s="6"/>
      <c r="S16" s="6"/>
      <c r="T16" s="6"/>
      <c r="U16" s="6"/>
      <c r="V16" s="6"/>
      <c r="W16" s="6"/>
      <c r="X16" s="6"/>
      <c r="Y16" s="6"/>
      <c r="Z16" s="6"/>
      <c r="AA16" s="19"/>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row>
    <row r="17">
      <c r="A17" s="6"/>
      <c r="B17" s="6"/>
      <c r="C17" s="18"/>
      <c r="D17" s="6"/>
      <c r="E17" s="6"/>
      <c r="F17" s="6"/>
      <c r="G17" s="6"/>
      <c r="H17" s="6"/>
      <c r="I17" s="6"/>
      <c r="J17" s="6"/>
      <c r="K17" s="6"/>
      <c r="L17" s="6"/>
      <c r="M17" s="6"/>
      <c r="N17" s="6"/>
      <c r="O17" s="6"/>
      <c r="P17" s="6"/>
      <c r="Q17" s="6"/>
      <c r="R17" s="6"/>
      <c r="S17" s="6"/>
      <c r="T17" s="6"/>
      <c r="U17" s="6"/>
      <c r="V17" s="6"/>
      <c r="W17" s="6"/>
      <c r="X17" s="6"/>
      <c r="Y17" s="6"/>
      <c r="Z17" s="6"/>
      <c r="AA17" s="19"/>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row>
    <row r="18">
      <c r="A18" s="6"/>
      <c r="B18" s="6"/>
      <c r="C18" s="18"/>
      <c r="D18" s="6"/>
      <c r="E18" s="6"/>
      <c r="F18" s="6"/>
      <c r="G18" s="6"/>
      <c r="H18" s="6"/>
      <c r="I18" s="6"/>
      <c r="J18" s="6"/>
      <c r="K18" s="6"/>
      <c r="L18" s="6"/>
      <c r="M18" s="6"/>
      <c r="N18" s="6"/>
      <c r="O18" s="6"/>
      <c r="P18" s="6"/>
      <c r="Q18" s="6"/>
      <c r="R18" s="6"/>
      <c r="S18" s="6"/>
      <c r="T18" s="6"/>
      <c r="U18" s="6"/>
      <c r="V18" s="6"/>
      <c r="W18" s="6"/>
      <c r="X18" s="6"/>
      <c r="Y18" s="6"/>
      <c r="Z18" s="6"/>
      <c r="AA18" s="19"/>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row>
    <row r="19">
      <c r="A19" s="6"/>
      <c r="B19" s="6"/>
      <c r="C19" s="18"/>
      <c r="D19" s="6"/>
      <c r="E19" s="6"/>
      <c r="F19" s="6"/>
      <c r="G19" s="6"/>
      <c r="H19" s="6"/>
      <c r="I19" s="6"/>
      <c r="J19" s="6"/>
      <c r="K19" s="6"/>
      <c r="L19" s="6"/>
      <c r="M19" s="6"/>
      <c r="N19" s="6"/>
      <c r="O19" s="6"/>
      <c r="P19" s="6"/>
      <c r="Q19" s="6"/>
      <c r="R19" s="6"/>
      <c r="S19" s="6"/>
      <c r="T19" s="6"/>
      <c r="U19" s="6"/>
      <c r="V19" s="6"/>
      <c r="W19" s="6"/>
      <c r="X19" s="6"/>
      <c r="Y19" s="6"/>
      <c r="Z19" s="6"/>
      <c r="AA19" s="19"/>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row>
    <row r="20">
      <c r="A20" s="6"/>
      <c r="B20" s="6"/>
      <c r="C20" s="18"/>
      <c r="D20" s="6"/>
      <c r="E20" s="6"/>
      <c r="F20" s="6"/>
      <c r="G20" s="6"/>
      <c r="H20" s="6"/>
      <c r="I20" s="6"/>
      <c r="J20" s="6"/>
      <c r="K20" s="6"/>
      <c r="L20" s="6"/>
      <c r="M20" s="6"/>
      <c r="N20" s="6"/>
      <c r="O20" s="6"/>
      <c r="P20" s="6"/>
      <c r="Q20" s="6"/>
      <c r="R20" s="6"/>
      <c r="S20" s="6"/>
      <c r="T20" s="6"/>
      <c r="U20" s="6"/>
      <c r="V20" s="6"/>
      <c r="W20" s="6"/>
      <c r="X20" s="6"/>
      <c r="Y20" s="6"/>
      <c r="Z20" s="6"/>
      <c r="AA20" s="19"/>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row>
    <row r="21">
      <c r="A21" s="6"/>
      <c r="B21" s="6"/>
      <c r="C21" s="18"/>
      <c r="D21" s="6"/>
      <c r="E21" s="6"/>
      <c r="F21" s="6"/>
      <c r="G21" s="6"/>
      <c r="H21" s="6"/>
      <c r="I21" s="6"/>
      <c r="J21" s="6"/>
      <c r="K21" s="6"/>
      <c r="L21" s="6"/>
      <c r="M21" s="6"/>
      <c r="N21" s="6"/>
      <c r="O21" s="6"/>
      <c r="P21" s="6"/>
      <c r="Q21" s="6"/>
      <c r="R21" s="6"/>
      <c r="S21" s="6"/>
      <c r="T21" s="6"/>
      <c r="U21" s="6"/>
      <c r="V21" s="6"/>
      <c r="W21" s="6"/>
      <c r="X21" s="6"/>
      <c r="Y21" s="6"/>
      <c r="Z21" s="6"/>
      <c r="AA21" s="19"/>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row>
    <row r="22">
      <c r="A22" s="6"/>
      <c r="B22" s="6"/>
      <c r="C22" s="18"/>
      <c r="D22" s="6"/>
      <c r="E22" s="6"/>
      <c r="F22" s="6"/>
      <c r="G22" s="6"/>
      <c r="H22" s="6"/>
      <c r="I22" s="6"/>
      <c r="J22" s="6"/>
      <c r="K22" s="6"/>
      <c r="L22" s="6"/>
      <c r="M22" s="6"/>
      <c r="N22" s="6"/>
      <c r="O22" s="6"/>
      <c r="P22" s="6"/>
      <c r="Q22" s="6"/>
      <c r="R22" s="6"/>
      <c r="S22" s="6"/>
      <c r="T22" s="6"/>
      <c r="U22" s="6"/>
      <c r="V22" s="6"/>
      <c r="W22" s="6"/>
      <c r="X22" s="6"/>
      <c r="Y22" s="6"/>
      <c r="Z22" s="6"/>
      <c r="AA22" s="19"/>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row>
    <row r="23">
      <c r="A23" s="6"/>
      <c r="B23" s="6"/>
      <c r="C23" s="18"/>
      <c r="D23" s="6"/>
      <c r="E23" s="6"/>
      <c r="F23" s="6"/>
      <c r="G23" s="6"/>
      <c r="H23" s="6"/>
      <c r="I23" s="6"/>
      <c r="J23" s="6"/>
      <c r="K23" s="6"/>
      <c r="L23" s="6"/>
      <c r="M23" s="6"/>
      <c r="N23" s="6"/>
      <c r="O23" s="6"/>
      <c r="P23" s="6"/>
      <c r="Q23" s="6"/>
      <c r="R23" s="6"/>
      <c r="S23" s="6"/>
      <c r="T23" s="6"/>
      <c r="U23" s="6"/>
      <c r="V23" s="6"/>
      <c r="W23" s="6"/>
      <c r="X23" s="6"/>
      <c r="Y23" s="6"/>
      <c r="Z23" s="6"/>
      <c r="AA23" s="19"/>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row>
    <row r="24">
      <c r="A24" s="6"/>
      <c r="B24" s="6"/>
      <c r="C24" s="18"/>
      <c r="D24" s="6"/>
      <c r="E24" s="6"/>
      <c r="F24" s="6"/>
      <c r="G24" s="6"/>
      <c r="H24" s="6"/>
      <c r="I24" s="6"/>
      <c r="J24" s="6"/>
      <c r="K24" s="6"/>
      <c r="L24" s="6"/>
      <c r="M24" s="6"/>
      <c r="N24" s="6"/>
      <c r="O24" s="6"/>
      <c r="P24" s="6"/>
      <c r="Q24" s="6"/>
      <c r="R24" s="6"/>
      <c r="S24" s="6"/>
      <c r="T24" s="6"/>
      <c r="U24" s="6"/>
      <c r="V24" s="6"/>
      <c r="W24" s="6"/>
      <c r="X24" s="6"/>
      <c r="Y24" s="6"/>
      <c r="Z24" s="6"/>
      <c r="AA24" s="19"/>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row>
    <row r="25">
      <c r="A25" s="6"/>
      <c r="B25" s="6"/>
      <c r="C25" s="18"/>
      <c r="D25" s="6"/>
      <c r="E25" s="6"/>
      <c r="F25" s="6"/>
      <c r="G25" s="6"/>
      <c r="H25" s="6"/>
      <c r="I25" s="6"/>
      <c r="J25" s="6"/>
      <c r="K25" s="6"/>
      <c r="L25" s="6"/>
      <c r="M25" s="6"/>
      <c r="N25" s="6"/>
      <c r="O25" s="6"/>
      <c r="P25" s="6"/>
      <c r="Q25" s="6"/>
      <c r="R25" s="6"/>
      <c r="S25" s="6"/>
      <c r="T25" s="6"/>
      <c r="U25" s="6"/>
      <c r="V25" s="6"/>
      <c r="W25" s="6"/>
      <c r="X25" s="6"/>
      <c r="Y25" s="6"/>
      <c r="Z25" s="6"/>
      <c r="AA25" s="19"/>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row>
    <row r="26">
      <c r="A26" s="6"/>
      <c r="B26" s="6"/>
      <c r="C26" s="18"/>
      <c r="D26" s="6"/>
      <c r="E26" s="6"/>
      <c r="F26" s="6"/>
      <c r="G26" s="6"/>
      <c r="H26" s="6"/>
      <c r="I26" s="6"/>
      <c r="J26" s="6"/>
      <c r="K26" s="6"/>
      <c r="L26" s="6"/>
      <c r="M26" s="6"/>
      <c r="N26" s="6"/>
      <c r="O26" s="6"/>
      <c r="P26" s="6"/>
      <c r="Q26" s="6"/>
      <c r="R26" s="6"/>
      <c r="S26" s="6"/>
      <c r="T26" s="6"/>
      <c r="U26" s="6"/>
      <c r="V26" s="6"/>
      <c r="W26" s="6"/>
      <c r="X26" s="6"/>
      <c r="Y26" s="6"/>
      <c r="Z26" s="6"/>
      <c r="AA26" s="19"/>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row>
    <row r="27">
      <c r="A27" s="6"/>
      <c r="B27" s="6"/>
      <c r="C27" s="18"/>
      <c r="D27" s="6"/>
      <c r="E27" s="6"/>
      <c r="F27" s="6"/>
      <c r="G27" s="6"/>
      <c r="H27" s="6"/>
      <c r="I27" s="6"/>
      <c r="J27" s="6"/>
      <c r="K27" s="6"/>
      <c r="L27" s="6"/>
      <c r="M27" s="6"/>
      <c r="N27" s="6"/>
      <c r="O27" s="6"/>
      <c r="P27" s="6"/>
      <c r="Q27" s="6"/>
      <c r="R27" s="6"/>
      <c r="S27" s="6"/>
      <c r="T27" s="6"/>
      <c r="U27" s="6"/>
      <c r="V27" s="6"/>
      <c r="W27" s="6"/>
      <c r="X27" s="6"/>
      <c r="Y27" s="6"/>
      <c r="Z27" s="6"/>
      <c r="AA27" s="19"/>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row>
    <row r="28">
      <c r="A28" s="6"/>
      <c r="B28" s="6"/>
      <c r="C28" s="18"/>
      <c r="D28" s="6"/>
      <c r="E28" s="6"/>
      <c r="F28" s="6"/>
      <c r="G28" s="6"/>
      <c r="H28" s="6"/>
      <c r="I28" s="6"/>
      <c r="J28" s="6"/>
      <c r="K28" s="6"/>
      <c r="L28" s="6"/>
      <c r="M28" s="6"/>
      <c r="N28" s="6"/>
      <c r="O28" s="6"/>
      <c r="P28" s="6"/>
      <c r="Q28" s="6"/>
      <c r="R28" s="6"/>
      <c r="S28" s="6"/>
      <c r="T28" s="6"/>
      <c r="U28" s="6"/>
      <c r="V28" s="6"/>
      <c r="W28" s="6"/>
      <c r="X28" s="6"/>
      <c r="Y28" s="6"/>
      <c r="Z28" s="6"/>
      <c r="AA28" s="19"/>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row>
    <row r="29">
      <c r="A29" s="6"/>
      <c r="B29" s="6"/>
      <c r="C29" s="18"/>
      <c r="D29" s="6"/>
      <c r="E29" s="6"/>
      <c r="F29" s="6"/>
      <c r="G29" s="6"/>
      <c r="H29" s="6"/>
      <c r="I29" s="6"/>
      <c r="J29" s="6"/>
      <c r="K29" s="6"/>
      <c r="L29" s="6"/>
      <c r="M29" s="6"/>
      <c r="N29" s="6"/>
      <c r="O29" s="6"/>
      <c r="P29" s="6"/>
      <c r="Q29" s="6"/>
      <c r="R29" s="6"/>
      <c r="S29" s="6"/>
      <c r="T29" s="6"/>
      <c r="U29" s="6"/>
      <c r="V29" s="6"/>
      <c r="W29" s="6"/>
      <c r="X29" s="6"/>
      <c r="Y29" s="6"/>
      <c r="Z29" s="6"/>
      <c r="AA29" s="19"/>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row>
    <row r="30">
      <c r="A30" s="6"/>
      <c r="B30" s="6"/>
      <c r="C30" s="18"/>
      <c r="D30" s="6"/>
      <c r="E30" s="6"/>
      <c r="F30" s="6"/>
      <c r="G30" s="6"/>
      <c r="H30" s="6"/>
      <c r="I30" s="6"/>
      <c r="J30" s="6"/>
      <c r="K30" s="6"/>
      <c r="L30" s="6"/>
      <c r="M30" s="6"/>
      <c r="N30" s="6"/>
      <c r="O30" s="6"/>
      <c r="P30" s="6"/>
      <c r="Q30" s="6"/>
      <c r="R30" s="6"/>
      <c r="S30" s="6"/>
      <c r="T30" s="6"/>
      <c r="U30" s="6"/>
      <c r="V30" s="6"/>
      <c r="W30" s="6"/>
      <c r="X30" s="6"/>
      <c r="Y30" s="6"/>
      <c r="Z30" s="6"/>
      <c r="AA30" s="19"/>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row>
    <row r="31">
      <c r="A31" s="6"/>
      <c r="B31" s="6"/>
      <c r="C31" s="18"/>
      <c r="D31" s="6"/>
      <c r="E31" s="6"/>
      <c r="F31" s="6"/>
      <c r="G31" s="6"/>
      <c r="H31" s="6"/>
      <c r="I31" s="6"/>
      <c r="J31" s="6"/>
      <c r="K31" s="6"/>
      <c r="L31" s="6"/>
      <c r="M31" s="6"/>
      <c r="N31" s="6"/>
      <c r="O31" s="6"/>
      <c r="P31" s="6"/>
      <c r="Q31" s="6"/>
      <c r="R31" s="6"/>
      <c r="S31" s="6"/>
      <c r="T31" s="6"/>
      <c r="U31" s="6"/>
      <c r="V31" s="6"/>
      <c r="W31" s="6"/>
      <c r="X31" s="6"/>
      <c r="Y31" s="6"/>
      <c r="Z31" s="6"/>
      <c r="AA31" s="19"/>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row>
    <row r="32">
      <c r="A32" s="6"/>
      <c r="B32" s="6"/>
      <c r="C32" s="18"/>
      <c r="D32" s="6"/>
      <c r="E32" s="6"/>
      <c r="F32" s="6"/>
      <c r="G32" s="6"/>
      <c r="H32" s="6"/>
      <c r="I32" s="6"/>
      <c r="J32" s="6"/>
      <c r="K32" s="6"/>
      <c r="L32" s="6"/>
      <c r="M32" s="6"/>
      <c r="N32" s="6"/>
      <c r="O32" s="6"/>
      <c r="P32" s="6"/>
      <c r="Q32" s="6"/>
      <c r="R32" s="6"/>
      <c r="S32" s="6"/>
      <c r="T32" s="6"/>
      <c r="U32" s="6"/>
      <c r="V32" s="6"/>
      <c r="W32" s="6"/>
      <c r="X32" s="6"/>
      <c r="Y32" s="6"/>
      <c r="Z32" s="6"/>
      <c r="AA32" s="19"/>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row>
    <row r="33">
      <c r="A33" s="6"/>
      <c r="B33" s="6"/>
      <c r="C33" s="18"/>
      <c r="D33" s="6"/>
      <c r="E33" s="6"/>
      <c r="F33" s="6"/>
      <c r="G33" s="6"/>
      <c r="H33" s="6"/>
      <c r="I33" s="6"/>
      <c r="J33" s="6"/>
      <c r="K33" s="6"/>
      <c r="L33" s="6"/>
      <c r="M33" s="6"/>
      <c r="N33" s="6"/>
      <c r="O33" s="6"/>
      <c r="P33" s="6"/>
      <c r="Q33" s="6"/>
      <c r="R33" s="6"/>
      <c r="S33" s="6"/>
      <c r="T33" s="6"/>
      <c r="U33" s="6"/>
      <c r="V33" s="6"/>
      <c r="W33" s="6"/>
      <c r="X33" s="6"/>
      <c r="Y33" s="6"/>
      <c r="Z33" s="6"/>
      <c r="AA33" s="19"/>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row>
    <row r="34">
      <c r="A34" s="6"/>
      <c r="B34" s="6"/>
      <c r="C34" s="18"/>
      <c r="D34" s="6"/>
      <c r="E34" s="6"/>
      <c r="F34" s="6"/>
      <c r="G34" s="6"/>
      <c r="H34" s="6"/>
      <c r="I34" s="6"/>
      <c r="J34" s="6"/>
      <c r="K34" s="6"/>
      <c r="L34" s="6"/>
      <c r="M34" s="6"/>
      <c r="N34" s="6"/>
      <c r="O34" s="6"/>
      <c r="P34" s="6"/>
      <c r="Q34" s="6"/>
      <c r="R34" s="6"/>
      <c r="S34" s="6"/>
      <c r="T34" s="6"/>
      <c r="U34" s="6"/>
      <c r="V34" s="6"/>
      <c r="W34" s="6"/>
      <c r="X34" s="6"/>
      <c r="Y34" s="6"/>
      <c r="Z34" s="6"/>
      <c r="AA34" s="19"/>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row>
    <row r="35">
      <c r="A35" s="6"/>
      <c r="B35" s="6"/>
      <c r="C35" s="18"/>
      <c r="D35" s="6"/>
      <c r="E35" s="6"/>
      <c r="F35" s="6"/>
      <c r="G35" s="6"/>
      <c r="H35" s="6"/>
      <c r="I35" s="6"/>
      <c r="J35" s="6"/>
      <c r="K35" s="6"/>
      <c r="L35" s="6"/>
      <c r="M35" s="6"/>
      <c r="N35" s="6"/>
      <c r="O35" s="6"/>
      <c r="P35" s="6"/>
      <c r="Q35" s="6"/>
      <c r="R35" s="6"/>
      <c r="S35" s="6"/>
      <c r="T35" s="6"/>
      <c r="U35" s="6"/>
      <c r="V35" s="6"/>
      <c r="W35" s="6"/>
      <c r="X35" s="6"/>
      <c r="Y35" s="6"/>
      <c r="Z35" s="6"/>
      <c r="AA35" s="19"/>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row>
    <row r="36">
      <c r="A36" s="6"/>
      <c r="B36" s="6"/>
      <c r="C36" s="18"/>
      <c r="D36" s="6"/>
      <c r="E36" s="6"/>
      <c r="F36" s="6"/>
      <c r="G36" s="6"/>
      <c r="H36" s="6"/>
      <c r="I36" s="6"/>
      <c r="J36" s="6"/>
      <c r="K36" s="6"/>
      <c r="L36" s="6"/>
      <c r="M36" s="6"/>
      <c r="N36" s="6"/>
      <c r="O36" s="6"/>
      <c r="P36" s="6"/>
      <c r="Q36" s="6"/>
      <c r="R36" s="6"/>
      <c r="S36" s="6"/>
      <c r="T36" s="6"/>
      <c r="U36" s="6"/>
      <c r="V36" s="6"/>
      <c r="W36" s="6"/>
      <c r="X36" s="6"/>
      <c r="Y36" s="6"/>
      <c r="Z36" s="6"/>
      <c r="AA36" s="19"/>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row>
    <row r="37">
      <c r="A37" s="6"/>
      <c r="B37" s="6"/>
      <c r="C37" s="18"/>
      <c r="D37" s="6"/>
      <c r="E37" s="6"/>
      <c r="F37" s="6"/>
      <c r="G37" s="6"/>
      <c r="H37" s="6"/>
      <c r="I37" s="6"/>
      <c r="J37" s="6"/>
      <c r="K37" s="6"/>
      <c r="L37" s="6"/>
      <c r="M37" s="6"/>
      <c r="N37" s="6"/>
      <c r="O37" s="6"/>
      <c r="P37" s="6"/>
      <c r="Q37" s="6"/>
      <c r="R37" s="6"/>
      <c r="S37" s="6"/>
      <c r="T37" s="6"/>
      <c r="U37" s="6"/>
      <c r="V37" s="6"/>
      <c r="W37" s="6"/>
      <c r="X37" s="6"/>
      <c r="Y37" s="6"/>
      <c r="Z37" s="6"/>
      <c r="AA37" s="19"/>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row>
    <row r="38">
      <c r="A38" s="6"/>
      <c r="B38" s="6"/>
      <c r="C38" s="18"/>
      <c r="D38" s="6"/>
      <c r="E38" s="6"/>
      <c r="F38" s="6"/>
      <c r="G38" s="6"/>
      <c r="H38" s="6"/>
      <c r="I38" s="6"/>
      <c r="J38" s="6"/>
      <c r="K38" s="6"/>
      <c r="L38" s="6"/>
      <c r="M38" s="6"/>
      <c r="N38" s="6"/>
      <c r="O38" s="6"/>
      <c r="P38" s="6"/>
      <c r="Q38" s="6"/>
      <c r="R38" s="6"/>
      <c r="S38" s="6"/>
      <c r="T38" s="6"/>
      <c r="U38" s="6"/>
      <c r="V38" s="6"/>
      <c r="W38" s="6"/>
      <c r="X38" s="6"/>
      <c r="Y38" s="6"/>
      <c r="Z38" s="6"/>
      <c r="AA38" s="19"/>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row>
    <row r="39">
      <c r="A39" s="6"/>
      <c r="B39" s="6"/>
      <c r="C39" s="18"/>
      <c r="D39" s="6"/>
      <c r="E39" s="6"/>
      <c r="F39" s="6"/>
      <c r="G39" s="6"/>
      <c r="H39" s="6"/>
      <c r="I39" s="6"/>
      <c r="J39" s="6"/>
      <c r="K39" s="6"/>
      <c r="L39" s="6"/>
      <c r="M39" s="6"/>
      <c r="N39" s="6"/>
      <c r="O39" s="6"/>
      <c r="P39" s="6"/>
      <c r="Q39" s="6"/>
      <c r="R39" s="6"/>
      <c r="S39" s="6"/>
      <c r="T39" s="6"/>
      <c r="U39" s="6"/>
      <c r="V39" s="6"/>
      <c r="W39" s="6"/>
      <c r="X39" s="6"/>
      <c r="Y39" s="6"/>
      <c r="Z39" s="6"/>
      <c r="AA39" s="19"/>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row>
    <row r="40">
      <c r="A40" s="6"/>
      <c r="B40" s="6"/>
      <c r="C40" s="18"/>
      <c r="D40" s="6"/>
      <c r="E40" s="6"/>
      <c r="F40" s="6"/>
      <c r="G40" s="6"/>
      <c r="H40" s="6"/>
      <c r="I40" s="6"/>
      <c r="J40" s="6"/>
      <c r="K40" s="6"/>
      <c r="L40" s="6"/>
      <c r="M40" s="6"/>
      <c r="N40" s="6"/>
      <c r="O40" s="6"/>
      <c r="P40" s="6"/>
      <c r="Q40" s="6"/>
      <c r="R40" s="6"/>
      <c r="S40" s="6"/>
      <c r="T40" s="6"/>
      <c r="U40" s="6"/>
      <c r="V40" s="6"/>
      <c r="W40" s="6"/>
      <c r="X40" s="6"/>
      <c r="Y40" s="6"/>
      <c r="Z40" s="6"/>
      <c r="AA40" s="19"/>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row>
    <row r="41">
      <c r="A41" s="6"/>
      <c r="B41" s="6"/>
      <c r="C41" s="18"/>
      <c r="D41" s="6"/>
      <c r="E41" s="6"/>
      <c r="F41" s="6"/>
      <c r="G41" s="6"/>
      <c r="H41" s="6"/>
      <c r="I41" s="6"/>
      <c r="J41" s="6"/>
      <c r="K41" s="6"/>
      <c r="L41" s="6"/>
      <c r="M41" s="6"/>
      <c r="N41" s="6"/>
      <c r="O41" s="6"/>
      <c r="P41" s="6"/>
      <c r="Q41" s="6"/>
      <c r="R41" s="6"/>
      <c r="S41" s="6"/>
      <c r="T41" s="6"/>
      <c r="U41" s="6"/>
      <c r="V41" s="6"/>
      <c r="W41" s="6"/>
      <c r="X41" s="6"/>
      <c r="Y41" s="6"/>
      <c r="Z41" s="6"/>
      <c r="AA41" s="19"/>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c r="A42" s="6"/>
      <c r="B42" s="6"/>
      <c r="C42" s="18"/>
      <c r="D42" s="6"/>
      <c r="E42" s="6"/>
      <c r="F42" s="6"/>
      <c r="G42" s="6"/>
      <c r="H42" s="6"/>
      <c r="I42" s="6"/>
      <c r="J42" s="6"/>
      <c r="K42" s="6"/>
      <c r="L42" s="6"/>
      <c r="M42" s="6"/>
      <c r="N42" s="6"/>
      <c r="O42" s="6"/>
      <c r="P42" s="6"/>
      <c r="Q42" s="6"/>
      <c r="R42" s="6"/>
      <c r="S42" s="6"/>
      <c r="T42" s="6"/>
      <c r="U42" s="6"/>
      <c r="V42" s="6"/>
      <c r="W42" s="6"/>
      <c r="X42" s="6"/>
      <c r="Y42" s="6"/>
      <c r="Z42" s="6"/>
      <c r="AA42" s="19"/>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row>
    <row r="43">
      <c r="A43" s="6"/>
      <c r="B43" s="6"/>
      <c r="C43" s="18"/>
      <c r="D43" s="6"/>
      <c r="E43" s="6"/>
      <c r="F43" s="6"/>
      <c r="G43" s="6"/>
      <c r="H43" s="6"/>
      <c r="I43" s="6"/>
      <c r="J43" s="6"/>
      <c r="K43" s="6"/>
      <c r="L43" s="6"/>
      <c r="M43" s="6"/>
      <c r="N43" s="6"/>
      <c r="O43" s="6"/>
      <c r="P43" s="6"/>
      <c r="Q43" s="6"/>
      <c r="R43" s="6"/>
      <c r="S43" s="6"/>
      <c r="T43" s="6"/>
      <c r="U43" s="6"/>
      <c r="V43" s="6"/>
      <c r="W43" s="6"/>
      <c r="X43" s="6"/>
      <c r="Y43" s="6"/>
      <c r="Z43" s="6"/>
      <c r="AA43" s="19"/>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c r="A44" s="6"/>
      <c r="B44" s="6"/>
      <c r="C44" s="18"/>
      <c r="D44" s="6"/>
      <c r="E44" s="6"/>
      <c r="F44" s="6"/>
      <c r="G44" s="6"/>
      <c r="H44" s="6"/>
      <c r="I44" s="6"/>
      <c r="J44" s="6"/>
      <c r="K44" s="6"/>
      <c r="L44" s="6"/>
      <c r="M44" s="6"/>
      <c r="N44" s="6"/>
      <c r="O44" s="6"/>
      <c r="P44" s="6"/>
      <c r="Q44" s="6"/>
      <c r="R44" s="6"/>
      <c r="S44" s="6"/>
      <c r="T44" s="6"/>
      <c r="U44" s="6"/>
      <c r="V44" s="6"/>
      <c r="W44" s="6"/>
      <c r="X44" s="6"/>
      <c r="Y44" s="6"/>
      <c r="Z44" s="6"/>
      <c r="AA44" s="19"/>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c r="A45" s="6"/>
      <c r="B45" s="6"/>
      <c r="C45" s="18"/>
      <c r="D45" s="6"/>
      <c r="E45" s="6"/>
      <c r="F45" s="6"/>
      <c r="G45" s="6"/>
      <c r="H45" s="6"/>
      <c r="I45" s="6"/>
      <c r="J45" s="6"/>
      <c r="K45" s="6"/>
      <c r="L45" s="6"/>
      <c r="M45" s="6"/>
      <c r="N45" s="6"/>
      <c r="O45" s="6"/>
      <c r="P45" s="6"/>
      <c r="Q45" s="6"/>
      <c r="R45" s="6"/>
      <c r="S45" s="6"/>
      <c r="T45" s="6"/>
      <c r="U45" s="6"/>
      <c r="V45" s="6"/>
      <c r="W45" s="6"/>
      <c r="X45" s="6"/>
      <c r="Y45" s="6"/>
      <c r="Z45" s="6"/>
      <c r="AA45" s="19"/>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c r="A46" s="6"/>
      <c r="B46" s="6"/>
      <c r="C46" s="18"/>
      <c r="D46" s="6"/>
      <c r="E46" s="6"/>
      <c r="F46" s="6"/>
      <c r="G46" s="6"/>
      <c r="H46" s="6"/>
      <c r="I46" s="6"/>
      <c r="J46" s="6"/>
      <c r="K46" s="6"/>
      <c r="L46" s="6"/>
      <c r="M46" s="6"/>
      <c r="N46" s="6"/>
      <c r="O46" s="6"/>
      <c r="P46" s="6"/>
      <c r="Q46" s="6"/>
      <c r="R46" s="6"/>
      <c r="S46" s="6"/>
      <c r="T46" s="6"/>
      <c r="U46" s="6"/>
      <c r="V46" s="6"/>
      <c r="W46" s="6"/>
      <c r="X46" s="6"/>
      <c r="Y46" s="6"/>
      <c r="Z46" s="6"/>
      <c r="AA46" s="19"/>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c r="A47" s="6"/>
      <c r="B47" s="6"/>
      <c r="C47" s="18"/>
      <c r="D47" s="6"/>
      <c r="E47" s="6"/>
      <c r="F47" s="6"/>
      <c r="G47" s="6"/>
      <c r="H47" s="6"/>
      <c r="I47" s="6"/>
      <c r="J47" s="6"/>
      <c r="K47" s="6"/>
      <c r="L47" s="6"/>
      <c r="M47" s="6"/>
      <c r="N47" s="6"/>
      <c r="O47" s="6"/>
      <c r="P47" s="6"/>
      <c r="Q47" s="6"/>
      <c r="R47" s="6"/>
      <c r="S47" s="6"/>
      <c r="T47" s="6"/>
      <c r="U47" s="6"/>
      <c r="V47" s="6"/>
      <c r="W47" s="6"/>
      <c r="X47" s="6"/>
      <c r="Y47" s="6"/>
      <c r="Z47" s="6"/>
      <c r="AA47" s="19"/>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c r="A48" s="6"/>
      <c r="B48" s="6"/>
      <c r="C48" s="18"/>
      <c r="D48" s="6"/>
      <c r="E48" s="6"/>
      <c r="F48" s="6"/>
      <c r="G48" s="6"/>
      <c r="H48" s="6"/>
      <c r="I48" s="6"/>
      <c r="J48" s="6"/>
      <c r="K48" s="6"/>
      <c r="L48" s="6"/>
      <c r="M48" s="6"/>
      <c r="N48" s="6"/>
      <c r="O48" s="6"/>
      <c r="P48" s="6"/>
      <c r="Q48" s="6"/>
      <c r="R48" s="6"/>
      <c r="S48" s="6"/>
      <c r="T48" s="6"/>
      <c r="U48" s="6"/>
      <c r="V48" s="6"/>
      <c r="W48" s="6"/>
      <c r="X48" s="6"/>
      <c r="Y48" s="6"/>
      <c r="Z48" s="6"/>
      <c r="AA48" s="19"/>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c r="A49" s="6"/>
      <c r="B49" s="6"/>
      <c r="C49" s="18"/>
      <c r="D49" s="6"/>
      <c r="E49" s="6"/>
      <c r="F49" s="6"/>
      <c r="G49" s="6"/>
      <c r="H49" s="6"/>
      <c r="I49" s="6"/>
      <c r="J49" s="6"/>
      <c r="K49" s="6"/>
      <c r="L49" s="6"/>
      <c r="M49" s="6"/>
      <c r="N49" s="6"/>
      <c r="O49" s="6"/>
      <c r="P49" s="6"/>
      <c r="Q49" s="6"/>
      <c r="R49" s="6"/>
      <c r="S49" s="6"/>
      <c r="T49" s="6"/>
      <c r="U49" s="6"/>
      <c r="V49" s="6"/>
      <c r="W49" s="6"/>
      <c r="X49" s="6"/>
      <c r="Y49" s="6"/>
      <c r="Z49" s="6"/>
      <c r="AA49" s="19"/>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c r="A50" s="6"/>
      <c r="B50" s="6"/>
      <c r="C50" s="18"/>
      <c r="D50" s="6"/>
      <c r="E50" s="6"/>
      <c r="F50" s="6"/>
      <c r="G50" s="6"/>
      <c r="H50" s="6"/>
      <c r="I50" s="6"/>
      <c r="J50" s="6"/>
      <c r="K50" s="6"/>
      <c r="L50" s="6"/>
      <c r="M50" s="6"/>
      <c r="N50" s="6"/>
      <c r="O50" s="6"/>
      <c r="P50" s="6"/>
      <c r="Q50" s="6"/>
      <c r="R50" s="6"/>
      <c r="S50" s="6"/>
      <c r="T50" s="6"/>
      <c r="U50" s="6"/>
      <c r="V50" s="6"/>
      <c r="W50" s="6"/>
      <c r="X50" s="6"/>
      <c r="Y50" s="6"/>
      <c r="Z50" s="6"/>
      <c r="AA50" s="19"/>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c r="A51" s="6"/>
      <c r="B51" s="6"/>
      <c r="C51" s="18"/>
      <c r="D51" s="6"/>
      <c r="E51" s="6"/>
      <c r="F51" s="6"/>
      <c r="G51" s="6"/>
      <c r="H51" s="6"/>
      <c r="I51" s="6"/>
      <c r="J51" s="6"/>
      <c r="K51" s="6"/>
      <c r="L51" s="6"/>
      <c r="M51" s="6"/>
      <c r="N51" s="6"/>
      <c r="O51" s="6"/>
      <c r="P51" s="6"/>
      <c r="Q51" s="6"/>
      <c r="R51" s="6"/>
      <c r="S51" s="6"/>
      <c r="T51" s="6"/>
      <c r="U51" s="6"/>
      <c r="V51" s="6"/>
      <c r="W51" s="6"/>
      <c r="X51" s="6"/>
      <c r="Y51" s="6"/>
      <c r="Z51" s="6"/>
      <c r="AA51" s="19"/>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c r="A52" s="6"/>
      <c r="B52" s="6"/>
      <c r="C52" s="18"/>
      <c r="D52" s="6"/>
      <c r="E52" s="6"/>
      <c r="F52" s="6"/>
      <c r="G52" s="6"/>
      <c r="H52" s="6"/>
      <c r="I52" s="6"/>
      <c r="J52" s="6"/>
      <c r="K52" s="6"/>
      <c r="L52" s="6"/>
      <c r="M52" s="6"/>
      <c r="N52" s="6"/>
      <c r="O52" s="6"/>
      <c r="P52" s="6"/>
      <c r="Q52" s="6"/>
      <c r="R52" s="6"/>
      <c r="S52" s="6"/>
      <c r="T52" s="6"/>
      <c r="U52" s="6"/>
      <c r="V52" s="6"/>
      <c r="W52" s="6"/>
      <c r="X52" s="6"/>
      <c r="Y52" s="6"/>
      <c r="Z52" s="6"/>
      <c r="AA52" s="19"/>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c r="A53" s="6"/>
      <c r="B53" s="6"/>
      <c r="C53" s="18"/>
      <c r="D53" s="6"/>
      <c r="E53" s="6"/>
      <c r="F53" s="6"/>
      <c r="G53" s="6"/>
      <c r="H53" s="6"/>
      <c r="I53" s="6"/>
      <c r="J53" s="6"/>
      <c r="K53" s="6"/>
      <c r="L53" s="6"/>
      <c r="M53" s="6"/>
      <c r="N53" s="6"/>
      <c r="O53" s="6"/>
      <c r="P53" s="6"/>
      <c r="Q53" s="6"/>
      <c r="R53" s="6"/>
      <c r="S53" s="6"/>
      <c r="T53" s="6"/>
      <c r="U53" s="6"/>
      <c r="V53" s="6"/>
      <c r="W53" s="6"/>
      <c r="X53" s="6"/>
      <c r="Y53" s="6"/>
      <c r="Z53" s="6"/>
      <c r="AA53" s="19"/>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c r="A54" s="6"/>
      <c r="B54" s="6"/>
      <c r="C54" s="18"/>
      <c r="D54" s="6"/>
      <c r="E54" s="6"/>
      <c r="F54" s="6"/>
      <c r="G54" s="6"/>
      <c r="H54" s="6"/>
      <c r="I54" s="6"/>
      <c r="J54" s="6"/>
      <c r="K54" s="6"/>
      <c r="L54" s="6"/>
      <c r="M54" s="6"/>
      <c r="N54" s="6"/>
      <c r="O54" s="6"/>
      <c r="P54" s="6"/>
      <c r="Q54" s="6"/>
      <c r="R54" s="6"/>
      <c r="S54" s="6"/>
      <c r="T54" s="6"/>
      <c r="U54" s="6"/>
      <c r="V54" s="6"/>
      <c r="W54" s="6"/>
      <c r="X54" s="6"/>
      <c r="Y54" s="6"/>
      <c r="Z54" s="6"/>
      <c r="AA54" s="19"/>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c r="A55" s="6"/>
      <c r="B55" s="6"/>
      <c r="C55" s="18"/>
      <c r="D55" s="6"/>
      <c r="E55" s="6"/>
      <c r="F55" s="6"/>
      <c r="G55" s="6"/>
      <c r="H55" s="6"/>
      <c r="I55" s="6"/>
      <c r="J55" s="6"/>
      <c r="K55" s="6"/>
      <c r="L55" s="6"/>
      <c r="M55" s="6"/>
      <c r="N55" s="6"/>
      <c r="O55" s="6"/>
      <c r="P55" s="6"/>
      <c r="Q55" s="6"/>
      <c r="R55" s="6"/>
      <c r="S55" s="6"/>
      <c r="T55" s="6"/>
      <c r="U55" s="6"/>
      <c r="V55" s="6"/>
      <c r="W55" s="6"/>
      <c r="X55" s="6"/>
      <c r="Y55" s="6"/>
      <c r="Z55" s="6"/>
      <c r="AA55" s="19"/>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c r="A56" s="6"/>
      <c r="B56" s="6"/>
      <c r="C56" s="18"/>
      <c r="D56" s="6"/>
      <c r="E56" s="6"/>
      <c r="F56" s="6"/>
      <c r="G56" s="6"/>
      <c r="H56" s="6"/>
      <c r="I56" s="6"/>
      <c r="J56" s="6"/>
      <c r="K56" s="6"/>
      <c r="L56" s="6"/>
      <c r="M56" s="6"/>
      <c r="N56" s="6"/>
      <c r="O56" s="6"/>
      <c r="P56" s="6"/>
      <c r="Q56" s="6"/>
      <c r="R56" s="6"/>
      <c r="S56" s="6"/>
      <c r="T56" s="6"/>
      <c r="U56" s="6"/>
      <c r="V56" s="6"/>
      <c r="W56" s="6"/>
      <c r="X56" s="6"/>
      <c r="Y56" s="6"/>
      <c r="Z56" s="6"/>
      <c r="AA56" s="19"/>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c r="A57" s="6"/>
      <c r="B57" s="6"/>
      <c r="C57" s="18"/>
      <c r="D57" s="6"/>
      <c r="E57" s="6"/>
      <c r="F57" s="6"/>
      <c r="G57" s="6"/>
      <c r="H57" s="6"/>
      <c r="I57" s="6"/>
      <c r="J57" s="6"/>
      <c r="K57" s="6"/>
      <c r="L57" s="6"/>
      <c r="M57" s="6"/>
      <c r="N57" s="6"/>
      <c r="O57" s="6"/>
      <c r="P57" s="6"/>
      <c r="Q57" s="6"/>
      <c r="R57" s="6"/>
      <c r="S57" s="6"/>
      <c r="T57" s="6"/>
      <c r="U57" s="6"/>
      <c r="V57" s="6"/>
      <c r="W57" s="6"/>
      <c r="X57" s="6"/>
      <c r="Y57" s="6"/>
      <c r="Z57" s="6"/>
      <c r="AA57" s="19"/>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c r="A58" s="6"/>
      <c r="B58" s="6"/>
      <c r="C58" s="18"/>
      <c r="D58" s="6"/>
      <c r="E58" s="6"/>
      <c r="F58" s="6"/>
      <c r="G58" s="6"/>
      <c r="H58" s="6"/>
      <c r="I58" s="6"/>
      <c r="J58" s="6"/>
      <c r="K58" s="6"/>
      <c r="L58" s="6"/>
      <c r="M58" s="6"/>
      <c r="N58" s="6"/>
      <c r="O58" s="6"/>
      <c r="P58" s="6"/>
      <c r="Q58" s="6"/>
      <c r="R58" s="6"/>
      <c r="S58" s="6"/>
      <c r="T58" s="6"/>
      <c r="U58" s="6"/>
      <c r="V58" s="6"/>
      <c r="W58" s="6"/>
      <c r="X58" s="6"/>
      <c r="Y58" s="6"/>
      <c r="Z58" s="6"/>
      <c r="AA58" s="19"/>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c r="A59" s="6"/>
      <c r="B59" s="6"/>
      <c r="C59" s="18"/>
      <c r="D59" s="6"/>
      <c r="E59" s="6"/>
      <c r="F59" s="6"/>
      <c r="G59" s="6"/>
      <c r="H59" s="6"/>
      <c r="I59" s="6"/>
      <c r="J59" s="6"/>
      <c r="K59" s="6"/>
      <c r="L59" s="6"/>
      <c r="M59" s="6"/>
      <c r="N59" s="6"/>
      <c r="O59" s="6"/>
      <c r="P59" s="6"/>
      <c r="Q59" s="6"/>
      <c r="R59" s="6"/>
      <c r="S59" s="6"/>
      <c r="T59" s="6"/>
      <c r="U59" s="6"/>
      <c r="V59" s="6"/>
      <c r="W59" s="6"/>
      <c r="X59" s="6"/>
      <c r="Y59" s="6"/>
      <c r="Z59" s="6"/>
      <c r="AA59" s="19"/>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c r="A60" s="6"/>
      <c r="B60" s="6"/>
      <c r="C60" s="18"/>
      <c r="D60" s="6"/>
      <c r="E60" s="6"/>
      <c r="F60" s="6"/>
      <c r="G60" s="6"/>
      <c r="H60" s="6"/>
      <c r="I60" s="6"/>
      <c r="J60" s="6"/>
      <c r="K60" s="6"/>
      <c r="L60" s="6"/>
      <c r="M60" s="6"/>
      <c r="N60" s="6"/>
      <c r="O60" s="6"/>
      <c r="P60" s="6"/>
      <c r="Q60" s="6"/>
      <c r="R60" s="6"/>
      <c r="S60" s="6"/>
      <c r="T60" s="6"/>
      <c r="U60" s="6"/>
      <c r="V60" s="6"/>
      <c r="W60" s="6"/>
      <c r="X60" s="6"/>
      <c r="Y60" s="6"/>
      <c r="Z60" s="6"/>
      <c r="AA60" s="19"/>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c r="A61" s="6"/>
      <c r="B61" s="6"/>
      <c r="C61" s="18"/>
      <c r="D61" s="6"/>
      <c r="E61" s="6"/>
      <c r="F61" s="6"/>
      <c r="G61" s="6"/>
      <c r="H61" s="6"/>
      <c r="I61" s="6"/>
      <c r="J61" s="6"/>
      <c r="K61" s="6"/>
      <c r="L61" s="6"/>
      <c r="M61" s="6"/>
      <c r="N61" s="6"/>
      <c r="O61" s="6"/>
      <c r="P61" s="6"/>
      <c r="Q61" s="6"/>
      <c r="R61" s="6"/>
      <c r="S61" s="6"/>
      <c r="T61" s="6"/>
      <c r="U61" s="6"/>
      <c r="V61" s="6"/>
      <c r="W61" s="6"/>
      <c r="X61" s="6"/>
      <c r="Y61" s="6"/>
      <c r="Z61" s="6"/>
      <c r="AA61" s="19"/>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c r="A62" s="6"/>
      <c r="B62" s="6"/>
      <c r="C62" s="18"/>
      <c r="D62" s="6"/>
      <c r="E62" s="6"/>
      <c r="F62" s="6"/>
      <c r="G62" s="6"/>
      <c r="H62" s="6"/>
      <c r="I62" s="6"/>
      <c r="J62" s="6"/>
      <c r="K62" s="6"/>
      <c r="L62" s="6"/>
      <c r="M62" s="6"/>
      <c r="N62" s="6"/>
      <c r="O62" s="6"/>
      <c r="P62" s="6"/>
      <c r="Q62" s="6"/>
      <c r="R62" s="6"/>
      <c r="S62" s="6"/>
      <c r="T62" s="6"/>
      <c r="U62" s="6"/>
      <c r="V62" s="6"/>
      <c r="W62" s="6"/>
      <c r="X62" s="6"/>
      <c r="Y62" s="6"/>
      <c r="Z62" s="6"/>
      <c r="AA62" s="19"/>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c r="A63" s="6"/>
      <c r="B63" s="6"/>
      <c r="C63" s="18"/>
      <c r="D63" s="6"/>
      <c r="E63" s="6"/>
      <c r="F63" s="6"/>
      <c r="G63" s="6"/>
      <c r="H63" s="6"/>
      <c r="I63" s="6"/>
      <c r="J63" s="6"/>
      <c r="K63" s="6"/>
      <c r="L63" s="6"/>
      <c r="M63" s="6"/>
      <c r="N63" s="6"/>
      <c r="O63" s="6"/>
      <c r="P63" s="6"/>
      <c r="Q63" s="6"/>
      <c r="R63" s="6"/>
      <c r="S63" s="6"/>
      <c r="T63" s="6"/>
      <c r="U63" s="6"/>
      <c r="V63" s="6"/>
      <c r="W63" s="6"/>
      <c r="X63" s="6"/>
      <c r="Y63" s="6"/>
      <c r="Z63" s="6"/>
      <c r="AA63" s="19"/>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c r="A64" s="6"/>
      <c r="B64" s="6"/>
      <c r="C64" s="18"/>
      <c r="D64" s="6"/>
      <c r="E64" s="6"/>
      <c r="F64" s="6"/>
      <c r="G64" s="6"/>
      <c r="H64" s="6"/>
      <c r="I64" s="6"/>
      <c r="J64" s="6"/>
      <c r="K64" s="6"/>
      <c r="L64" s="6"/>
      <c r="M64" s="6"/>
      <c r="N64" s="6"/>
      <c r="O64" s="6"/>
      <c r="P64" s="6"/>
      <c r="Q64" s="6"/>
      <c r="R64" s="6"/>
      <c r="S64" s="6"/>
      <c r="T64" s="6"/>
      <c r="U64" s="6"/>
      <c r="V64" s="6"/>
      <c r="W64" s="6"/>
      <c r="X64" s="6"/>
      <c r="Y64" s="6"/>
      <c r="Z64" s="6"/>
      <c r="AA64" s="19"/>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c r="A65" s="6"/>
      <c r="B65" s="6"/>
      <c r="C65" s="18"/>
      <c r="D65" s="6"/>
      <c r="E65" s="6"/>
      <c r="F65" s="6"/>
      <c r="G65" s="6"/>
      <c r="H65" s="6"/>
      <c r="I65" s="6"/>
      <c r="J65" s="6"/>
      <c r="K65" s="6"/>
      <c r="L65" s="6"/>
      <c r="M65" s="6"/>
      <c r="N65" s="6"/>
      <c r="O65" s="6"/>
      <c r="P65" s="6"/>
      <c r="Q65" s="6"/>
      <c r="R65" s="6"/>
      <c r="S65" s="6"/>
      <c r="T65" s="6"/>
      <c r="U65" s="6"/>
      <c r="V65" s="6"/>
      <c r="W65" s="6"/>
      <c r="X65" s="6"/>
      <c r="Y65" s="6"/>
      <c r="Z65" s="6"/>
      <c r="AA65" s="19"/>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c r="A66" s="6"/>
      <c r="B66" s="6"/>
      <c r="C66" s="18"/>
      <c r="D66" s="6"/>
      <c r="E66" s="6"/>
      <c r="F66" s="6"/>
      <c r="G66" s="6"/>
      <c r="H66" s="6"/>
      <c r="I66" s="6"/>
      <c r="J66" s="6"/>
      <c r="K66" s="6"/>
      <c r="L66" s="6"/>
      <c r="M66" s="6"/>
      <c r="N66" s="6"/>
      <c r="O66" s="6"/>
      <c r="P66" s="6"/>
      <c r="Q66" s="6"/>
      <c r="R66" s="6"/>
      <c r="S66" s="6"/>
      <c r="T66" s="6"/>
      <c r="U66" s="6"/>
      <c r="V66" s="6"/>
      <c r="W66" s="6"/>
      <c r="X66" s="6"/>
      <c r="Y66" s="6"/>
      <c r="Z66" s="6"/>
      <c r="AA66" s="19"/>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c r="A67" s="6"/>
      <c r="B67" s="6"/>
      <c r="C67" s="18"/>
      <c r="D67" s="6"/>
      <c r="E67" s="6"/>
      <c r="F67" s="6"/>
      <c r="G67" s="6"/>
      <c r="H67" s="6"/>
      <c r="I67" s="6"/>
      <c r="J67" s="6"/>
      <c r="K67" s="6"/>
      <c r="L67" s="6"/>
      <c r="M67" s="6"/>
      <c r="N67" s="6"/>
      <c r="O67" s="6"/>
      <c r="P67" s="6"/>
      <c r="Q67" s="6"/>
      <c r="R67" s="6"/>
      <c r="S67" s="6"/>
      <c r="T67" s="6"/>
      <c r="U67" s="6"/>
      <c r="V67" s="6"/>
      <c r="W67" s="6"/>
      <c r="X67" s="6"/>
      <c r="Y67" s="6"/>
      <c r="Z67" s="6"/>
      <c r="AA67" s="19"/>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c r="A68" s="6"/>
      <c r="B68" s="6"/>
      <c r="C68" s="18"/>
      <c r="D68" s="6"/>
      <c r="E68" s="6"/>
      <c r="F68" s="6"/>
      <c r="G68" s="6"/>
      <c r="H68" s="6"/>
      <c r="I68" s="6"/>
      <c r="J68" s="6"/>
      <c r="K68" s="6"/>
      <c r="L68" s="6"/>
      <c r="M68" s="6"/>
      <c r="N68" s="6"/>
      <c r="O68" s="6"/>
      <c r="P68" s="6"/>
      <c r="Q68" s="6"/>
      <c r="R68" s="6"/>
      <c r="S68" s="6"/>
      <c r="T68" s="6"/>
      <c r="U68" s="6"/>
      <c r="V68" s="6"/>
      <c r="W68" s="6"/>
      <c r="X68" s="6"/>
      <c r="Y68" s="6"/>
      <c r="Z68" s="6"/>
      <c r="AA68" s="19"/>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c r="A69" s="6"/>
      <c r="B69" s="6"/>
      <c r="C69" s="18"/>
      <c r="D69" s="6"/>
      <c r="E69" s="6"/>
      <c r="F69" s="6"/>
      <c r="G69" s="6"/>
      <c r="H69" s="6"/>
      <c r="I69" s="6"/>
      <c r="J69" s="6"/>
      <c r="K69" s="6"/>
      <c r="L69" s="6"/>
      <c r="M69" s="6"/>
      <c r="N69" s="6"/>
      <c r="O69" s="6"/>
      <c r="P69" s="6"/>
      <c r="Q69" s="6"/>
      <c r="R69" s="6"/>
      <c r="S69" s="6"/>
      <c r="T69" s="6"/>
      <c r="U69" s="6"/>
      <c r="V69" s="6"/>
      <c r="W69" s="6"/>
      <c r="X69" s="6"/>
      <c r="Y69" s="6"/>
      <c r="Z69" s="6"/>
      <c r="AA69" s="19"/>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c r="A70" s="6"/>
      <c r="B70" s="6"/>
      <c r="C70" s="18"/>
      <c r="D70" s="6"/>
      <c r="E70" s="6"/>
      <c r="F70" s="6"/>
      <c r="G70" s="6"/>
      <c r="H70" s="6"/>
      <c r="I70" s="6"/>
      <c r="J70" s="6"/>
      <c r="K70" s="6"/>
      <c r="L70" s="6"/>
      <c r="M70" s="6"/>
      <c r="N70" s="6"/>
      <c r="O70" s="6"/>
      <c r="P70" s="6"/>
      <c r="Q70" s="6"/>
      <c r="R70" s="6"/>
      <c r="S70" s="6"/>
      <c r="T70" s="6"/>
      <c r="U70" s="6"/>
      <c r="V70" s="6"/>
      <c r="W70" s="6"/>
      <c r="X70" s="6"/>
      <c r="Y70" s="6"/>
      <c r="Z70" s="6"/>
      <c r="AA70" s="19"/>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c r="A71" s="6"/>
      <c r="B71" s="6"/>
      <c r="C71" s="18"/>
      <c r="D71" s="6"/>
      <c r="E71" s="6"/>
      <c r="F71" s="6"/>
      <c r="G71" s="6"/>
      <c r="H71" s="6"/>
      <c r="I71" s="6"/>
      <c r="J71" s="6"/>
      <c r="K71" s="6"/>
      <c r="L71" s="6"/>
      <c r="M71" s="6"/>
      <c r="N71" s="6"/>
      <c r="O71" s="6"/>
      <c r="P71" s="6"/>
      <c r="Q71" s="6"/>
      <c r="R71" s="6"/>
      <c r="S71" s="6"/>
      <c r="T71" s="6"/>
      <c r="U71" s="6"/>
      <c r="V71" s="6"/>
      <c r="W71" s="6"/>
      <c r="X71" s="6"/>
      <c r="Y71" s="6"/>
      <c r="Z71" s="6"/>
      <c r="AA71" s="19"/>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c r="A72" s="6"/>
      <c r="B72" s="6"/>
      <c r="C72" s="18"/>
      <c r="D72" s="6"/>
      <c r="E72" s="6"/>
      <c r="F72" s="6"/>
      <c r="G72" s="6"/>
      <c r="H72" s="6"/>
      <c r="I72" s="6"/>
      <c r="J72" s="6"/>
      <c r="K72" s="6"/>
      <c r="L72" s="6"/>
      <c r="M72" s="6"/>
      <c r="N72" s="6"/>
      <c r="O72" s="6"/>
      <c r="P72" s="6"/>
      <c r="Q72" s="6"/>
      <c r="R72" s="6"/>
      <c r="S72" s="6"/>
      <c r="T72" s="6"/>
      <c r="U72" s="6"/>
      <c r="V72" s="6"/>
      <c r="W72" s="6"/>
      <c r="X72" s="6"/>
      <c r="Y72" s="6"/>
      <c r="Z72" s="6"/>
      <c r="AA72" s="19"/>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c r="A73" s="6"/>
      <c r="B73" s="6"/>
      <c r="C73" s="18"/>
      <c r="D73" s="6"/>
      <c r="E73" s="6"/>
      <c r="F73" s="6"/>
      <c r="G73" s="6"/>
      <c r="H73" s="6"/>
      <c r="I73" s="6"/>
      <c r="J73" s="6"/>
      <c r="K73" s="6"/>
      <c r="L73" s="6"/>
      <c r="M73" s="6"/>
      <c r="N73" s="6"/>
      <c r="O73" s="6"/>
      <c r="P73" s="6"/>
      <c r="Q73" s="6"/>
      <c r="R73" s="6"/>
      <c r="S73" s="6"/>
      <c r="T73" s="6"/>
      <c r="U73" s="6"/>
      <c r="V73" s="6"/>
      <c r="W73" s="6"/>
      <c r="X73" s="6"/>
      <c r="Y73" s="6"/>
      <c r="Z73" s="6"/>
      <c r="AA73" s="19"/>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c r="A74" s="6"/>
      <c r="B74" s="6"/>
      <c r="C74" s="18"/>
      <c r="D74" s="6"/>
      <c r="E74" s="6"/>
      <c r="F74" s="6"/>
      <c r="G74" s="6"/>
      <c r="H74" s="6"/>
      <c r="I74" s="6"/>
      <c r="J74" s="6"/>
      <c r="K74" s="6"/>
      <c r="L74" s="6"/>
      <c r="M74" s="6"/>
      <c r="N74" s="6"/>
      <c r="O74" s="6"/>
      <c r="P74" s="6"/>
      <c r="Q74" s="6"/>
      <c r="R74" s="6"/>
      <c r="S74" s="6"/>
      <c r="T74" s="6"/>
      <c r="U74" s="6"/>
      <c r="V74" s="6"/>
      <c r="W74" s="6"/>
      <c r="X74" s="6"/>
      <c r="Y74" s="6"/>
      <c r="Z74" s="6"/>
      <c r="AA74" s="19"/>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c r="A75" s="6"/>
      <c r="B75" s="6"/>
      <c r="C75" s="18"/>
      <c r="D75" s="6"/>
      <c r="E75" s="6"/>
      <c r="F75" s="6"/>
      <c r="G75" s="6"/>
      <c r="H75" s="6"/>
      <c r="I75" s="6"/>
      <c r="J75" s="6"/>
      <c r="K75" s="6"/>
      <c r="L75" s="6"/>
      <c r="M75" s="6"/>
      <c r="N75" s="6"/>
      <c r="O75" s="6"/>
      <c r="P75" s="6"/>
      <c r="Q75" s="6"/>
      <c r="R75" s="6"/>
      <c r="S75" s="6"/>
      <c r="T75" s="6"/>
      <c r="U75" s="6"/>
      <c r="V75" s="6"/>
      <c r="W75" s="6"/>
      <c r="X75" s="6"/>
      <c r="Y75" s="6"/>
      <c r="Z75" s="6"/>
      <c r="AA75" s="19"/>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c r="A76" s="6"/>
      <c r="B76" s="6"/>
      <c r="C76" s="18"/>
      <c r="D76" s="6"/>
      <c r="E76" s="6"/>
      <c r="F76" s="6"/>
      <c r="G76" s="6"/>
      <c r="H76" s="6"/>
      <c r="I76" s="6"/>
      <c r="J76" s="6"/>
      <c r="K76" s="6"/>
      <c r="L76" s="6"/>
      <c r="M76" s="6"/>
      <c r="N76" s="6"/>
      <c r="O76" s="6"/>
      <c r="P76" s="6"/>
      <c r="Q76" s="6"/>
      <c r="R76" s="6"/>
      <c r="S76" s="6"/>
      <c r="T76" s="6"/>
      <c r="U76" s="6"/>
      <c r="V76" s="6"/>
      <c r="W76" s="6"/>
      <c r="X76" s="6"/>
      <c r="Y76" s="6"/>
      <c r="Z76" s="6"/>
      <c r="AA76" s="19"/>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c r="A77" s="6"/>
      <c r="B77" s="6"/>
      <c r="C77" s="18"/>
      <c r="D77" s="6"/>
      <c r="E77" s="6"/>
      <c r="F77" s="6"/>
      <c r="G77" s="6"/>
      <c r="H77" s="6"/>
      <c r="I77" s="6"/>
      <c r="J77" s="6"/>
      <c r="K77" s="6"/>
      <c r="L77" s="6"/>
      <c r="M77" s="6"/>
      <c r="N77" s="6"/>
      <c r="O77" s="6"/>
      <c r="P77" s="6"/>
      <c r="Q77" s="6"/>
      <c r="R77" s="6"/>
      <c r="S77" s="6"/>
      <c r="T77" s="6"/>
      <c r="U77" s="6"/>
      <c r="V77" s="6"/>
      <c r="W77" s="6"/>
      <c r="X77" s="6"/>
      <c r="Y77" s="6"/>
      <c r="Z77" s="6"/>
      <c r="AA77" s="19"/>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c r="A78" s="6"/>
      <c r="B78" s="6"/>
      <c r="C78" s="18"/>
      <c r="D78" s="6"/>
      <c r="E78" s="6"/>
      <c r="F78" s="6"/>
      <c r="G78" s="6"/>
      <c r="H78" s="6"/>
      <c r="I78" s="6"/>
      <c r="J78" s="6"/>
      <c r="K78" s="6"/>
      <c r="L78" s="6"/>
      <c r="M78" s="6"/>
      <c r="N78" s="6"/>
      <c r="O78" s="6"/>
      <c r="P78" s="6"/>
      <c r="Q78" s="6"/>
      <c r="R78" s="6"/>
      <c r="S78" s="6"/>
      <c r="T78" s="6"/>
      <c r="U78" s="6"/>
      <c r="V78" s="6"/>
      <c r="W78" s="6"/>
      <c r="X78" s="6"/>
      <c r="Y78" s="6"/>
      <c r="Z78" s="6"/>
      <c r="AA78" s="19"/>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c r="A79" s="6"/>
      <c r="B79" s="6"/>
      <c r="C79" s="18"/>
      <c r="D79" s="6"/>
      <c r="E79" s="6"/>
      <c r="F79" s="6"/>
      <c r="G79" s="6"/>
      <c r="H79" s="6"/>
      <c r="I79" s="6"/>
      <c r="J79" s="6"/>
      <c r="K79" s="6"/>
      <c r="L79" s="6"/>
      <c r="M79" s="6"/>
      <c r="N79" s="6"/>
      <c r="O79" s="6"/>
      <c r="P79" s="6"/>
      <c r="Q79" s="6"/>
      <c r="R79" s="6"/>
      <c r="S79" s="6"/>
      <c r="T79" s="6"/>
      <c r="U79" s="6"/>
      <c r="V79" s="6"/>
      <c r="W79" s="6"/>
      <c r="X79" s="6"/>
      <c r="Y79" s="6"/>
      <c r="Z79" s="6"/>
      <c r="AA79" s="19"/>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c r="A80" s="6"/>
      <c r="B80" s="6"/>
      <c r="C80" s="18"/>
      <c r="D80" s="6"/>
      <c r="E80" s="6"/>
      <c r="F80" s="6"/>
      <c r="G80" s="6"/>
      <c r="H80" s="6"/>
      <c r="I80" s="6"/>
      <c r="J80" s="6"/>
      <c r="K80" s="6"/>
      <c r="L80" s="6"/>
      <c r="M80" s="6"/>
      <c r="N80" s="6"/>
      <c r="O80" s="6"/>
      <c r="P80" s="6"/>
      <c r="Q80" s="6"/>
      <c r="R80" s="6"/>
      <c r="S80" s="6"/>
      <c r="T80" s="6"/>
      <c r="U80" s="6"/>
      <c r="V80" s="6"/>
      <c r="W80" s="6"/>
      <c r="X80" s="6"/>
      <c r="Y80" s="6"/>
      <c r="Z80" s="6"/>
      <c r="AA80" s="19"/>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c r="A81" s="6"/>
      <c r="B81" s="6"/>
      <c r="C81" s="18"/>
      <c r="D81" s="6"/>
      <c r="E81" s="6"/>
      <c r="F81" s="6"/>
      <c r="G81" s="6"/>
      <c r="H81" s="6"/>
      <c r="I81" s="6"/>
      <c r="J81" s="6"/>
      <c r="K81" s="6"/>
      <c r="L81" s="6"/>
      <c r="M81" s="6"/>
      <c r="N81" s="6"/>
      <c r="O81" s="6"/>
      <c r="P81" s="6"/>
      <c r="Q81" s="6"/>
      <c r="R81" s="6"/>
      <c r="S81" s="6"/>
      <c r="T81" s="6"/>
      <c r="U81" s="6"/>
      <c r="V81" s="6"/>
      <c r="W81" s="6"/>
      <c r="X81" s="6"/>
      <c r="Y81" s="6"/>
      <c r="Z81" s="6"/>
      <c r="AA81" s="19"/>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c r="A82" s="6"/>
      <c r="B82" s="6"/>
      <c r="C82" s="18"/>
      <c r="D82" s="6"/>
      <c r="E82" s="6"/>
      <c r="F82" s="6"/>
      <c r="G82" s="6"/>
      <c r="H82" s="6"/>
      <c r="I82" s="6"/>
      <c r="J82" s="6"/>
      <c r="K82" s="6"/>
      <c r="L82" s="6"/>
      <c r="M82" s="6"/>
      <c r="N82" s="6"/>
      <c r="O82" s="6"/>
      <c r="P82" s="6"/>
      <c r="Q82" s="6"/>
      <c r="R82" s="6"/>
      <c r="S82" s="6"/>
      <c r="T82" s="6"/>
      <c r="U82" s="6"/>
      <c r="V82" s="6"/>
      <c r="W82" s="6"/>
      <c r="X82" s="6"/>
      <c r="Y82" s="6"/>
      <c r="Z82" s="6"/>
      <c r="AA82" s="19"/>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c r="A83" s="6"/>
      <c r="B83" s="6"/>
      <c r="C83" s="18"/>
      <c r="D83" s="6"/>
      <c r="E83" s="6"/>
      <c r="F83" s="6"/>
      <c r="G83" s="6"/>
      <c r="H83" s="6"/>
      <c r="I83" s="6"/>
      <c r="J83" s="6"/>
      <c r="K83" s="6"/>
      <c r="L83" s="6"/>
      <c r="M83" s="6"/>
      <c r="N83" s="6"/>
      <c r="O83" s="6"/>
      <c r="P83" s="6"/>
      <c r="Q83" s="6"/>
      <c r="R83" s="6"/>
      <c r="S83" s="6"/>
      <c r="T83" s="6"/>
      <c r="U83" s="6"/>
      <c r="V83" s="6"/>
      <c r="W83" s="6"/>
      <c r="X83" s="6"/>
      <c r="Y83" s="6"/>
      <c r="Z83" s="6"/>
      <c r="AA83" s="19"/>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c r="A84" s="6"/>
      <c r="B84" s="6"/>
      <c r="C84" s="18"/>
      <c r="D84" s="6"/>
      <c r="E84" s="6"/>
      <c r="F84" s="6"/>
      <c r="G84" s="6"/>
      <c r="H84" s="6"/>
      <c r="I84" s="6"/>
      <c r="J84" s="6"/>
      <c r="K84" s="6"/>
      <c r="L84" s="6"/>
      <c r="M84" s="6"/>
      <c r="N84" s="6"/>
      <c r="O84" s="6"/>
      <c r="P84" s="6"/>
      <c r="Q84" s="6"/>
      <c r="R84" s="6"/>
      <c r="S84" s="6"/>
      <c r="T84" s="6"/>
      <c r="U84" s="6"/>
      <c r="V84" s="6"/>
      <c r="W84" s="6"/>
      <c r="X84" s="6"/>
      <c r="Y84" s="6"/>
      <c r="Z84" s="6"/>
      <c r="AA84" s="19"/>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c r="A85" s="6"/>
      <c r="B85" s="6"/>
      <c r="C85" s="18"/>
      <c r="D85" s="6"/>
      <c r="E85" s="6"/>
      <c r="F85" s="6"/>
      <c r="G85" s="6"/>
      <c r="H85" s="6"/>
      <c r="I85" s="6"/>
      <c r="J85" s="6"/>
      <c r="K85" s="6"/>
      <c r="L85" s="6"/>
      <c r="M85" s="6"/>
      <c r="N85" s="6"/>
      <c r="O85" s="6"/>
      <c r="P85" s="6"/>
      <c r="Q85" s="6"/>
      <c r="R85" s="6"/>
      <c r="S85" s="6"/>
      <c r="T85" s="6"/>
      <c r="U85" s="6"/>
      <c r="V85" s="6"/>
      <c r="W85" s="6"/>
      <c r="X85" s="6"/>
      <c r="Y85" s="6"/>
      <c r="Z85" s="6"/>
      <c r="AA85" s="19"/>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c r="A86" s="6"/>
      <c r="B86" s="6"/>
      <c r="C86" s="18"/>
      <c r="D86" s="6"/>
      <c r="E86" s="6"/>
      <c r="F86" s="6"/>
      <c r="G86" s="6"/>
      <c r="H86" s="6"/>
      <c r="I86" s="6"/>
      <c r="J86" s="6"/>
      <c r="K86" s="6"/>
      <c r="L86" s="6"/>
      <c r="M86" s="6"/>
      <c r="N86" s="6"/>
      <c r="O86" s="6"/>
      <c r="P86" s="6"/>
      <c r="Q86" s="6"/>
      <c r="R86" s="6"/>
      <c r="S86" s="6"/>
      <c r="T86" s="6"/>
      <c r="U86" s="6"/>
      <c r="V86" s="6"/>
      <c r="W86" s="6"/>
      <c r="X86" s="6"/>
      <c r="Y86" s="6"/>
      <c r="Z86" s="6"/>
      <c r="AA86" s="19"/>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c r="A87" s="6"/>
      <c r="B87" s="6"/>
      <c r="C87" s="18"/>
      <c r="D87" s="6"/>
      <c r="E87" s="6"/>
      <c r="F87" s="6"/>
      <c r="G87" s="6"/>
      <c r="H87" s="6"/>
      <c r="I87" s="6"/>
      <c r="J87" s="6"/>
      <c r="K87" s="6"/>
      <c r="L87" s="6"/>
      <c r="M87" s="6"/>
      <c r="N87" s="6"/>
      <c r="O87" s="6"/>
      <c r="P87" s="6"/>
      <c r="Q87" s="6"/>
      <c r="R87" s="6"/>
      <c r="S87" s="6"/>
      <c r="T87" s="6"/>
      <c r="U87" s="6"/>
      <c r="V87" s="6"/>
      <c r="W87" s="6"/>
      <c r="X87" s="6"/>
      <c r="Y87" s="6"/>
      <c r="Z87" s="6"/>
      <c r="AA87" s="19"/>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c r="A88" s="6"/>
      <c r="B88" s="6"/>
      <c r="C88" s="18"/>
      <c r="D88" s="6"/>
      <c r="E88" s="6"/>
      <c r="F88" s="6"/>
      <c r="G88" s="6"/>
      <c r="H88" s="6"/>
      <c r="I88" s="6"/>
      <c r="J88" s="6"/>
      <c r="K88" s="6"/>
      <c r="L88" s="6"/>
      <c r="M88" s="6"/>
      <c r="N88" s="6"/>
      <c r="O88" s="6"/>
      <c r="P88" s="6"/>
      <c r="Q88" s="6"/>
      <c r="R88" s="6"/>
      <c r="S88" s="6"/>
      <c r="T88" s="6"/>
      <c r="U88" s="6"/>
      <c r="V88" s="6"/>
      <c r="W88" s="6"/>
      <c r="X88" s="6"/>
      <c r="Y88" s="6"/>
      <c r="Z88" s="6"/>
      <c r="AA88" s="19"/>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c r="A89" s="6"/>
      <c r="B89" s="6"/>
      <c r="C89" s="18"/>
      <c r="D89" s="6"/>
      <c r="E89" s="6"/>
      <c r="F89" s="6"/>
      <c r="G89" s="6"/>
      <c r="H89" s="6"/>
      <c r="I89" s="6"/>
      <c r="J89" s="6"/>
      <c r="K89" s="6"/>
      <c r="L89" s="6"/>
      <c r="M89" s="6"/>
      <c r="N89" s="6"/>
      <c r="O89" s="6"/>
      <c r="P89" s="6"/>
      <c r="Q89" s="6"/>
      <c r="R89" s="6"/>
      <c r="S89" s="6"/>
      <c r="T89" s="6"/>
      <c r="U89" s="6"/>
      <c r="V89" s="6"/>
      <c r="W89" s="6"/>
      <c r="X89" s="6"/>
      <c r="Y89" s="6"/>
      <c r="Z89" s="6"/>
      <c r="AA89" s="19"/>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c r="A90" s="6"/>
      <c r="B90" s="6"/>
      <c r="C90" s="18"/>
      <c r="D90" s="6"/>
      <c r="E90" s="6"/>
      <c r="F90" s="6"/>
      <c r="G90" s="6"/>
      <c r="H90" s="6"/>
      <c r="I90" s="6"/>
      <c r="J90" s="6"/>
      <c r="K90" s="6"/>
      <c r="L90" s="6"/>
      <c r="M90" s="6"/>
      <c r="N90" s="6"/>
      <c r="O90" s="6"/>
      <c r="P90" s="6"/>
      <c r="Q90" s="6"/>
      <c r="R90" s="6"/>
      <c r="S90" s="6"/>
      <c r="T90" s="6"/>
      <c r="U90" s="6"/>
      <c r="V90" s="6"/>
      <c r="W90" s="6"/>
      <c r="X90" s="6"/>
      <c r="Y90" s="6"/>
      <c r="Z90" s="6"/>
      <c r="AA90" s="19"/>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c r="A91" s="6"/>
      <c r="B91" s="6"/>
      <c r="C91" s="18"/>
      <c r="D91" s="6"/>
      <c r="E91" s="6"/>
      <c r="F91" s="6"/>
      <c r="G91" s="6"/>
      <c r="H91" s="6"/>
      <c r="I91" s="6"/>
      <c r="J91" s="6"/>
      <c r="K91" s="6"/>
      <c r="L91" s="6"/>
      <c r="M91" s="6"/>
      <c r="N91" s="6"/>
      <c r="O91" s="6"/>
      <c r="P91" s="6"/>
      <c r="Q91" s="6"/>
      <c r="R91" s="6"/>
      <c r="S91" s="6"/>
      <c r="T91" s="6"/>
      <c r="U91" s="6"/>
      <c r="V91" s="6"/>
      <c r="W91" s="6"/>
      <c r="X91" s="6"/>
      <c r="Y91" s="6"/>
      <c r="Z91" s="6"/>
      <c r="AA91" s="19"/>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c r="A92" s="6"/>
      <c r="B92" s="6"/>
      <c r="C92" s="18"/>
      <c r="D92" s="6"/>
      <c r="E92" s="6"/>
      <c r="F92" s="6"/>
      <c r="G92" s="6"/>
      <c r="H92" s="6"/>
      <c r="I92" s="6"/>
      <c r="J92" s="6"/>
      <c r="K92" s="6"/>
      <c r="L92" s="6"/>
      <c r="M92" s="6"/>
      <c r="N92" s="6"/>
      <c r="O92" s="6"/>
      <c r="P92" s="6"/>
      <c r="Q92" s="6"/>
      <c r="R92" s="6"/>
      <c r="S92" s="6"/>
      <c r="T92" s="6"/>
      <c r="U92" s="6"/>
      <c r="V92" s="6"/>
      <c r="W92" s="6"/>
      <c r="X92" s="6"/>
      <c r="Y92" s="6"/>
      <c r="Z92" s="6"/>
      <c r="AA92" s="19"/>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c r="A93" s="6"/>
      <c r="B93" s="6"/>
      <c r="C93" s="18"/>
      <c r="D93" s="6"/>
      <c r="E93" s="6"/>
      <c r="F93" s="6"/>
      <c r="G93" s="6"/>
      <c r="H93" s="6"/>
      <c r="I93" s="6"/>
      <c r="J93" s="6"/>
      <c r="K93" s="6"/>
      <c r="L93" s="6"/>
      <c r="M93" s="6"/>
      <c r="N93" s="6"/>
      <c r="O93" s="6"/>
      <c r="P93" s="6"/>
      <c r="Q93" s="6"/>
      <c r="R93" s="6"/>
      <c r="S93" s="6"/>
      <c r="T93" s="6"/>
      <c r="U93" s="6"/>
      <c r="V93" s="6"/>
      <c r="W93" s="6"/>
      <c r="X93" s="6"/>
      <c r="Y93" s="6"/>
      <c r="Z93" s="6"/>
      <c r="AA93" s="19"/>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c r="A94" s="6"/>
      <c r="B94" s="6"/>
      <c r="C94" s="18"/>
      <c r="D94" s="6"/>
      <c r="E94" s="6"/>
      <c r="F94" s="6"/>
      <c r="G94" s="6"/>
      <c r="H94" s="6"/>
      <c r="I94" s="6"/>
      <c r="J94" s="6"/>
      <c r="K94" s="6"/>
      <c r="L94" s="6"/>
      <c r="M94" s="6"/>
      <c r="N94" s="6"/>
      <c r="O94" s="6"/>
      <c r="P94" s="6"/>
      <c r="Q94" s="6"/>
      <c r="R94" s="6"/>
      <c r="S94" s="6"/>
      <c r="T94" s="6"/>
      <c r="U94" s="6"/>
      <c r="V94" s="6"/>
      <c r="W94" s="6"/>
      <c r="X94" s="6"/>
      <c r="Y94" s="6"/>
      <c r="Z94" s="6"/>
      <c r="AA94" s="19"/>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c r="A95" s="6"/>
      <c r="B95" s="6"/>
      <c r="C95" s="18"/>
      <c r="D95" s="6"/>
      <c r="E95" s="6"/>
      <c r="F95" s="6"/>
      <c r="G95" s="6"/>
      <c r="H95" s="6"/>
      <c r="I95" s="6"/>
      <c r="J95" s="6"/>
      <c r="K95" s="6"/>
      <c r="L95" s="6"/>
      <c r="M95" s="6"/>
      <c r="N95" s="6"/>
      <c r="O95" s="6"/>
      <c r="P95" s="6"/>
      <c r="Q95" s="6"/>
      <c r="R95" s="6"/>
      <c r="S95" s="6"/>
      <c r="T95" s="6"/>
      <c r="U95" s="6"/>
      <c r="V95" s="6"/>
      <c r="W95" s="6"/>
      <c r="X95" s="6"/>
      <c r="Y95" s="6"/>
      <c r="Z95" s="6"/>
      <c r="AA95" s="19"/>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c r="A96" s="6"/>
      <c r="B96" s="6"/>
      <c r="C96" s="18"/>
      <c r="D96" s="6"/>
      <c r="E96" s="6"/>
      <c r="F96" s="6"/>
      <c r="G96" s="6"/>
      <c r="H96" s="6"/>
      <c r="I96" s="6"/>
      <c r="J96" s="6"/>
      <c r="K96" s="6"/>
      <c r="L96" s="6"/>
      <c r="M96" s="6"/>
      <c r="N96" s="6"/>
      <c r="O96" s="6"/>
      <c r="P96" s="6"/>
      <c r="Q96" s="6"/>
      <c r="R96" s="6"/>
      <c r="S96" s="6"/>
      <c r="T96" s="6"/>
      <c r="U96" s="6"/>
      <c r="V96" s="6"/>
      <c r="W96" s="6"/>
      <c r="X96" s="6"/>
      <c r="Y96" s="6"/>
      <c r="Z96" s="6"/>
      <c r="AA96" s="19"/>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c r="A97" s="6"/>
      <c r="B97" s="6"/>
      <c r="C97" s="18"/>
      <c r="D97" s="6"/>
      <c r="E97" s="6"/>
      <c r="F97" s="6"/>
      <c r="G97" s="6"/>
      <c r="H97" s="6"/>
      <c r="I97" s="6"/>
      <c r="J97" s="6"/>
      <c r="K97" s="6"/>
      <c r="L97" s="6"/>
      <c r="M97" s="6"/>
      <c r="N97" s="6"/>
      <c r="O97" s="6"/>
      <c r="P97" s="6"/>
      <c r="Q97" s="6"/>
      <c r="R97" s="6"/>
      <c r="S97" s="6"/>
      <c r="T97" s="6"/>
      <c r="U97" s="6"/>
      <c r="V97" s="6"/>
      <c r="W97" s="6"/>
      <c r="X97" s="6"/>
      <c r="Y97" s="6"/>
      <c r="Z97" s="6"/>
      <c r="AA97" s="19"/>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c r="A98" s="6"/>
      <c r="B98" s="6"/>
      <c r="C98" s="18"/>
      <c r="D98" s="6"/>
      <c r="E98" s="6"/>
      <c r="F98" s="6"/>
      <c r="G98" s="6"/>
      <c r="H98" s="6"/>
      <c r="I98" s="6"/>
      <c r="J98" s="6"/>
      <c r="K98" s="6"/>
      <c r="L98" s="6"/>
      <c r="M98" s="6"/>
      <c r="N98" s="6"/>
      <c r="O98" s="6"/>
      <c r="P98" s="6"/>
      <c r="Q98" s="6"/>
      <c r="R98" s="6"/>
      <c r="S98" s="6"/>
      <c r="T98" s="6"/>
      <c r="U98" s="6"/>
      <c r="V98" s="6"/>
      <c r="W98" s="6"/>
      <c r="X98" s="6"/>
      <c r="Y98" s="6"/>
      <c r="Z98" s="6"/>
      <c r="AA98" s="19"/>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c r="A99" s="6"/>
      <c r="B99" s="6"/>
      <c r="C99" s="18"/>
      <c r="D99" s="6"/>
      <c r="E99" s="6"/>
      <c r="F99" s="6"/>
      <c r="G99" s="6"/>
      <c r="H99" s="6"/>
      <c r="I99" s="6"/>
      <c r="J99" s="6"/>
      <c r="K99" s="6"/>
      <c r="L99" s="6"/>
      <c r="M99" s="6"/>
      <c r="N99" s="6"/>
      <c r="O99" s="6"/>
      <c r="P99" s="6"/>
      <c r="Q99" s="6"/>
      <c r="R99" s="6"/>
      <c r="S99" s="6"/>
      <c r="T99" s="6"/>
      <c r="U99" s="6"/>
      <c r="V99" s="6"/>
      <c r="W99" s="6"/>
      <c r="X99" s="6"/>
      <c r="Y99" s="6"/>
      <c r="Z99" s="6"/>
      <c r="AA99" s="19"/>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c r="A100" s="6"/>
      <c r="B100" s="6"/>
      <c r="C100" s="18"/>
      <c r="D100" s="6"/>
      <c r="E100" s="6"/>
      <c r="F100" s="6"/>
      <c r="G100" s="6"/>
      <c r="H100" s="6"/>
      <c r="I100" s="6"/>
      <c r="J100" s="6"/>
      <c r="K100" s="6"/>
      <c r="L100" s="6"/>
      <c r="M100" s="6"/>
      <c r="N100" s="6"/>
      <c r="O100" s="6"/>
      <c r="P100" s="6"/>
      <c r="Q100" s="6"/>
      <c r="R100" s="6"/>
      <c r="S100" s="6"/>
      <c r="T100" s="6"/>
      <c r="U100" s="6"/>
      <c r="V100" s="6"/>
      <c r="W100" s="6"/>
      <c r="X100" s="6"/>
      <c r="Y100" s="6"/>
      <c r="Z100" s="6"/>
      <c r="AA100" s="19"/>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c r="A101" s="6"/>
      <c r="B101" s="6"/>
      <c r="C101" s="18"/>
      <c r="D101" s="6"/>
      <c r="E101" s="6"/>
      <c r="F101" s="6"/>
      <c r="G101" s="6"/>
      <c r="H101" s="6"/>
      <c r="I101" s="6"/>
      <c r="J101" s="6"/>
      <c r="K101" s="6"/>
      <c r="L101" s="6"/>
      <c r="M101" s="6"/>
      <c r="N101" s="6"/>
      <c r="O101" s="6"/>
      <c r="P101" s="6"/>
      <c r="Q101" s="6"/>
      <c r="R101" s="6"/>
      <c r="S101" s="6"/>
      <c r="T101" s="6"/>
      <c r="U101" s="6"/>
      <c r="V101" s="6"/>
      <c r="W101" s="6"/>
      <c r="X101" s="6"/>
      <c r="Y101" s="6"/>
      <c r="Z101" s="6"/>
      <c r="AA101" s="19"/>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c r="A102" s="6"/>
      <c r="B102" s="6"/>
      <c r="C102" s="18"/>
      <c r="D102" s="6"/>
      <c r="E102" s="6"/>
      <c r="F102" s="6"/>
      <c r="G102" s="6"/>
      <c r="H102" s="6"/>
      <c r="I102" s="6"/>
      <c r="J102" s="6"/>
      <c r="K102" s="6"/>
      <c r="L102" s="6"/>
      <c r="M102" s="6"/>
      <c r="N102" s="6"/>
      <c r="O102" s="6"/>
      <c r="P102" s="6"/>
      <c r="Q102" s="6"/>
      <c r="R102" s="6"/>
      <c r="S102" s="6"/>
      <c r="T102" s="6"/>
      <c r="U102" s="6"/>
      <c r="V102" s="6"/>
      <c r="W102" s="6"/>
      <c r="X102" s="6"/>
      <c r="Y102" s="6"/>
      <c r="Z102" s="6"/>
      <c r="AA102" s="19"/>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c r="A103" s="6"/>
      <c r="B103" s="6"/>
      <c r="C103" s="18"/>
      <c r="D103" s="6"/>
      <c r="E103" s="6"/>
      <c r="F103" s="6"/>
      <c r="G103" s="6"/>
      <c r="H103" s="6"/>
      <c r="I103" s="6"/>
      <c r="J103" s="6"/>
      <c r="K103" s="6"/>
      <c r="L103" s="6"/>
      <c r="M103" s="6"/>
      <c r="N103" s="6"/>
      <c r="O103" s="6"/>
      <c r="P103" s="6"/>
      <c r="Q103" s="6"/>
      <c r="R103" s="6"/>
      <c r="S103" s="6"/>
      <c r="T103" s="6"/>
      <c r="U103" s="6"/>
      <c r="V103" s="6"/>
      <c r="W103" s="6"/>
      <c r="X103" s="6"/>
      <c r="Y103" s="6"/>
      <c r="Z103" s="6"/>
      <c r="AA103" s="19"/>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c r="A104" s="6"/>
      <c r="B104" s="6"/>
      <c r="C104" s="18"/>
      <c r="D104" s="6"/>
      <c r="E104" s="6"/>
      <c r="F104" s="6"/>
      <c r="G104" s="6"/>
      <c r="H104" s="6"/>
      <c r="I104" s="6"/>
      <c r="J104" s="6"/>
      <c r="K104" s="6"/>
      <c r="L104" s="6"/>
      <c r="M104" s="6"/>
      <c r="N104" s="6"/>
      <c r="O104" s="6"/>
      <c r="P104" s="6"/>
      <c r="Q104" s="6"/>
      <c r="R104" s="6"/>
      <c r="S104" s="6"/>
      <c r="T104" s="6"/>
      <c r="U104" s="6"/>
      <c r="V104" s="6"/>
      <c r="W104" s="6"/>
      <c r="X104" s="6"/>
      <c r="Y104" s="6"/>
      <c r="Z104" s="6"/>
      <c r="AA104" s="19"/>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c r="A105" s="6"/>
      <c r="B105" s="6"/>
      <c r="C105" s="18"/>
      <c r="D105" s="6"/>
      <c r="E105" s="6"/>
      <c r="F105" s="6"/>
      <c r="G105" s="6"/>
      <c r="H105" s="6"/>
      <c r="I105" s="6"/>
      <c r="J105" s="6"/>
      <c r="K105" s="6"/>
      <c r="L105" s="6"/>
      <c r="M105" s="6"/>
      <c r="N105" s="6"/>
      <c r="O105" s="6"/>
      <c r="P105" s="6"/>
      <c r="Q105" s="6"/>
      <c r="R105" s="6"/>
      <c r="S105" s="6"/>
      <c r="T105" s="6"/>
      <c r="U105" s="6"/>
      <c r="V105" s="6"/>
      <c r="W105" s="6"/>
      <c r="X105" s="6"/>
      <c r="Y105" s="6"/>
      <c r="Z105" s="6"/>
      <c r="AA105" s="19"/>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row>
    <row r="106">
      <c r="A106" s="6"/>
      <c r="B106" s="6"/>
      <c r="C106" s="18"/>
      <c r="D106" s="6"/>
      <c r="E106" s="6"/>
      <c r="F106" s="6"/>
      <c r="G106" s="6"/>
      <c r="H106" s="6"/>
      <c r="I106" s="6"/>
      <c r="J106" s="6"/>
      <c r="K106" s="6"/>
      <c r="L106" s="6"/>
      <c r="M106" s="6"/>
      <c r="N106" s="6"/>
      <c r="O106" s="6"/>
      <c r="P106" s="6"/>
      <c r="Q106" s="6"/>
      <c r="R106" s="6"/>
      <c r="S106" s="6"/>
      <c r="T106" s="6"/>
      <c r="U106" s="6"/>
      <c r="V106" s="6"/>
      <c r="W106" s="6"/>
      <c r="X106" s="6"/>
      <c r="Y106" s="6"/>
      <c r="Z106" s="6"/>
      <c r="AA106" s="19"/>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row>
    <row r="107">
      <c r="A107" s="6"/>
      <c r="B107" s="6"/>
      <c r="C107" s="18"/>
      <c r="D107" s="6"/>
      <c r="E107" s="6"/>
      <c r="F107" s="6"/>
      <c r="G107" s="6"/>
      <c r="H107" s="6"/>
      <c r="I107" s="6"/>
      <c r="J107" s="6"/>
      <c r="K107" s="6"/>
      <c r="L107" s="6"/>
      <c r="M107" s="6"/>
      <c r="N107" s="6"/>
      <c r="O107" s="6"/>
      <c r="P107" s="6"/>
      <c r="Q107" s="6"/>
      <c r="R107" s="6"/>
      <c r="S107" s="6"/>
      <c r="T107" s="6"/>
      <c r="U107" s="6"/>
      <c r="V107" s="6"/>
      <c r="W107" s="6"/>
      <c r="X107" s="6"/>
      <c r="Y107" s="6"/>
      <c r="Z107" s="6"/>
      <c r="AA107" s="19"/>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row>
    <row r="108">
      <c r="A108" s="6"/>
      <c r="B108" s="6"/>
      <c r="C108" s="18"/>
      <c r="D108" s="6"/>
      <c r="E108" s="6"/>
      <c r="F108" s="6"/>
      <c r="G108" s="6"/>
      <c r="H108" s="6"/>
      <c r="I108" s="6"/>
      <c r="J108" s="6"/>
      <c r="K108" s="6"/>
      <c r="L108" s="6"/>
      <c r="M108" s="6"/>
      <c r="N108" s="6"/>
      <c r="O108" s="6"/>
      <c r="P108" s="6"/>
      <c r="Q108" s="6"/>
      <c r="R108" s="6"/>
      <c r="S108" s="6"/>
      <c r="T108" s="6"/>
      <c r="U108" s="6"/>
      <c r="V108" s="6"/>
      <c r="W108" s="6"/>
      <c r="X108" s="6"/>
      <c r="Y108" s="6"/>
      <c r="Z108" s="6"/>
      <c r="AA108" s="19"/>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row>
    <row r="109">
      <c r="A109" s="6"/>
      <c r="B109" s="6"/>
      <c r="C109" s="18"/>
      <c r="D109" s="6"/>
      <c r="E109" s="6"/>
      <c r="F109" s="6"/>
      <c r="G109" s="6"/>
      <c r="H109" s="6"/>
      <c r="I109" s="6"/>
      <c r="J109" s="6"/>
      <c r="K109" s="6"/>
      <c r="L109" s="6"/>
      <c r="M109" s="6"/>
      <c r="N109" s="6"/>
      <c r="O109" s="6"/>
      <c r="P109" s="6"/>
      <c r="Q109" s="6"/>
      <c r="R109" s="6"/>
      <c r="S109" s="6"/>
      <c r="T109" s="6"/>
      <c r="U109" s="6"/>
      <c r="V109" s="6"/>
      <c r="W109" s="6"/>
      <c r="X109" s="6"/>
      <c r="Y109" s="6"/>
      <c r="Z109" s="6"/>
      <c r="AA109" s="19"/>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row>
    <row r="110">
      <c r="A110" s="6"/>
      <c r="B110" s="6"/>
      <c r="C110" s="18"/>
      <c r="D110" s="6"/>
      <c r="E110" s="6"/>
      <c r="F110" s="6"/>
      <c r="G110" s="6"/>
      <c r="H110" s="6"/>
      <c r="I110" s="6"/>
      <c r="J110" s="6"/>
      <c r="K110" s="6"/>
      <c r="L110" s="6"/>
      <c r="M110" s="6"/>
      <c r="N110" s="6"/>
      <c r="O110" s="6"/>
      <c r="P110" s="6"/>
      <c r="Q110" s="6"/>
      <c r="R110" s="6"/>
      <c r="S110" s="6"/>
      <c r="T110" s="6"/>
      <c r="U110" s="6"/>
      <c r="V110" s="6"/>
      <c r="W110" s="6"/>
      <c r="X110" s="6"/>
      <c r="Y110" s="6"/>
      <c r="Z110" s="6"/>
      <c r="AA110" s="19"/>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row>
    <row r="111">
      <c r="A111" s="6"/>
      <c r="B111" s="6"/>
      <c r="C111" s="18"/>
      <c r="D111" s="6"/>
      <c r="E111" s="6"/>
      <c r="F111" s="6"/>
      <c r="G111" s="6"/>
      <c r="H111" s="6"/>
      <c r="I111" s="6"/>
      <c r="J111" s="6"/>
      <c r="K111" s="6"/>
      <c r="L111" s="6"/>
      <c r="M111" s="6"/>
      <c r="N111" s="6"/>
      <c r="O111" s="6"/>
      <c r="P111" s="6"/>
      <c r="Q111" s="6"/>
      <c r="R111" s="6"/>
      <c r="S111" s="6"/>
      <c r="T111" s="6"/>
      <c r="U111" s="6"/>
      <c r="V111" s="6"/>
      <c r="W111" s="6"/>
      <c r="X111" s="6"/>
      <c r="Y111" s="6"/>
      <c r="Z111" s="6"/>
      <c r="AA111" s="19"/>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row>
    <row r="112">
      <c r="A112" s="6"/>
      <c r="B112" s="6"/>
      <c r="C112" s="18"/>
      <c r="D112" s="6"/>
      <c r="E112" s="6"/>
      <c r="F112" s="6"/>
      <c r="G112" s="6"/>
      <c r="H112" s="6"/>
      <c r="I112" s="6"/>
      <c r="J112" s="6"/>
      <c r="K112" s="6"/>
      <c r="L112" s="6"/>
      <c r="M112" s="6"/>
      <c r="N112" s="6"/>
      <c r="O112" s="6"/>
      <c r="P112" s="6"/>
      <c r="Q112" s="6"/>
      <c r="R112" s="6"/>
      <c r="S112" s="6"/>
      <c r="T112" s="6"/>
      <c r="U112" s="6"/>
      <c r="V112" s="6"/>
      <c r="W112" s="6"/>
      <c r="X112" s="6"/>
      <c r="Y112" s="6"/>
      <c r="Z112" s="6"/>
      <c r="AA112" s="19"/>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row>
    <row r="113">
      <c r="A113" s="6"/>
      <c r="B113" s="6"/>
      <c r="C113" s="18"/>
      <c r="D113" s="6"/>
      <c r="E113" s="6"/>
      <c r="F113" s="6"/>
      <c r="G113" s="6"/>
      <c r="H113" s="6"/>
      <c r="I113" s="6"/>
      <c r="J113" s="6"/>
      <c r="K113" s="6"/>
      <c r="L113" s="6"/>
      <c r="M113" s="6"/>
      <c r="N113" s="6"/>
      <c r="O113" s="6"/>
      <c r="P113" s="6"/>
      <c r="Q113" s="6"/>
      <c r="R113" s="6"/>
      <c r="S113" s="6"/>
      <c r="T113" s="6"/>
      <c r="U113" s="6"/>
      <c r="V113" s="6"/>
      <c r="W113" s="6"/>
      <c r="X113" s="6"/>
      <c r="Y113" s="6"/>
      <c r="Z113" s="6"/>
      <c r="AA113" s="19"/>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row>
    <row r="114">
      <c r="A114" s="6"/>
      <c r="B114" s="6"/>
      <c r="C114" s="18"/>
      <c r="D114" s="6"/>
      <c r="E114" s="6"/>
      <c r="F114" s="6"/>
      <c r="G114" s="6"/>
      <c r="H114" s="6"/>
      <c r="I114" s="6"/>
      <c r="J114" s="6"/>
      <c r="K114" s="6"/>
      <c r="L114" s="6"/>
      <c r="M114" s="6"/>
      <c r="N114" s="6"/>
      <c r="O114" s="6"/>
      <c r="P114" s="6"/>
      <c r="Q114" s="6"/>
      <c r="R114" s="6"/>
      <c r="S114" s="6"/>
      <c r="T114" s="6"/>
      <c r="U114" s="6"/>
      <c r="V114" s="6"/>
      <c r="W114" s="6"/>
      <c r="X114" s="6"/>
      <c r="Y114" s="6"/>
      <c r="Z114" s="6"/>
      <c r="AA114" s="19"/>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row>
    <row r="115">
      <c r="A115" s="6"/>
      <c r="B115" s="6"/>
      <c r="C115" s="18"/>
      <c r="D115" s="6"/>
      <c r="E115" s="6"/>
      <c r="F115" s="6"/>
      <c r="G115" s="6"/>
      <c r="H115" s="6"/>
      <c r="I115" s="6"/>
      <c r="J115" s="6"/>
      <c r="K115" s="6"/>
      <c r="L115" s="6"/>
      <c r="M115" s="6"/>
      <c r="N115" s="6"/>
      <c r="O115" s="6"/>
      <c r="P115" s="6"/>
      <c r="Q115" s="6"/>
      <c r="R115" s="6"/>
      <c r="S115" s="6"/>
      <c r="T115" s="6"/>
      <c r="U115" s="6"/>
      <c r="V115" s="6"/>
      <c r="W115" s="6"/>
      <c r="X115" s="6"/>
      <c r="Y115" s="6"/>
      <c r="Z115" s="6"/>
      <c r="AA115" s="19"/>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row>
    <row r="116">
      <c r="A116" s="6"/>
      <c r="B116" s="6"/>
      <c r="C116" s="18"/>
      <c r="D116" s="6"/>
      <c r="E116" s="6"/>
      <c r="F116" s="6"/>
      <c r="G116" s="6"/>
      <c r="H116" s="6"/>
      <c r="I116" s="6"/>
      <c r="J116" s="6"/>
      <c r="K116" s="6"/>
      <c r="L116" s="6"/>
      <c r="M116" s="6"/>
      <c r="N116" s="6"/>
      <c r="O116" s="6"/>
      <c r="P116" s="6"/>
      <c r="Q116" s="6"/>
      <c r="R116" s="6"/>
      <c r="S116" s="6"/>
      <c r="T116" s="6"/>
      <c r="U116" s="6"/>
      <c r="V116" s="6"/>
      <c r="W116" s="6"/>
      <c r="X116" s="6"/>
      <c r="Y116" s="6"/>
      <c r="Z116" s="6"/>
      <c r="AA116" s="19"/>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row>
    <row r="117">
      <c r="A117" s="6"/>
      <c r="B117" s="6"/>
      <c r="C117" s="18"/>
      <c r="D117" s="6"/>
      <c r="E117" s="6"/>
      <c r="F117" s="6"/>
      <c r="G117" s="6"/>
      <c r="H117" s="6"/>
      <c r="I117" s="6"/>
      <c r="J117" s="6"/>
      <c r="K117" s="6"/>
      <c r="L117" s="6"/>
      <c r="M117" s="6"/>
      <c r="N117" s="6"/>
      <c r="O117" s="6"/>
      <c r="P117" s="6"/>
      <c r="Q117" s="6"/>
      <c r="R117" s="6"/>
      <c r="S117" s="6"/>
      <c r="T117" s="6"/>
      <c r="U117" s="6"/>
      <c r="V117" s="6"/>
      <c r="W117" s="6"/>
      <c r="X117" s="6"/>
      <c r="Y117" s="6"/>
      <c r="Z117" s="6"/>
      <c r="AA117" s="19"/>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row>
    <row r="118">
      <c r="A118" s="6"/>
      <c r="B118" s="6"/>
      <c r="C118" s="18"/>
      <c r="D118" s="6"/>
      <c r="E118" s="6"/>
      <c r="F118" s="6"/>
      <c r="G118" s="6"/>
      <c r="H118" s="6"/>
      <c r="I118" s="6"/>
      <c r="J118" s="6"/>
      <c r="K118" s="6"/>
      <c r="L118" s="6"/>
      <c r="M118" s="6"/>
      <c r="N118" s="6"/>
      <c r="O118" s="6"/>
      <c r="P118" s="6"/>
      <c r="Q118" s="6"/>
      <c r="R118" s="6"/>
      <c r="S118" s="6"/>
      <c r="T118" s="6"/>
      <c r="U118" s="6"/>
      <c r="V118" s="6"/>
      <c r="W118" s="6"/>
      <c r="X118" s="6"/>
      <c r="Y118" s="6"/>
      <c r="Z118" s="6"/>
      <c r="AA118" s="19"/>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row>
    <row r="119">
      <c r="A119" s="6"/>
      <c r="B119" s="6"/>
      <c r="C119" s="18"/>
      <c r="D119" s="6"/>
      <c r="E119" s="6"/>
      <c r="F119" s="6"/>
      <c r="G119" s="6"/>
      <c r="H119" s="6"/>
      <c r="I119" s="6"/>
      <c r="J119" s="6"/>
      <c r="K119" s="6"/>
      <c r="L119" s="6"/>
      <c r="M119" s="6"/>
      <c r="N119" s="6"/>
      <c r="O119" s="6"/>
      <c r="P119" s="6"/>
      <c r="Q119" s="6"/>
      <c r="R119" s="6"/>
      <c r="S119" s="6"/>
      <c r="T119" s="6"/>
      <c r="U119" s="6"/>
      <c r="V119" s="6"/>
      <c r="W119" s="6"/>
      <c r="X119" s="6"/>
      <c r="Y119" s="6"/>
      <c r="Z119" s="6"/>
      <c r="AA119" s="19"/>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row>
    <row r="120">
      <c r="A120" s="6"/>
      <c r="B120" s="6"/>
      <c r="C120" s="18"/>
      <c r="D120" s="6"/>
      <c r="E120" s="6"/>
      <c r="F120" s="6"/>
      <c r="G120" s="6"/>
      <c r="H120" s="6"/>
      <c r="I120" s="6"/>
      <c r="J120" s="6"/>
      <c r="K120" s="6"/>
      <c r="L120" s="6"/>
      <c r="M120" s="6"/>
      <c r="N120" s="6"/>
      <c r="O120" s="6"/>
      <c r="P120" s="6"/>
      <c r="Q120" s="6"/>
      <c r="R120" s="6"/>
      <c r="S120" s="6"/>
      <c r="T120" s="6"/>
      <c r="U120" s="6"/>
      <c r="V120" s="6"/>
      <c r="W120" s="6"/>
      <c r="X120" s="6"/>
      <c r="Y120" s="6"/>
      <c r="Z120" s="6"/>
      <c r="AA120" s="19"/>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row>
    <row r="121">
      <c r="A121" s="6"/>
      <c r="B121" s="6"/>
      <c r="C121" s="18"/>
      <c r="D121" s="6"/>
      <c r="E121" s="6"/>
      <c r="F121" s="6"/>
      <c r="G121" s="6"/>
      <c r="H121" s="6"/>
      <c r="I121" s="6"/>
      <c r="J121" s="6"/>
      <c r="K121" s="6"/>
      <c r="L121" s="6"/>
      <c r="M121" s="6"/>
      <c r="N121" s="6"/>
      <c r="O121" s="6"/>
      <c r="P121" s="6"/>
      <c r="Q121" s="6"/>
      <c r="R121" s="6"/>
      <c r="S121" s="6"/>
      <c r="T121" s="6"/>
      <c r="U121" s="6"/>
      <c r="V121" s="6"/>
      <c r="W121" s="6"/>
      <c r="X121" s="6"/>
      <c r="Y121" s="6"/>
      <c r="Z121" s="6"/>
      <c r="AA121" s="19"/>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row>
    <row r="122">
      <c r="A122" s="6"/>
      <c r="B122" s="6"/>
      <c r="C122" s="18"/>
      <c r="D122" s="6"/>
      <c r="E122" s="6"/>
      <c r="F122" s="6"/>
      <c r="G122" s="6"/>
      <c r="H122" s="6"/>
      <c r="I122" s="6"/>
      <c r="J122" s="6"/>
      <c r="K122" s="6"/>
      <c r="L122" s="6"/>
      <c r="M122" s="6"/>
      <c r="N122" s="6"/>
      <c r="O122" s="6"/>
      <c r="P122" s="6"/>
      <c r="Q122" s="6"/>
      <c r="R122" s="6"/>
      <c r="S122" s="6"/>
      <c r="T122" s="6"/>
      <c r="U122" s="6"/>
      <c r="V122" s="6"/>
      <c r="W122" s="6"/>
      <c r="X122" s="6"/>
      <c r="Y122" s="6"/>
      <c r="Z122" s="6"/>
      <c r="AA122" s="19"/>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row>
    <row r="123">
      <c r="A123" s="6"/>
      <c r="B123" s="6"/>
      <c r="C123" s="18"/>
      <c r="D123" s="6"/>
      <c r="E123" s="6"/>
      <c r="F123" s="6"/>
      <c r="G123" s="6"/>
      <c r="H123" s="6"/>
      <c r="I123" s="6"/>
      <c r="J123" s="6"/>
      <c r="K123" s="6"/>
      <c r="L123" s="6"/>
      <c r="M123" s="6"/>
      <c r="N123" s="6"/>
      <c r="O123" s="6"/>
      <c r="P123" s="6"/>
      <c r="Q123" s="6"/>
      <c r="R123" s="6"/>
      <c r="S123" s="6"/>
      <c r="T123" s="6"/>
      <c r="U123" s="6"/>
      <c r="V123" s="6"/>
      <c r="W123" s="6"/>
      <c r="X123" s="6"/>
      <c r="Y123" s="6"/>
      <c r="Z123" s="6"/>
      <c r="AA123" s="19"/>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row>
    <row r="124">
      <c r="A124" s="6"/>
      <c r="B124" s="6"/>
      <c r="C124" s="18"/>
      <c r="D124" s="6"/>
      <c r="E124" s="6"/>
      <c r="F124" s="6"/>
      <c r="G124" s="6"/>
      <c r="H124" s="6"/>
      <c r="I124" s="6"/>
      <c r="J124" s="6"/>
      <c r="K124" s="6"/>
      <c r="L124" s="6"/>
      <c r="M124" s="6"/>
      <c r="N124" s="6"/>
      <c r="O124" s="6"/>
      <c r="P124" s="6"/>
      <c r="Q124" s="6"/>
      <c r="R124" s="6"/>
      <c r="S124" s="6"/>
      <c r="T124" s="6"/>
      <c r="U124" s="6"/>
      <c r="V124" s="6"/>
      <c r="W124" s="6"/>
      <c r="X124" s="6"/>
      <c r="Y124" s="6"/>
      <c r="Z124" s="6"/>
      <c r="AA124" s="19"/>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row>
    <row r="125">
      <c r="A125" s="6"/>
      <c r="B125" s="6"/>
      <c r="C125" s="18"/>
      <c r="D125" s="6"/>
      <c r="E125" s="6"/>
      <c r="F125" s="6"/>
      <c r="G125" s="6"/>
      <c r="H125" s="6"/>
      <c r="I125" s="6"/>
      <c r="J125" s="6"/>
      <c r="K125" s="6"/>
      <c r="L125" s="6"/>
      <c r="M125" s="6"/>
      <c r="N125" s="6"/>
      <c r="O125" s="6"/>
      <c r="P125" s="6"/>
      <c r="Q125" s="6"/>
      <c r="R125" s="6"/>
      <c r="S125" s="6"/>
      <c r="T125" s="6"/>
      <c r="U125" s="6"/>
      <c r="V125" s="6"/>
      <c r="W125" s="6"/>
      <c r="X125" s="6"/>
      <c r="Y125" s="6"/>
      <c r="Z125" s="6"/>
      <c r="AA125" s="19"/>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row>
    <row r="126">
      <c r="A126" s="6"/>
      <c r="B126" s="6"/>
      <c r="C126" s="18"/>
      <c r="D126" s="6"/>
      <c r="E126" s="6"/>
      <c r="F126" s="6"/>
      <c r="G126" s="6"/>
      <c r="H126" s="6"/>
      <c r="I126" s="6"/>
      <c r="J126" s="6"/>
      <c r="K126" s="6"/>
      <c r="L126" s="6"/>
      <c r="M126" s="6"/>
      <c r="N126" s="6"/>
      <c r="O126" s="6"/>
      <c r="P126" s="6"/>
      <c r="Q126" s="6"/>
      <c r="R126" s="6"/>
      <c r="S126" s="6"/>
      <c r="T126" s="6"/>
      <c r="U126" s="6"/>
      <c r="V126" s="6"/>
      <c r="W126" s="6"/>
      <c r="X126" s="6"/>
      <c r="Y126" s="6"/>
      <c r="Z126" s="6"/>
      <c r="AA126" s="19"/>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row>
    <row r="127">
      <c r="A127" s="6"/>
      <c r="B127" s="6"/>
      <c r="C127" s="18"/>
      <c r="D127" s="6"/>
      <c r="E127" s="6"/>
      <c r="F127" s="6"/>
      <c r="G127" s="6"/>
      <c r="H127" s="6"/>
      <c r="I127" s="6"/>
      <c r="J127" s="6"/>
      <c r="K127" s="6"/>
      <c r="L127" s="6"/>
      <c r="M127" s="6"/>
      <c r="N127" s="6"/>
      <c r="O127" s="6"/>
      <c r="P127" s="6"/>
      <c r="Q127" s="6"/>
      <c r="R127" s="6"/>
      <c r="S127" s="6"/>
      <c r="T127" s="6"/>
      <c r="U127" s="6"/>
      <c r="V127" s="6"/>
      <c r="W127" s="6"/>
      <c r="X127" s="6"/>
      <c r="Y127" s="6"/>
      <c r="Z127" s="6"/>
      <c r="AA127" s="19"/>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row>
    <row r="128">
      <c r="A128" s="6"/>
      <c r="B128" s="6"/>
      <c r="C128" s="18"/>
      <c r="D128" s="6"/>
      <c r="E128" s="6"/>
      <c r="F128" s="6"/>
      <c r="G128" s="6"/>
      <c r="H128" s="6"/>
      <c r="I128" s="6"/>
      <c r="J128" s="6"/>
      <c r="K128" s="6"/>
      <c r="L128" s="6"/>
      <c r="M128" s="6"/>
      <c r="N128" s="6"/>
      <c r="O128" s="6"/>
      <c r="P128" s="6"/>
      <c r="Q128" s="6"/>
      <c r="R128" s="6"/>
      <c r="S128" s="6"/>
      <c r="T128" s="6"/>
      <c r="U128" s="6"/>
      <c r="V128" s="6"/>
      <c r="W128" s="6"/>
      <c r="X128" s="6"/>
      <c r="Y128" s="6"/>
      <c r="Z128" s="6"/>
      <c r="AA128" s="19"/>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row>
    <row r="129">
      <c r="A129" s="6"/>
      <c r="B129" s="6"/>
      <c r="C129" s="18"/>
      <c r="D129" s="6"/>
      <c r="E129" s="6"/>
      <c r="F129" s="6"/>
      <c r="G129" s="6"/>
      <c r="H129" s="6"/>
      <c r="I129" s="6"/>
      <c r="J129" s="6"/>
      <c r="K129" s="6"/>
      <c r="L129" s="6"/>
      <c r="M129" s="6"/>
      <c r="N129" s="6"/>
      <c r="O129" s="6"/>
      <c r="P129" s="6"/>
      <c r="Q129" s="6"/>
      <c r="R129" s="6"/>
      <c r="S129" s="6"/>
      <c r="T129" s="6"/>
      <c r="U129" s="6"/>
      <c r="V129" s="6"/>
      <c r="W129" s="6"/>
      <c r="X129" s="6"/>
      <c r="Y129" s="6"/>
      <c r="Z129" s="6"/>
      <c r="AA129" s="19"/>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row>
    <row r="130">
      <c r="A130" s="6"/>
      <c r="B130" s="6"/>
      <c r="C130" s="18"/>
      <c r="D130" s="6"/>
      <c r="E130" s="6"/>
      <c r="F130" s="6"/>
      <c r="G130" s="6"/>
      <c r="H130" s="6"/>
      <c r="I130" s="6"/>
      <c r="J130" s="6"/>
      <c r="K130" s="6"/>
      <c r="L130" s="6"/>
      <c r="M130" s="6"/>
      <c r="N130" s="6"/>
      <c r="O130" s="6"/>
      <c r="P130" s="6"/>
      <c r="Q130" s="6"/>
      <c r="R130" s="6"/>
      <c r="S130" s="6"/>
      <c r="T130" s="6"/>
      <c r="U130" s="6"/>
      <c r="V130" s="6"/>
      <c r="W130" s="6"/>
      <c r="X130" s="6"/>
      <c r="Y130" s="6"/>
      <c r="Z130" s="6"/>
      <c r="AA130" s="19"/>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row>
    <row r="131">
      <c r="A131" s="6"/>
      <c r="B131" s="6"/>
      <c r="C131" s="18"/>
      <c r="D131" s="6"/>
      <c r="E131" s="6"/>
      <c r="F131" s="6"/>
      <c r="G131" s="6"/>
      <c r="H131" s="6"/>
      <c r="I131" s="6"/>
      <c r="J131" s="6"/>
      <c r="K131" s="6"/>
      <c r="L131" s="6"/>
      <c r="M131" s="6"/>
      <c r="N131" s="6"/>
      <c r="O131" s="6"/>
      <c r="P131" s="6"/>
      <c r="Q131" s="6"/>
      <c r="R131" s="6"/>
      <c r="S131" s="6"/>
      <c r="T131" s="6"/>
      <c r="U131" s="6"/>
      <c r="V131" s="6"/>
      <c r="W131" s="6"/>
      <c r="X131" s="6"/>
      <c r="Y131" s="6"/>
      <c r="Z131" s="6"/>
      <c r="AA131" s="19"/>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row>
    <row r="132">
      <c r="A132" s="6"/>
      <c r="B132" s="6"/>
      <c r="C132" s="18"/>
      <c r="D132" s="6"/>
      <c r="E132" s="6"/>
      <c r="F132" s="6"/>
      <c r="G132" s="6"/>
      <c r="H132" s="6"/>
      <c r="I132" s="6"/>
      <c r="J132" s="6"/>
      <c r="K132" s="6"/>
      <c r="L132" s="6"/>
      <c r="M132" s="6"/>
      <c r="N132" s="6"/>
      <c r="O132" s="6"/>
      <c r="P132" s="6"/>
      <c r="Q132" s="6"/>
      <c r="R132" s="6"/>
      <c r="S132" s="6"/>
      <c r="T132" s="6"/>
      <c r="U132" s="6"/>
      <c r="V132" s="6"/>
      <c r="W132" s="6"/>
      <c r="X132" s="6"/>
      <c r="Y132" s="6"/>
      <c r="Z132" s="6"/>
      <c r="AA132" s="19"/>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row>
    <row r="133">
      <c r="A133" s="6"/>
      <c r="B133" s="6"/>
      <c r="C133" s="18"/>
      <c r="D133" s="6"/>
      <c r="E133" s="6"/>
      <c r="F133" s="6"/>
      <c r="G133" s="6"/>
      <c r="H133" s="6"/>
      <c r="I133" s="6"/>
      <c r="J133" s="6"/>
      <c r="K133" s="6"/>
      <c r="L133" s="6"/>
      <c r="M133" s="6"/>
      <c r="N133" s="6"/>
      <c r="O133" s="6"/>
      <c r="P133" s="6"/>
      <c r="Q133" s="6"/>
      <c r="R133" s="6"/>
      <c r="S133" s="6"/>
      <c r="T133" s="6"/>
      <c r="U133" s="6"/>
      <c r="V133" s="6"/>
      <c r="W133" s="6"/>
      <c r="X133" s="6"/>
      <c r="Y133" s="6"/>
      <c r="Z133" s="6"/>
      <c r="AA133" s="19"/>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row>
    <row r="134">
      <c r="A134" s="6"/>
      <c r="B134" s="6"/>
      <c r="C134" s="18"/>
      <c r="D134" s="6"/>
      <c r="E134" s="6"/>
      <c r="F134" s="6"/>
      <c r="G134" s="6"/>
      <c r="H134" s="6"/>
      <c r="I134" s="6"/>
      <c r="J134" s="6"/>
      <c r="K134" s="6"/>
      <c r="L134" s="6"/>
      <c r="M134" s="6"/>
      <c r="N134" s="6"/>
      <c r="O134" s="6"/>
      <c r="P134" s="6"/>
      <c r="Q134" s="6"/>
      <c r="R134" s="6"/>
      <c r="S134" s="6"/>
      <c r="T134" s="6"/>
      <c r="U134" s="6"/>
      <c r="V134" s="6"/>
      <c r="W134" s="6"/>
      <c r="X134" s="6"/>
      <c r="Y134" s="6"/>
      <c r="Z134" s="6"/>
      <c r="AA134" s="19"/>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row>
    <row r="135">
      <c r="A135" s="6"/>
      <c r="B135" s="6"/>
      <c r="C135" s="18"/>
      <c r="D135" s="6"/>
      <c r="E135" s="6"/>
      <c r="F135" s="6"/>
      <c r="G135" s="6"/>
      <c r="H135" s="6"/>
      <c r="I135" s="6"/>
      <c r="J135" s="6"/>
      <c r="K135" s="6"/>
      <c r="L135" s="6"/>
      <c r="M135" s="6"/>
      <c r="N135" s="6"/>
      <c r="O135" s="6"/>
      <c r="P135" s="6"/>
      <c r="Q135" s="6"/>
      <c r="R135" s="6"/>
      <c r="S135" s="6"/>
      <c r="T135" s="6"/>
      <c r="U135" s="6"/>
      <c r="V135" s="6"/>
      <c r="W135" s="6"/>
      <c r="X135" s="6"/>
      <c r="Y135" s="6"/>
      <c r="Z135" s="6"/>
      <c r="AA135" s="19"/>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row>
    <row r="136">
      <c r="A136" s="6"/>
      <c r="B136" s="6"/>
      <c r="C136" s="18"/>
      <c r="D136" s="6"/>
      <c r="E136" s="6"/>
      <c r="F136" s="6"/>
      <c r="G136" s="6"/>
      <c r="H136" s="6"/>
      <c r="I136" s="6"/>
      <c r="J136" s="6"/>
      <c r="K136" s="6"/>
      <c r="L136" s="6"/>
      <c r="M136" s="6"/>
      <c r="N136" s="6"/>
      <c r="O136" s="6"/>
      <c r="P136" s="6"/>
      <c r="Q136" s="6"/>
      <c r="R136" s="6"/>
      <c r="S136" s="6"/>
      <c r="T136" s="6"/>
      <c r="U136" s="6"/>
      <c r="V136" s="6"/>
      <c r="W136" s="6"/>
      <c r="X136" s="6"/>
      <c r="Y136" s="6"/>
      <c r="Z136" s="6"/>
      <c r="AA136" s="19"/>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row>
    <row r="137">
      <c r="A137" s="6"/>
      <c r="B137" s="6"/>
      <c r="C137" s="18"/>
      <c r="D137" s="6"/>
      <c r="E137" s="6"/>
      <c r="F137" s="6"/>
      <c r="G137" s="6"/>
      <c r="H137" s="6"/>
      <c r="I137" s="6"/>
      <c r="J137" s="6"/>
      <c r="K137" s="6"/>
      <c r="L137" s="6"/>
      <c r="M137" s="6"/>
      <c r="N137" s="6"/>
      <c r="O137" s="6"/>
      <c r="P137" s="6"/>
      <c r="Q137" s="6"/>
      <c r="R137" s="6"/>
      <c r="S137" s="6"/>
      <c r="T137" s="6"/>
      <c r="U137" s="6"/>
      <c r="V137" s="6"/>
      <c r="W137" s="6"/>
      <c r="X137" s="6"/>
      <c r="Y137" s="6"/>
      <c r="Z137" s="6"/>
      <c r="AA137" s="19"/>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row>
    <row r="138">
      <c r="A138" s="6"/>
      <c r="B138" s="6"/>
      <c r="C138" s="18"/>
      <c r="D138" s="6"/>
      <c r="E138" s="6"/>
      <c r="F138" s="6"/>
      <c r="G138" s="6"/>
      <c r="H138" s="6"/>
      <c r="I138" s="6"/>
      <c r="J138" s="6"/>
      <c r="K138" s="6"/>
      <c r="L138" s="6"/>
      <c r="M138" s="6"/>
      <c r="N138" s="6"/>
      <c r="O138" s="6"/>
      <c r="P138" s="6"/>
      <c r="Q138" s="6"/>
      <c r="R138" s="6"/>
      <c r="S138" s="6"/>
      <c r="T138" s="6"/>
      <c r="U138" s="6"/>
      <c r="V138" s="6"/>
      <c r="W138" s="6"/>
      <c r="X138" s="6"/>
      <c r="Y138" s="6"/>
      <c r="Z138" s="6"/>
      <c r="AA138" s="19"/>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row>
    <row r="139">
      <c r="A139" s="6"/>
      <c r="B139" s="6"/>
      <c r="C139" s="18"/>
      <c r="D139" s="6"/>
      <c r="E139" s="6"/>
      <c r="F139" s="6"/>
      <c r="G139" s="6"/>
      <c r="H139" s="6"/>
      <c r="I139" s="6"/>
      <c r="J139" s="6"/>
      <c r="K139" s="6"/>
      <c r="L139" s="6"/>
      <c r="M139" s="6"/>
      <c r="N139" s="6"/>
      <c r="O139" s="6"/>
      <c r="P139" s="6"/>
      <c r="Q139" s="6"/>
      <c r="R139" s="6"/>
      <c r="S139" s="6"/>
      <c r="T139" s="6"/>
      <c r="U139" s="6"/>
      <c r="V139" s="6"/>
      <c r="W139" s="6"/>
      <c r="X139" s="6"/>
      <c r="Y139" s="6"/>
      <c r="Z139" s="6"/>
      <c r="AA139" s="19"/>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row>
    <row r="140">
      <c r="A140" s="6"/>
      <c r="B140" s="6"/>
      <c r="C140" s="18"/>
      <c r="D140" s="6"/>
      <c r="E140" s="6"/>
      <c r="F140" s="6"/>
      <c r="G140" s="6"/>
      <c r="H140" s="6"/>
      <c r="I140" s="6"/>
      <c r="J140" s="6"/>
      <c r="K140" s="6"/>
      <c r="L140" s="6"/>
      <c r="M140" s="6"/>
      <c r="N140" s="6"/>
      <c r="O140" s="6"/>
      <c r="P140" s="6"/>
      <c r="Q140" s="6"/>
      <c r="R140" s="6"/>
      <c r="S140" s="6"/>
      <c r="T140" s="6"/>
      <c r="U140" s="6"/>
      <c r="V140" s="6"/>
      <c r="W140" s="6"/>
      <c r="X140" s="6"/>
      <c r="Y140" s="6"/>
      <c r="Z140" s="6"/>
      <c r="AA140" s="19"/>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row>
    <row r="141">
      <c r="A141" s="6"/>
      <c r="B141" s="6"/>
      <c r="C141" s="18"/>
      <c r="D141" s="6"/>
      <c r="E141" s="6"/>
      <c r="F141" s="6"/>
      <c r="G141" s="6"/>
      <c r="H141" s="6"/>
      <c r="I141" s="6"/>
      <c r="J141" s="6"/>
      <c r="K141" s="6"/>
      <c r="L141" s="6"/>
      <c r="M141" s="6"/>
      <c r="N141" s="6"/>
      <c r="O141" s="6"/>
      <c r="P141" s="6"/>
      <c r="Q141" s="6"/>
      <c r="R141" s="6"/>
      <c r="S141" s="6"/>
      <c r="T141" s="6"/>
      <c r="U141" s="6"/>
      <c r="V141" s="6"/>
      <c r="W141" s="6"/>
      <c r="X141" s="6"/>
      <c r="Y141" s="6"/>
      <c r="Z141" s="6"/>
      <c r="AA141" s="19"/>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row>
    <row r="142">
      <c r="A142" s="6"/>
      <c r="B142" s="6"/>
      <c r="C142" s="18"/>
      <c r="D142" s="6"/>
      <c r="E142" s="6"/>
      <c r="F142" s="6"/>
      <c r="G142" s="6"/>
      <c r="H142" s="6"/>
      <c r="I142" s="6"/>
      <c r="J142" s="6"/>
      <c r="K142" s="6"/>
      <c r="L142" s="6"/>
      <c r="M142" s="6"/>
      <c r="N142" s="6"/>
      <c r="O142" s="6"/>
      <c r="P142" s="6"/>
      <c r="Q142" s="6"/>
      <c r="R142" s="6"/>
      <c r="S142" s="6"/>
      <c r="T142" s="6"/>
      <c r="U142" s="6"/>
      <c r="V142" s="6"/>
      <c r="W142" s="6"/>
      <c r="X142" s="6"/>
      <c r="Y142" s="6"/>
      <c r="Z142" s="6"/>
      <c r="AA142" s="19"/>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row>
    <row r="143">
      <c r="A143" s="6"/>
      <c r="B143" s="6"/>
      <c r="C143" s="18"/>
      <c r="D143" s="6"/>
      <c r="E143" s="6"/>
      <c r="F143" s="6"/>
      <c r="G143" s="6"/>
      <c r="H143" s="6"/>
      <c r="I143" s="6"/>
      <c r="J143" s="6"/>
      <c r="K143" s="6"/>
      <c r="L143" s="6"/>
      <c r="M143" s="6"/>
      <c r="N143" s="6"/>
      <c r="O143" s="6"/>
      <c r="P143" s="6"/>
      <c r="Q143" s="6"/>
      <c r="R143" s="6"/>
      <c r="S143" s="6"/>
      <c r="T143" s="6"/>
      <c r="U143" s="6"/>
      <c r="V143" s="6"/>
      <c r="W143" s="6"/>
      <c r="X143" s="6"/>
      <c r="Y143" s="6"/>
      <c r="Z143" s="6"/>
      <c r="AA143" s="19"/>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row>
    <row r="144">
      <c r="A144" s="6"/>
      <c r="B144" s="6"/>
      <c r="C144" s="18"/>
      <c r="D144" s="6"/>
      <c r="E144" s="6"/>
      <c r="F144" s="6"/>
      <c r="G144" s="6"/>
      <c r="H144" s="6"/>
      <c r="I144" s="6"/>
      <c r="J144" s="6"/>
      <c r="K144" s="6"/>
      <c r="L144" s="6"/>
      <c r="M144" s="6"/>
      <c r="N144" s="6"/>
      <c r="O144" s="6"/>
      <c r="P144" s="6"/>
      <c r="Q144" s="6"/>
      <c r="R144" s="6"/>
      <c r="S144" s="6"/>
      <c r="T144" s="6"/>
      <c r="U144" s="6"/>
      <c r="V144" s="6"/>
      <c r="W144" s="6"/>
      <c r="X144" s="6"/>
      <c r="Y144" s="6"/>
      <c r="Z144" s="6"/>
      <c r="AA144" s="19"/>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row>
    <row r="145">
      <c r="A145" s="6"/>
      <c r="B145" s="6"/>
      <c r="C145" s="18"/>
      <c r="D145" s="6"/>
      <c r="E145" s="6"/>
      <c r="F145" s="6"/>
      <c r="G145" s="6"/>
      <c r="H145" s="6"/>
      <c r="I145" s="6"/>
      <c r="J145" s="6"/>
      <c r="K145" s="6"/>
      <c r="L145" s="6"/>
      <c r="M145" s="6"/>
      <c r="N145" s="6"/>
      <c r="O145" s="6"/>
      <c r="P145" s="6"/>
      <c r="Q145" s="6"/>
      <c r="R145" s="6"/>
      <c r="S145" s="6"/>
      <c r="T145" s="6"/>
      <c r="U145" s="6"/>
      <c r="V145" s="6"/>
      <c r="W145" s="6"/>
      <c r="X145" s="6"/>
      <c r="Y145" s="6"/>
      <c r="Z145" s="6"/>
      <c r="AA145" s="19"/>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row>
    <row r="146">
      <c r="A146" s="6"/>
      <c r="B146" s="6"/>
      <c r="C146" s="18"/>
      <c r="D146" s="6"/>
      <c r="E146" s="6"/>
      <c r="F146" s="6"/>
      <c r="G146" s="6"/>
      <c r="H146" s="6"/>
      <c r="I146" s="6"/>
      <c r="J146" s="6"/>
      <c r="K146" s="6"/>
      <c r="L146" s="6"/>
      <c r="M146" s="6"/>
      <c r="N146" s="6"/>
      <c r="O146" s="6"/>
      <c r="P146" s="6"/>
      <c r="Q146" s="6"/>
      <c r="R146" s="6"/>
      <c r="S146" s="6"/>
      <c r="T146" s="6"/>
      <c r="U146" s="6"/>
      <c r="V146" s="6"/>
      <c r="W146" s="6"/>
      <c r="X146" s="6"/>
      <c r="Y146" s="6"/>
      <c r="Z146" s="6"/>
      <c r="AA146" s="19"/>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row>
    <row r="147">
      <c r="A147" s="6"/>
      <c r="B147" s="6"/>
      <c r="C147" s="18"/>
      <c r="D147" s="6"/>
      <c r="E147" s="6"/>
      <c r="F147" s="6"/>
      <c r="G147" s="6"/>
      <c r="H147" s="6"/>
      <c r="I147" s="6"/>
      <c r="J147" s="6"/>
      <c r="K147" s="6"/>
      <c r="L147" s="6"/>
      <c r="M147" s="6"/>
      <c r="N147" s="6"/>
      <c r="O147" s="6"/>
      <c r="P147" s="6"/>
      <c r="Q147" s="6"/>
      <c r="R147" s="6"/>
      <c r="S147" s="6"/>
      <c r="T147" s="6"/>
      <c r="U147" s="6"/>
      <c r="V147" s="6"/>
      <c r="W147" s="6"/>
      <c r="X147" s="6"/>
      <c r="Y147" s="6"/>
      <c r="Z147" s="6"/>
      <c r="AA147" s="19"/>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row>
    <row r="148">
      <c r="A148" s="6"/>
      <c r="B148" s="6"/>
      <c r="C148" s="18"/>
      <c r="D148" s="6"/>
      <c r="E148" s="6"/>
      <c r="F148" s="6"/>
      <c r="G148" s="6"/>
      <c r="H148" s="6"/>
      <c r="I148" s="6"/>
      <c r="J148" s="6"/>
      <c r="K148" s="6"/>
      <c r="L148" s="6"/>
      <c r="M148" s="6"/>
      <c r="N148" s="6"/>
      <c r="O148" s="6"/>
      <c r="P148" s="6"/>
      <c r="Q148" s="6"/>
      <c r="R148" s="6"/>
      <c r="S148" s="6"/>
      <c r="T148" s="6"/>
      <c r="U148" s="6"/>
      <c r="V148" s="6"/>
      <c r="W148" s="6"/>
      <c r="X148" s="6"/>
      <c r="Y148" s="6"/>
      <c r="Z148" s="6"/>
      <c r="AA148" s="19"/>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row>
    <row r="149">
      <c r="A149" s="6"/>
      <c r="B149" s="6"/>
      <c r="C149" s="18"/>
      <c r="D149" s="6"/>
      <c r="E149" s="6"/>
      <c r="F149" s="6"/>
      <c r="G149" s="6"/>
      <c r="H149" s="6"/>
      <c r="I149" s="6"/>
      <c r="J149" s="6"/>
      <c r="K149" s="6"/>
      <c r="L149" s="6"/>
      <c r="M149" s="6"/>
      <c r="N149" s="6"/>
      <c r="O149" s="6"/>
      <c r="P149" s="6"/>
      <c r="Q149" s="6"/>
      <c r="R149" s="6"/>
      <c r="S149" s="6"/>
      <c r="T149" s="6"/>
      <c r="U149" s="6"/>
      <c r="V149" s="6"/>
      <c r="W149" s="6"/>
      <c r="X149" s="6"/>
      <c r="Y149" s="6"/>
      <c r="Z149" s="6"/>
      <c r="AA149" s="19"/>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row>
    <row r="150">
      <c r="A150" s="6"/>
      <c r="B150" s="6"/>
      <c r="C150" s="18"/>
      <c r="D150" s="6"/>
      <c r="E150" s="6"/>
      <c r="F150" s="6"/>
      <c r="G150" s="6"/>
      <c r="H150" s="6"/>
      <c r="I150" s="6"/>
      <c r="J150" s="6"/>
      <c r="K150" s="6"/>
      <c r="L150" s="6"/>
      <c r="M150" s="6"/>
      <c r="N150" s="6"/>
      <c r="O150" s="6"/>
      <c r="P150" s="6"/>
      <c r="Q150" s="6"/>
      <c r="R150" s="6"/>
      <c r="S150" s="6"/>
      <c r="T150" s="6"/>
      <c r="U150" s="6"/>
      <c r="V150" s="6"/>
      <c r="W150" s="6"/>
      <c r="X150" s="6"/>
      <c r="Y150" s="6"/>
      <c r="Z150" s="6"/>
      <c r="AA150" s="19"/>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row>
    <row r="151">
      <c r="A151" s="6"/>
      <c r="B151" s="6"/>
      <c r="C151" s="18"/>
      <c r="D151" s="6"/>
      <c r="E151" s="6"/>
      <c r="F151" s="6"/>
      <c r="G151" s="6"/>
      <c r="H151" s="6"/>
      <c r="I151" s="6"/>
      <c r="J151" s="6"/>
      <c r="K151" s="6"/>
      <c r="L151" s="6"/>
      <c r="M151" s="6"/>
      <c r="N151" s="6"/>
      <c r="O151" s="6"/>
      <c r="P151" s="6"/>
      <c r="Q151" s="6"/>
      <c r="R151" s="6"/>
      <c r="S151" s="6"/>
      <c r="T151" s="6"/>
      <c r="U151" s="6"/>
      <c r="V151" s="6"/>
      <c r="W151" s="6"/>
      <c r="X151" s="6"/>
      <c r="Y151" s="6"/>
      <c r="Z151" s="6"/>
      <c r="AA151" s="19"/>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row>
    <row r="152">
      <c r="A152" s="6"/>
      <c r="B152" s="6"/>
      <c r="C152" s="18"/>
      <c r="D152" s="6"/>
      <c r="E152" s="6"/>
      <c r="F152" s="6"/>
      <c r="G152" s="6"/>
      <c r="H152" s="6"/>
      <c r="I152" s="6"/>
      <c r="J152" s="6"/>
      <c r="K152" s="6"/>
      <c r="L152" s="6"/>
      <c r="M152" s="6"/>
      <c r="N152" s="6"/>
      <c r="O152" s="6"/>
      <c r="P152" s="6"/>
      <c r="Q152" s="6"/>
      <c r="R152" s="6"/>
      <c r="S152" s="6"/>
      <c r="T152" s="6"/>
      <c r="U152" s="6"/>
      <c r="V152" s="6"/>
      <c r="W152" s="6"/>
      <c r="X152" s="6"/>
      <c r="Y152" s="6"/>
      <c r="Z152" s="6"/>
      <c r="AA152" s="19"/>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row>
    <row r="153">
      <c r="A153" s="6"/>
      <c r="B153" s="6"/>
      <c r="C153" s="18"/>
      <c r="D153" s="6"/>
      <c r="E153" s="6"/>
      <c r="F153" s="6"/>
      <c r="G153" s="6"/>
      <c r="H153" s="6"/>
      <c r="I153" s="6"/>
      <c r="J153" s="6"/>
      <c r="K153" s="6"/>
      <c r="L153" s="6"/>
      <c r="M153" s="6"/>
      <c r="N153" s="6"/>
      <c r="O153" s="6"/>
      <c r="P153" s="6"/>
      <c r="Q153" s="6"/>
      <c r="R153" s="6"/>
      <c r="S153" s="6"/>
      <c r="T153" s="6"/>
      <c r="U153" s="6"/>
      <c r="V153" s="6"/>
      <c r="W153" s="6"/>
      <c r="X153" s="6"/>
      <c r="Y153" s="6"/>
      <c r="Z153" s="6"/>
      <c r="AA153" s="19"/>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row>
    <row r="154">
      <c r="A154" s="6"/>
      <c r="B154" s="6"/>
      <c r="C154" s="18"/>
      <c r="D154" s="6"/>
      <c r="E154" s="6"/>
      <c r="F154" s="6"/>
      <c r="G154" s="6"/>
      <c r="H154" s="6"/>
      <c r="I154" s="6"/>
      <c r="J154" s="6"/>
      <c r="K154" s="6"/>
      <c r="L154" s="6"/>
      <c r="M154" s="6"/>
      <c r="N154" s="6"/>
      <c r="O154" s="6"/>
      <c r="P154" s="6"/>
      <c r="Q154" s="6"/>
      <c r="R154" s="6"/>
      <c r="S154" s="6"/>
      <c r="T154" s="6"/>
      <c r="U154" s="6"/>
      <c r="V154" s="6"/>
      <c r="W154" s="6"/>
      <c r="X154" s="6"/>
      <c r="Y154" s="6"/>
      <c r="Z154" s="6"/>
      <c r="AA154" s="19"/>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row>
    <row r="155">
      <c r="A155" s="6"/>
      <c r="B155" s="6"/>
      <c r="C155" s="18"/>
      <c r="D155" s="6"/>
      <c r="E155" s="6"/>
      <c r="F155" s="6"/>
      <c r="G155" s="6"/>
      <c r="H155" s="6"/>
      <c r="I155" s="6"/>
      <c r="J155" s="6"/>
      <c r="K155" s="6"/>
      <c r="L155" s="6"/>
      <c r="M155" s="6"/>
      <c r="N155" s="6"/>
      <c r="O155" s="6"/>
      <c r="P155" s="6"/>
      <c r="Q155" s="6"/>
      <c r="R155" s="6"/>
      <c r="S155" s="6"/>
      <c r="T155" s="6"/>
      <c r="U155" s="6"/>
      <c r="V155" s="6"/>
      <c r="W155" s="6"/>
      <c r="X155" s="6"/>
      <c r="Y155" s="6"/>
      <c r="Z155" s="6"/>
      <c r="AA155" s="19"/>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row>
    <row r="156">
      <c r="A156" s="6"/>
      <c r="B156" s="6"/>
      <c r="C156" s="18"/>
      <c r="D156" s="6"/>
      <c r="E156" s="6"/>
      <c r="F156" s="6"/>
      <c r="G156" s="6"/>
      <c r="H156" s="6"/>
      <c r="I156" s="6"/>
      <c r="J156" s="6"/>
      <c r="K156" s="6"/>
      <c r="L156" s="6"/>
      <c r="M156" s="6"/>
      <c r="N156" s="6"/>
      <c r="O156" s="6"/>
      <c r="P156" s="6"/>
      <c r="Q156" s="6"/>
      <c r="R156" s="6"/>
      <c r="S156" s="6"/>
      <c r="T156" s="6"/>
      <c r="U156" s="6"/>
      <c r="V156" s="6"/>
      <c r="W156" s="6"/>
      <c r="X156" s="6"/>
      <c r="Y156" s="6"/>
      <c r="Z156" s="6"/>
      <c r="AA156" s="19"/>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row>
    <row r="157">
      <c r="A157" s="6"/>
      <c r="B157" s="6"/>
      <c r="C157" s="18"/>
      <c r="D157" s="6"/>
      <c r="E157" s="6"/>
      <c r="F157" s="6"/>
      <c r="G157" s="6"/>
      <c r="H157" s="6"/>
      <c r="I157" s="6"/>
      <c r="J157" s="6"/>
      <c r="K157" s="6"/>
      <c r="L157" s="6"/>
      <c r="M157" s="6"/>
      <c r="N157" s="6"/>
      <c r="O157" s="6"/>
      <c r="P157" s="6"/>
      <c r="Q157" s="6"/>
      <c r="R157" s="6"/>
      <c r="S157" s="6"/>
      <c r="T157" s="6"/>
      <c r="U157" s="6"/>
      <c r="V157" s="6"/>
      <c r="W157" s="6"/>
      <c r="X157" s="6"/>
      <c r="Y157" s="6"/>
      <c r="Z157" s="6"/>
      <c r="AA157" s="19"/>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row>
    <row r="158">
      <c r="A158" s="6"/>
      <c r="B158" s="6"/>
      <c r="C158" s="18"/>
      <c r="D158" s="6"/>
      <c r="E158" s="6"/>
      <c r="F158" s="6"/>
      <c r="G158" s="6"/>
      <c r="H158" s="6"/>
      <c r="I158" s="6"/>
      <c r="J158" s="6"/>
      <c r="K158" s="6"/>
      <c r="L158" s="6"/>
      <c r="M158" s="6"/>
      <c r="N158" s="6"/>
      <c r="O158" s="6"/>
      <c r="P158" s="6"/>
      <c r="Q158" s="6"/>
      <c r="R158" s="6"/>
      <c r="S158" s="6"/>
      <c r="T158" s="6"/>
      <c r="U158" s="6"/>
      <c r="V158" s="6"/>
      <c r="W158" s="6"/>
      <c r="X158" s="6"/>
      <c r="Y158" s="6"/>
      <c r="Z158" s="6"/>
      <c r="AA158" s="19"/>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row>
    <row r="159">
      <c r="A159" s="6"/>
      <c r="B159" s="6"/>
      <c r="C159" s="18"/>
      <c r="D159" s="6"/>
      <c r="E159" s="6"/>
      <c r="F159" s="6"/>
      <c r="G159" s="6"/>
      <c r="H159" s="6"/>
      <c r="I159" s="6"/>
      <c r="J159" s="6"/>
      <c r="K159" s="6"/>
      <c r="L159" s="6"/>
      <c r="M159" s="6"/>
      <c r="N159" s="6"/>
      <c r="O159" s="6"/>
      <c r="P159" s="6"/>
      <c r="Q159" s="6"/>
      <c r="R159" s="6"/>
      <c r="S159" s="6"/>
      <c r="T159" s="6"/>
      <c r="U159" s="6"/>
      <c r="V159" s="6"/>
      <c r="W159" s="6"/>
      <c r="X159" s="6"/>
      <c r="Y159" s="6"/>
      <c r="Z159" s="6"/>
      <c r="AA159" s="19"/>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row>
    <row r="160">
      <c r="A160" s="6"/>
      <c r="B160" s="6"/>
      <c r="C160" s="18"/>
      <c r="D160" s="6"/>
      <c r="E160" s="6"/>
      <c r="F160" s="6"/>
      <c r="G160" s="6"/>
      <c r="H160" s="6"/>
      <c r="I160" s="6"/>
      <c r="J160" s="6"/>
      <c r="K160" s="6"/>
      <c r="L160" s="6"/>
      <c r="M160" s="6"/>
      <c r="N160" s="6"/>
      <c r="O160" s="6"/>
      <c r="P160" s="6"/>
      <c r="Q160" s="6"/>
      <c r="R160" s="6"/>
      <c r="S160" s="6"/>
      <c r="T160" s="6"/>
      <c r="U160" s="6"/>
      <c r="V160" s="6"/>
      <c r="W160" s="6"/>
      <c r="X160" s="6"/>
      <c r="Y160" s="6"/>
      <c r="Z160" s="6"/>
      <c r="AA160" s="19"/>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row>
    <row r="161">
      <c r="A161" s="6"/>
      <c r="B161" s="6"/>
      <c r="C161" s="18"/>
      <c r="D161" s="6"/>
      <c r="E161" s="6"/>
      <c r="F161" s="6"/>
      <c r="G161" s="6"/>
      <c r="H161" s="6"/>
      <c r="I161" s="6"/>
      <c r="J161" s="6"/>
      <c r="K161" s="6"/>
      <c r="L161" s="6"/>
      <c r="M161" s="6"/>
      <c r="N161" s="6"/>
      <c r="O161" s="6"/>
      <c r="P161" s="6"/>
      <c r="Q161" s="6"/>
      <c r="R161" s="6"/>
      <c r="S161" s="6"/>
      <c r="T161" s="6"/>
      <c r="U161" s="6"/>
      <c r="V161" s="6"/>
      <c r="W161" s="6"/>
      <c r="X161" s="6"/>
      <c r="Y161" s="6"/>
      <c r="Z161" s="6"/>
      <c r="AA161" s="19"/>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row>
    <row r="162">
      <c r="A162" s="6"/>
      <c r="B162" s="6"/>
      <c r="C162" s="18"/>
      <c r="D162" s="6"/>
      <c r="E162" s="6"/>
      <c r="F162" s="6"/>
      <c r="G162" s="6"/>
      <c r="H162" s="6"/>
      <c r="I162" s="6"/>
      <c r="J162" s="6"/>
      <c r="K162" s="6"/>
      <c r="L162" s="6"/>
      <c r="M162" s="6"/>
      <c r="N162" s="6"/>
      <c r="O162" s="6"/>
      <c r="P162" s="6"/>
      <c r="Q162" s="6"/>
      <c r="R162" s="6"/>
      <c r="S162" s="6"/>
      <c r="T162" s="6"/>
      <c r="U162" s="6"/>
      <c r="V162" s="6"/>
      <c r="W162" s="6"/>
      <c r="X162" s="6"/>
      <c r="Y162" s="6"/>
      <c r="Z162" s="6"/>
      <c r="AA162" s="19"/>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row>
    <row r="163">
      <c r="A163" s="6"/>
      <c r="B163" s="6"/>
      <c r="C163" s="18"/>
      <c r="D163" s="6"/>
      <c r="E163" s="6"/>
      <c r="F163" s="6"/>
      <c r="G163" s="6"/>
      <c r="H163" s="6"/>
      <c r="I163" s="6"/>
      <c r="J163" s="6"/>
      <c r="K163" s="6"/>
      <c r="L163" s="6"/>
      <c r="M163" s="6"/>
      <c r="N163" s="6"/>
      <c r="O163" s="6"/>
      <c r="P163" s="6"/>
      <c r="Q163" s="6"/>
      <c r="R163" s="6"/>
      <c r="S163" s="6"/>
      <c r="T163" s="6"/>
      <c r="U163" s="6"/>
      <c r="V163" s="6"/>
      <c r="W163" s="6"/>
      <c r="X163" s="6"/>
      <c r="Y163" s="6"/>
      <c r="Z163" s="6"/>
      <c r="AA163" s="19"/>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row>
    <row r="164">
      <c r="A164" s="6"/>
      <c r="B164" s="6"/>
      <c r="C164" s="18"/>
      <c r="D164" s="6"/>
      <c r="E164" s="6"/>
      <c r="F164" s="6"/>
      <c r="G164" s="6"/>
      <c r="H164" s="6"/>
      <c r="I164" s="6"/>
      <c r="J164" s="6"/>
      <c r="K164" s="6"/>
      <c r="L164" s="6"/>
      <c r="M164" s="6"/>
      <c r="N164" s="6"/>
      <c r="O164" s="6"/>
      <c r="P164" s="6"/>
      <c r="Q164" s="6"/>
      <c r="R164" s="6"/>
      <c r="S164" s="6"/>
      <c r="T164" s="6"/>
      <c r="U164" s="6"/>
      <c r="V164" s="6"/>
      <c r="W164" s="6"/>
      <c r="X164" s="6"/>
      <c r="Y164" s="6"/>
      <c r="Z164" s="6"/>
      <c r="AA164" s="19"/>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row>
    <row r="165">
      <c r="A165" s="6"/>
      <c r="B165" s="6"/>
      <c r="C165" s="18"/>
      <c r="D165" s="6"/>
      <c r="E165" s="6"/>
      <c r="F165" s="6"/>
      <c r="G165" s="6"/>
      <c r="H165" s="6"/>
      <c r="I165" s="6"/>
      <c r="J165" s="6"/>
      <c r="K165" s="6"/>
      <c r="L165" s="6"/>
      <c r="M165" s="6"/>
      <c r="N165" s="6"/>
      <c r="O165" s="6"/>
      <c r="P165" s="6"/>
      <c r="Q165" s="6"/>
      <c r="R165" s="6"/>
      <c r="S165" s="6"/>
      <c r="T165" s="6"/>
      <c r="U165" s="6"/>
      <c r="V165" s="6"/>
      <c r="W165" s="6"/>
      <c r="X165" s="6"/>
      <c r="Y165" s="6"/>
      <c r="Z165" s="6"/>
      <c r="AA165" s="19"/>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row>
    <row r="166">
      <c r="A166" s="6"/>
      <c r="B166" s="6"/>
      <c r="C166" s="18"/>
      <c r="D166" s="6"/>
      <c r="E166" s="6"/>
      <c r="F166" s="6"/>
      <c r="G166" s="6"/>
      <c r="H166" s="6"/>
      <c r="I166" s="6"/>
      <c r="J166" s="6"/>
      <c r="K166" s="6"/>
      <c r="L166" s="6"/>
      <c r="M166" s="6"/>
      <c r="N166" s="6"/>
      <c r="O166" s="6"/>
      <c r="P166" s="6"/>
      <c r="Q166" s="6"/>
      <c r="R166" s="6"/>
      <c r="S166" s="6"/>
      <c r="T166" s="6"/>
      <c r="U166" s="6"/>
      <c r="V166" s="6"/>
      <c r="W166" s="6"/>
      <c r="X166" s="6"/>
      <c r="Y166" s="6"/>
      <c r="Z166" s="6"/>
      <c r="AA166" s="19"/>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row>
    <row r="167">
      <c r="A167" s="6"/>
      <c r="B167" s="6"/>
      <c r="C167" s="18"/>
      <c r="D167" s="6"/>
      <c r="E167" s="6"/>
      <c r="F167" s="6"/>
      <c r="G167" s="6"/>
      <c r="H167" s="6"/>
      <c r="I167" s="6"/>
      <c r="J167" s="6"/>
      <c r="K167" s="6"/>
      <c r="L167" s="6"/>
      <c r="M167" s="6"/>
      <c r="N167" s="6"/>
      <c r="O167" s="6"/>
      <c r="P167" s="6"/>
      <c r="Q167" s="6"/>
      <c r="R167" s="6"/>
      <c r="S167" s="6"/>
      <c r="T167" s="6"/>
      <c r="U167" s="6"/>
      <c r="V167" s="6"/>
      <c r="W167" s="6"/>
      <c r="X167" s="6"/>
      <c r="Y167" s="6"/>
      <c r="Z167" s="6"/>
      <c r="AA167" s="19"/>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row>
    <row r="168">
      <c r="A168" s="6"/>
      <c r="B168" s="6"/>
      <c r="C168" s="18"/>
      <c r="D168" s="6"/>
      <c r="E168" s="6"/>
      <c r="F168" s="6"/>
      <c r="G168" s="6"/>
      <c r="H168" s="6"/>
      <c r="I168" s="6"/>
      <c r="J168" s="6"/>
      <c r="K168" s="6"/>
      <c r="L168" s="6"/>
      <c r="M168" s="6"/>
      <c r="N168" s="6"/>
      <c r="O168" s="6"/>
      <c r="P168" s="6"/>
      <c r="Q168" s="6"/>
      <c r="R168" s="6"/>
      <c r="S168" s="6"/>
      <c r="T168" s="6"/>
      <c r="U168" s="6"/>
      <c r="V168" s="6"/>
      <c r="W168" s="6"/>
      <c r="X168" s="6"/>
      <c r="Y168" s="6"/>
      <c r="Z168" s="6"/>
      <c r="AA168" s="19"/>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row>
    <row r="169">
      <c r="A169" s="6"/>
      <c r="B169" s="6"/>
      <c r="C169" s="18"/>
      <c r="D169" s="6"/>
      <c r="E169" s="6"/>
      <c r="F169" s="6"/>
      <c r="G169" s="6"/>
      <c r="H169" s="6"/>
      <c r="I169" s="6"/>
      <c r="J169" s="6"/>
      <c r="K169" s="6"/>
      <c r="L169" s="6"/>
      <c r="M169" s="6"/>
      <c r="N169" s="6"/>
      <c r="O169" s="6"/>
      <c r="P169" s="6"/>
      <c r="Q169" s="6"/>
      <c r="R169" s="6"/>
      <c r="S169" s="6"/>
      <c r="T169" s="6"/>
      <c r="U169" s="6"/>
      <c r="V169" s="6"/>
      <c r="W169" s="6"/>
      <c r="X169" s="6"/>
      <c r="Y169" s="6"/>
      <c r="Z169" s="6"/>
      <c r="AA169" s="19"/>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row>
    <row r="170">
      <c r="A170" s="6"/>
      <c r="B170" s="6"/>
      <c r="C170" s="18"/>
      <c r="D170" s="6"/>
      <c r="E170" s="6"/>
      <c r="F170" s="6"/>
      <c r="G170" s="6"/>
      <c r="H170" s="6"/>
      <c r="I170" s="6"/>
      <c r="J170" s="6"/>
      <c r="K170" s="6"/>
      <c r="L170" s="6"/>
      <c r="M170" s="6"/>
      <c r="N170" s="6"/>
      <c r="O170" s="6"/>
      <c r="P170" s="6"/>
      <c r="Q170" s="6"/>
      <c r="R170" s="6"/>
      <c r="S170" s="6"/>
      <c r="T170" s="6"/>
      <c r="U170" s="6"/>
      <c r="V170" s="6"/>
      <c r="W170" s="6"/>
      <c r="X170" s="6"/>
      <c r="Y170" s="6"/>
      <c r="Z170" s="6"/>
      <c r="AA170" s="19"/>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row>
    <row r="171">
      <c r="A171" s="6"/>
      <c r="B171" s="6"/>
      <c r="C171" s="18"/>
      <c r="D171" s="6"/>
      <c r="E171" s="6"/>
      <c r="F171" s="6"/>
      <c r="G171" s="6"/>
      <c r="H171" s="6"/>
      <c r="I171" s="6"/>
      <c r="J171" s="6"/>
      <c r="K171" s="6"/>
      <c r="L171" s="6"/>
      <c r="M171" s="6"/>
      <c r="N171" s="6"/>
      <c r="O171" s="6"/>
      <c r="P171" s="6"/>
      <c r="Q171" s="6"/>
      <c r="R171" s="6"/>
      <c r="S171" s="6"/>
      <c r="T171" s="6"/>
      <c r="U171" s="6"/>
      <c r="V171" s="6"/>
      <c r="W171" s="6"/>
      <c r="X171" s="6"/>
      <c r="Y171" s="6"/>
      <c r="Z171" s="6"/>
      <c r="AA171" s="19"/>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row>
    <row r="172">
      <c r="A172" s="6"/>
      <c r="B172" s="6"/>
      <c r="C172" s="18"/>
      <c r="D172" s="6"/>
      <c r="E172" s="6"/>
      <c r="F172" s="6"/>
      <c r="G172" s="6"/>
      <c r="H172" s="6"/>
      <c r="I172" s="6"/>
      <c r="J172" s="6"/>
      <c r="K172" s="6"/>
      <c r="L172" s="6"/>
      <c r="M172" s="6"/>
      <c r="N172" s="6"/>
      <c r="O172" s="6"/>
      <c r="P172" s="6"/>
      <c r="Q172" s="6"/>
      <c r="R172" s="6"/>
      <c r="S172" s="6"/>
      <c r="T172" s="6"/>
      <c r="U172" s="6"/>
      <c r="V172" s="6"/>
      <c r="W172" s="6"/>
      <c r="X172" s="6"/>
      <c r="Y172" s="6"/>
      <c r="Z172" s="6"/>
      <c r="AA172" s="19"/>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row>
    <row r="173">
      <c r="A173" s="6"/>
      <c r="B173" s="6"/>
      <c r="C173" s="18"/>
      <c r="D173" s="6"/>
      <c r="E173" s="6"/>
      <c r="F173" s="6"/>
      <c r="G173" s="6"/>
      <c r="H173" s="6"/>
      <c r="I173" s="6"/>
      <c r="J173" s="6"/>
      <c r="K173" s="6"/>
      <c r="L173" s="6"/>
      <c r="M173" s="6"/>
      <c r="N173" s="6"/>
      <c r="O173" s="6"/>
      <c r="P173" s="6"/>
      <c r="Q173" s="6"/>
      <c r="R173" s="6"/>
      <c r="S173" s="6"/>
      <c r="T173" s="6"/>
      <c r="U173" s="6"/>
      <c r="V173" s="6"/>
      <c r="W173" s="6"/>
      <c r="X173" s="6"/>
      <c r="Y173" s="6"/>
      <c r="Z173" s="6"/>
      <c r="AA173" s="19"/>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row>
    <row r="174">
      <c r="A174" s="6"/>
      <c r="B174" s="6"/>
      <c r="C174" s="18"/>
      <c r="D174" s="6"/>
      <c r="E174" s="6"/>
      <c r="F174" s="6"/>
      <c r="G174" s="6"/>
      <c r="H174" s="6"/>
      <c r="I174" s="6"/>
      <c r="J174" s="6"/>
      <c r="K174" s="6"/>
      <c r="L174" s="6"/>
      <c r="M174" s="6"/>
      <c r="N174" s="6"/>
      <c r="O174" s="6"/>
      <c r="P174" s="6"/>
      <c r="Q174" s="6"/>
      <c r="R174" s="6"/>
      <c r="S174" s="6"/>
      <c r="T174" s="6"/>
      <c r="U174" s="6"/>
      <c r="V174" s="6"/>
      <c r="W174" s="6"/>
      <c r="X174" s="6"/>
      <c r="Y174" s="6"/>
      <c r="Z174" s="6"/>
      <c r="AA174" s="19"/>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row>
    <row r="175">
      <c r="A175" s="6"/>
      <c r="B175" s="6"/>
      <c r="C175" s="18"/>
      <c r="D175" s="6"/>
      <c r="E175" s="6"/>
      <c r="F175" s="6"/>
      <c r="G175" s="6"/>
      <c r="H175" s="6"/>
      <c r="I175" s="6"/>
      <c r="J175" s="6"/>
      <c r="K175" s="6"/>
      <c r="L175" s="6"/>
      <c r="M175" s="6"/>
      <c r="N175" s="6"/>
      <c r="O175" s="6"/>
      <c r="P175" s="6"/>
      <c r="Q175" s="6"/>
      <c r="R175" s="6"/>
      <c r="S175" s="6"/>
      <c r="T175" s="6"/>
      <c r="U175" s="6"/>
      <c r="V175" s="6"/>
      <c r="W175" s="6"/>
      <c r="X175" s="6"/>
      <c r="Y175" s="6"/>
      <c r="Z175" s="6"/>
      <c r="AA175" s="19"/>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row>
    <row r="176">
      <c r="A176" s="6"/>
      <c r="B176" s="6"/>
      <c r="C176" s="18"/>
      <c r="D176" s="6"/>
      <c r="E176" s="6"/>
      <c r="F176" s="6"/>
      <c r="G176" s="6"/>
      <c r="H176" s="6"/>
      <c r="I176" s="6"/>
      <c r="J176" s="6"/>
      <c r="K176" s="6"/>
      <c r="L176" s="6"/>
      <c r="M176" s="6"/>
      <c r="N176" s="6"/>
      <c r="O176" s="6"/>
      <c r="P176" s="6"/>
      <c r="Q176" s="6"/>
      <c r="R176" s="6"/>
      <c r="S176" s="6"/>
      <c r="T176" s="6"/>
      <c r="U176" s="6"/>
      <c r="V176" s="6"/>
      <c r="W176" s="6"/>
      <c r="X176" s="6"/>
      <c r="Y176" s="6"/>
      <c r="Z176" s="6"/>
      <c r="AA176" s="19"/>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row>
    <row r="177">
      <c r="A177" s="6"/>
      <c r="B177" s="6"/>
      <c r="C177" s="18"/>
      <c r="D177" s="6"/>
      <c r="E177" s="6"/>
      <c r="F177" s="6"/>
      <c r="G177" s="6"/>
      <c r="H177" s="6"/>
      <c r="I177" s="6"/>
      <c r="J177" s="6"/>
      <c r="K177" s="6"/>
      <c r="L177" s="6"/>
      <c r="M177" s="6"/>
      <c r="N177" s="6"/>
      <c r="O177" s="6"/>
      <c r="P177" s="6"/>
      <c r="Q177" s="6"/>
      <c r="R177" s="6"/>
      <c r="S177" s="6"/>
      <c r="T177" s="6"/>
      <c r="U177" s="6"/>
      <c r="V177" s="6"/>
      <c r="W177" s="6"/>
      <c r="X177" s="6"/>
      <c r="Y177" s="6"/>
      <c r="Z177" s="6"/>
      <c r="AA177" s="19"/>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row>
    <row r="178">
      <c r="A178" s="6"/>
      <c r="B178" s="6"/>
      <c r="C178" s="18"/>
      <c r="D178" s="6"/>
      <c r="E178" s="6"/>
      <c r="F178" s="6"/>
      <c r="G178" s="6"/>
      <c r="H178" s="6"/>
      <c r="I178" s="6"/>
      <c r="J178" s="6"/>
      <c r="K178" s="6"/>
      <c r="L178" s="6"/>
      <c r="M178" s="6"/>
      <c r="N178" s="6"/>
      <c r="O178" s="6"/>
      <c r="P178" s="6"/>
      <c r="Q178" s="6"/>
      <c r="R178" s="6"/>
      <c r="S178" s="6"/>
      <c r="T178" s="6"/>
      <c r="U178" s="6"/>
      <c r="V178" s="6"/>
      <c r="W178" s="6"/>
      <c r="X178" s="6"/>
      <c r="Y178" s="6"/>
      <c r="Z178" s="6"/>
      <c r="AA178" s="19"/>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row>
    <row r="179">
      <c r="A179" s="6"/>
      <c r="B179" s="6"/>
      <c r="C179" s="18"/>
      <c r="D179" s="6"/>
      <c r="E179" s="6"/>
      <c r="F179" s="6"/>
      <c r="G179" s="6"/>
      <c r="H179" s="6"/>
      <c r="I179" s="6"/>
      <c r="J179" s="6"/>
      <c r="K179" s="6"/>
      <c r="L179" s="6"/>
      <c r="M179" s="6"/>
      <c r="N179" s="6"/>
      <c r="O179" s="6"/>
      <c r="P179" s="6"/>
      <c r="Q179" s="6"/>
      <c r="R179" s="6"/>
      <c r="S179" s="6"/>
      <c r="T179" s="6"/>
      <c r="U179" s="6"/>
      <c r="V179" s="6"/>
      <c r="W179" s="6"/>
      <c r="X179" s="6"/>
      <c r="Y179" s="6"/>
      <c r="Z179" s="6"/>
      <c r="AA179" s="19"/>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row>
    <row r="180">
      <c r="A180" s="6"/>
      <c r="B180" s="6"/>
      <c r="C180" s="18"/>
      <c r="D180" s="6"/>
      <c r="E180" s="6"/>
      <c r="F180" s="6"/>
      <c r="G180" s="6"/>
      <c r="H180" s="6"/>
      <c r="I180" s="6"/>
      <c r="J180" s="6"/>
      <c r="K180" s="6"/>
      <c r="L180" s="6"/>
      <c r="M180" s="6"/>
      <c r="N180" s="6"/>
      <c r="O180" s="6"/>
      <c r="P180" s="6"/>
      <c r="Q180" s="6"/>
      <c r="R180" s="6"/>
      <c r="S180" s="6"/>
      <c r="T180" s="6"/>
      <c r="U180" s="6"/>
      <c r="V180" s="6"/>
      <c r="W180" s="6"/>
      <c r="X180" s="6"/>
      <c r="Y180" s="6"/>
      <c r="Z180" s="6"/>
      <c r="AA180" s="19"/>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row>
    <row r="181">
      <c r="A181" s="6"/>
      <c r="B181" s="6"/>
      <c r="C181" s="18"/>
      <c r="D181" s="6"/>
      <c r="E181" s="6"/>
      <c r="F181" s="6"/>
      <c r="G181" s="6"/>
      <c r="H181" s="6"/>
      <c r="I181" s="6"/>
      <c r="J181" s="6"/>
      <c r="K181" s="6"/>
      <c r="L181" s="6"/>
      <c r="M181" s="6"/>
      <c r="N181" s="6"/>
      <c r="O181" s="6"/>
      <c r="P181" s="6"/>
      <c r="Q181" s="6"/>
      <c r="R181" s="6"/>
      <c r="S181" s="6"/>
      <c r="T181" s="6"/>
      <c r="U181" s="6"/>
      <c r="V181" s="6"/>
      <c r="W181" s="6"/>
      <c r="X181" s="6"/>
      <c r="Y181" s="6"/>
      <c r="Z181" s="6"/>
      <c r="AA181" s="19"/>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row>
    <row r="182">
      <c r="A182" s="6"/>
      <c r="B182" s="6"/>
      <c r="C182" s="18"/>
      <c r="D182" s="6"/>
      <c r="E182" s="6"/>
      <c r="F182" s="6"/>
      <c r="G182" s="6"/>
      <c r="H182" s="6"/>
      <c r="I182" s="6"/>
      <c r="J182" s="6"/>
      <c r="K182" s="6"/>
      <c r="L182" s="6"/>
      <c r="M182" s="6"/>
      <c r="N182" s="6"/>
      <c r="O182" s="6"/>
      <c r="P182" s="6"/>
      <c r="Q182" s="6"/>
      <c r="R182" s="6"/>
      <c r="S182" s="6"/>
      <c r="T182" s="6"/>
      <c r="U182" s="6"/>
      <c r="V182" s="6"/>
      <c r="W182" s="6"/>
      <c r="X182" s="6"/>
      <c r="Y182" s="6"/>
      <c r="Z182" s="6"/>
      <c r="AA182" s="19"/>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row>
    <row r="183">
      <c r="A183" s="6"/>
      <c r="B183" s="6"/>
      <c r="C183" s="18"/>
      <c r="D183" s="6"/>
      <c r="E183" s="6"/>
      <c r="F183" s="6"/>
      <c r="G183" s="6"/>
      <c r="H183" s="6"/>
      <c r="I183" s="6"/>
      <c r="J183" s="6"/>
      <c r="K183" s="6"/>
      <c r="L183" s="6"/>
      <c r="M183" s="6"/>
      <c r="N183" s="6"/>
      <c r="O183" s="6"/>
      <c r="P183" s="6"/>
      <c r="Q183" s="6"/>
      <c r="R183" s="6"/>
      <c r="S183" s="6"/>
      <c r="T183" s="6"/>
      <c r="U183" s="6"/>
      <c r="V183" s="6"/>
      <c r="W183" s="6"/>
      <c r="X183" s="6"/>
      <c r="Y183" s="6"/>
      <c r="Z183" s="6"/>
      <c r="AA183" s="19"/>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row>
    <row r="184">
      <c r="A184" s="6"/>
      <c r="B184" s="6"/>
      <c r="C184" s="18"/>
      <c r="D184" s="6"/>
      <c r="E184" s="6"/>
      <c r="F184" s="6"/>
      <c r="G184" s="6"/>
      <c r="H184" s="6"/>
      <c r="I184" s="6"/>
      <c r="J184" s="6"/>
      <c r="K184" s="6"/>
      <c r="L184" s="6"/>
      <c r="M184" s="6"/>
      <c r="N184" s="6"/>
      <c r="O184" s="6"/>
      <c r="P184" s="6"/>
      <c r="Q184" s="6"/>
      <c r="R184" s="6"/>
      <c r="S184" s="6"/>
      <c r="T184" s="6"/>
      <c r="U184" s="6"/>
      <c r="V184" s="6"/>
      <c r="W184" s="6"/>
      <c r="X184" s="6"/>
      <c r="Y184" s="6"/>
      <c r="Z184" s="6"/>
      <c r="AA184" s="19"/>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row>
    <row r="185">
      <c r="A185" s="6"/>
      <c r="B185" s="6"/>
      <c r="C185" s="18"/>
      <c r="D185" s="6"/>
      <c r="E185" s="6"/>
      <c r="F185" s="6"/>
      <c r="G185" s="6"/>
      <c r="H185" s="6"/>
      <c r="I185" s="6"/>
      <c r="J185" s="6"/>
      <c r="K185" s="6"/>
      <c r="L185" s="6"/>
      <c r="M185" s="6"/>
      <c r="N185" s="6"/>
      <c r="O185" s="6"/>
      <c r="P185" s="6"/>
      <c r="Q185" s="6"/>
      <c r="R185" s="6"/>
      <c r="S185" s="6"/>
      <c r="T185" s="6"/>
      <c r="U185" s="6"/>
      <c r="V185" s="6"/>
      <c r="W185" s="6"/>
      <c r="X185" s="6"/>
      <c r="Y185" s="6"/>
      <c r="Z185" s="6"/>
      <c r="AA185" s="19"/>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row>
    <row r="186">
      <c r="A186" s="6"/>
      <c r="B186" s="6"/>
      <c r="C186" s="18"/>
      <c r="D186" s="6"/>
      <c r="E186" s="6"/>
      <c r="F186" s="6"/>
      <c r="G186" s="6"/>
      <c r="H186" s="6"/>
      <c r="I186" s="6"/>
      <c r="J186" s="6"/>
      <c r="K186" s="6"/>
      <c r="L186" s="6"/>
      <c r="M186" s="6"/>
      <c r="N186" s="6"/>
      <c r="O186" s="6"/>
      <c r="P186" s="6"/>
      <c r="Q186" s="6"/>
      <c r="R186" s="6"/>
      <c r="S186" s="6"/>
      <c r="T186" s="6"/>
      <c r="U186" s="6"/>
      <c r="V186" s="6"/>
      <c r="W186" s="6"/>
      <c r="X186" s="6"/>
      <c r="Y186" s="6"/>
      <c r="Z186" s="6"/>
      <c r="AA186" s="19"/>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row>
    <row r="187">
      <c r="A187" s="6"/>
      <c r="B187" s="6"/>
      <c r="C187" s="18"/>
      <c r="D187" s="6"/>
      <c r="E187" s="6"/>
      <c r="F187" s="6"/>
      <c r="G187" s="6"/>
      <c r="H187" s="6"/>
      <c r="I187" s="6"/>
      <c r="J187" s="6"/>
      <c r="K187" s="6"/>
      <c r="L187" s="6"/>
      <c r="M187" s="6"/>
      <c r="N187" s="6"/>
      <c r="O187" s="6"/>
      <c r="P187" s="6"/>
      <c r="Q187" s="6"/>
      <c r="R187" s="6"/>
      <c r="S187" s="6"/>
      <c r="T187" s="6"/>
      <c r="U187" s="6"/>
      <c r="V187" s="6"/>
      <c r="W187" s="6"/>
      <c r="X187" s="6"/>
      <c r="Y187" s="6"/>
      <c r="Z187" s="6"/>
      <c r="AA187" s="19"/>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row>
    <row r="188">
      <c r="A188" s="6"/>
      <c r="B188" s="6"/>
      <c r="C188" s="18"/>
      <c r="D188" s="6"/>
      <c r="E188" s="6"/>
      <c r="F188" s="6"/>
      <c r="G188" s="6"/>
      <c r="H188" s="6"/>
      <c r="I188" s="6"/>
      <c r="J188" s="6"/>
      <c r="K188" s="6"/>
      <c r="L188" s="6"/>
      <c r="M188" s="6"/>
      <c r="N188" s="6"/>
      <c r="O188" s="6"/>
      <c r="P188" s="6"/>
      <c r="Q188" s="6"/>
      <c r="R188" s="6"/>
      <c r="S188" s="6"/>
      <c r="T188" s="6"/>
      <c r="U188" s="6"/>
      <c r="V188" s="6"/>
      <c r="W188" s="6"/>
      <c r="X188" s="6"/>
      <c r="Y188" s="6"/>
      <c r="Z188" s="6"/>
      <c r="AA188" s="19"/>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row>
    <row r="189">
      <c r="A189" s="6"/>
      <c r="B189" s="6"/>
      <c r="C189" s="18"/>
      <c r="D189" s="6"/>
      <c r="E189" s="6"/>
      <c r="F189" s="6"/>
      <c r="G189" s="6"/>
      <c r="H189" s="6"/>
      <c r="I189" s="6"/>
      <c r="J189" s="6"/>
      <c r="K189" s="6"/>
      <c r="L189" s="6"/>
      <c r="M189" s="6"/>
      <c r="N189" s="6"/>
      <c r="O189" s="6"/>
      <c r="P189" s="6"/>
      <c r="Q189" s="6"/>
      <c r="R189" s="6"/>
      <c r="S189" s="6"/>
      <c r="T189" s="6"/>
      <c r="U189" s="6"/>
      <c r="V189" s="6"/>
      <c r="W189" s="6"/>
      <c r="X189" s="6"/>
      <c r="Y189" s="6"/>
      <c r="Z189" s="6"/>
      <c r="AA189" s="19"/>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row>
    <row r="190">
      <c r="A190" s="6"/>
      <c r="B190" s="6"/>
      <c r="C190" s="18"/>
      <c r="D190" s="6"/>
      <c r="E190" s="6"/>
      <c r="F190" s="6"/>
      <c r="G190" s="6"/>
      <c r="H190" s="6"/>
      <c r="I190" s="6"/>
      <c r="J190" s="6"/>
      <c r="K190" s="6"/>
      <c r="L190" s="6"/>
      <c r="M190" s="6"/>
      <c r="N190" s="6"/>
      <c r="O190" s="6"/>
      <c r="P190" s="6"/>
      <c r="Q190" s="6"/>
      <c r="R190" s="6"/>
      <c r="S190" s="6"/>
      <c r="T190" s="6"/>
      <c r="U190" s="6"/>
      <c r="V190" s="6"/>
      <c r="W190" s="6"/>
      <c r="X190" s="6"/>
      <c r="Y190" s="6"/>
      <c r="Z190" s="6"/>
      <c r="AA190" s="19"/>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row>
    <row r="191">
      <c r="A191" s="6"/>
      <c r="B191" s="6"/>
      <c r="C191" s="18"/>
      <c r="D191" s="6"/>
      <c r="E191" s="6"/>
      <c r="F191" s="6"/>
      <c r="G191" s="6"/>
      <c r="H191" s="6"/>
      <c r="I191" s="6"/>
      <c r="J191" s="6"/>
      <c r="K191" s="6"/>
      <c r="L191" s="6"/>
      <c r="M191" s="6"/>
      <c r="N191" s="6"/>
      <c r="O191" s="6"/>
      <c r="P191" s="6"/>
      <c r="Q191" s="6"/>
      <c r="R191" s="6"/>
      <c r="S191" s="6"/>
      <c r="T191" s="6"/>
      <c r="U191" s="6"/>
      <c r="V191" s="6"/>
      <c r="W191" s="6"/>
      <c r="X191" s="6"/>
      <c r="Y191" s="6"/>
      <c r="Z191" s="6"/>
      <c r="AA191" s="19"/>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row>
    <row r="192">
      <c r="A192" s="6"/>
      <c r="B192" s="6"/>
      <c r="C192" s="18"/>
      <c r="D192" s="6"/>
      <c r="E192" s="6"/>
      <c r="F192" s="6"/>
      <c r="G192" s="6"/>
      <c r="H192" s="6"/>
      <c r="I192" s="6"/>
      <c r="J192" s="6"/>
      <c r="K192" s="6"/>
      <c r="L192" s="6"/>
      <c r="M192" s="6"/>
      <c r="N192" s="6"/>
      <c r="O192" s="6"/>
      <c r="P192" s="6"/>
      <c r="Q192" s="6"/>
      <c r="R192" s="6"/>
      <c r="S192" s="6"/>
      <c r="T192" s="6"/>
      <c r="U192" s="6"/>
      <c r="V192" s="6"/>
      <c r="W192" s="6"/>
      <c r="X192" s="6"/>
      <c r="Y192" s="6"/>
      <c r="Z192" s="6"/>
      <c r="AA192" s="19"/>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row>
    <row r="193">
      <c r="A193" s="6"/>
      <c r="B193" s="6"/>
      <c r="C193" s="18"/>
      <c r="D193" s="6"/>
      <c r="E193" s="6"/>
      <c r="F193" s="6"/>
      <c r="G193" s="6"/>
      <c r="H193" s="6"/>
      <c r="I193" s="6"/>
      <c r="J193" s="6"/>
      <c r="K193" s="6"/>
      <c r="L193" s="6"/>
      <c r="M193" s="6"/>
      <c r="N193" s="6"/>
      <c r="O193" s="6"/>
      <c r="P193" s="6"/>
      <c r="Q193" s="6"/>
      <c r="R193" s="6"/>
      <c r="S193" s="6"/>
      <c r="T193" s="6"/>
      <c r="U193" s="6"/>
      <c r="V193" s="6"/>
      <c r="W193" s="6"/>
      <c r="X193" s="6"/>
      <c r="Y193" s="6"/>
      <c r="Z193" s="6"/>
      <c r="AA193" s="19"/>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row>
    <row r="194">
      <c r="A194" s="6"/>
      <c r="B194" s="6"/>
      <c r="C194" s="18"/>
      <c r="D194" s="6"/>
      <c r="E194" s="6"/>
      <c r="F194" s="6"/>
      <c r="G194" s="6"/>
      <c r="H194" s="6"/>
      <c r="I194" s="6"/>
      <c r="J194" s="6"/>
      <c r="K194" s="6"/>
      <c r="L194" s="6"/>
      <c r="M194" s="6"/>
      <c r="N194" s="6"/>
      <c r="O194" s="6"/>
      <c r="P194" s="6"/>
      <c r="Q194" s="6"/>
      <c r="R194" s="6"/>
      <c r="S194" s="6"/>
      <c r="T194" s="6"/>
      <c r="U194" s="6"/>
      <c r="V194" s="6"/>
      <c r="W194" s="6"/>
      <c r="X194" s="6"/>
      <c r="Y194" s="6"/>
      <c r="Z194" s="6"/>
      <c r="AA194" s="19"/>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row>
    <row r="195">
      <c r="A195" s="6"/>
      <c r="B195" s="6"/>
      <c r="C195" s="18"/>
      <c r="D195" s="6"/>
      <c r="E195" s="6"/>
      <c r="F195" s="6"/>
      <c r="G195" s="6"/>
      <c r="H195" s="6"/>
      <c r="I195" s="6"/>
      <c r="J195" s="6"/>
      <c r="K195" s="6"/>
      <c r="L195" s="6"/>
      <c r="M195" s="6"/>
      <c r="N195" s="6"/>
      <c r="O195" s="6"/>
      <c r="P195" s="6"/>
      <c r="Q195" s="6"/>
      <c r="R195" s="6"/>
      <c r="S195" s="6"/>
      <c r="T195" s="6"/>
      <c r="U195" s="6"/>
      <c r="V195" s="6"/>
      <c r="W195" s="6"/>
      <c r="X195" s="6"/>
      <c r="Y195" s="6"/>
      <c r="Z195" s="6"/>
      <c r="AA195" s="19"/>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row>
    <row r="196">
      <c r="A196" s="6"/>
      <c r="B196" s="6"/>
      <c r="C196" s="18"/>
      <c r="D196" s="6"/>
      <c r="E196" s="6"/>
      <c r="F196" s="6"/>
      <c r="G196" s="6"/>
      <c r="H196" s="6"/>
      <c r="I196" s="6"/>
      <c r="J196" s="6"/>
      <c r="K196" s="6"/>
      <c r="L196" s="6"/>
      <c r="M196" s="6"/>
      <c r="N196" s="6"/>
      <c r="O196" s="6"/>
      <c r="P196" s="6"/>
      <c r="Q196" s="6"/>
      <c r="R196" s="6"/>
      <c r="S196" s="6"/>
      <c r="T196" s="6"/>
      <c r="U196" s="6"/>
      <c r="V196" s="6"/>
      <c r="W196" s="6"/>
      <c r="X196" s="6"/>
      <c r="Y196" s="6"/>
      <c r="Z196" s="6"/>
      <c r="AA196" s="19"/>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row>
    <row r="197">
      <c r="A197" s="6"/>
      <c r="B197" s="6"/>
      <c r="C197" s="18"/>
      <c r="D197" s="6"/>
      <c r="E197" s="6"/>
      <c r="F197" s="6"/>
      <c r="G197" s="6"/>
      <c r="H197" s="6"/>
      <c r="I197" s="6"/>
      <c r="J197" s="6"/>
      <c r="K197" s="6"/>
      <c r="L197" s="6"/>
      <c r="M197" s="6"/>
      <c r="N197" s="6"/>
      <c r="O197" s="6"/>
      <c r="P197" s="6"/>
      <c r="Q197" s="6"/>
      <c r="R197" s="6"/>
      <c r="S197" s="6"/>
      <c r="T197" s="6"/>
      <c r="U197" s="6"/>
      <c r="V197" s="6"/>
      <c r="W197" s="6"/>
      <c r="X197" s="6"/>
      <c r="Y197" s="6"/>
      <c r="Z197" s="6"/>
      <c r="AA197" s="19"/>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row>
    <row r="198">
      <c r="A198" s="6"/>
      <c r="B198" s="6"/>
      <c r="C198" s="18"/>
      <c r="D198" s="6"/>
      <c r="E198" s="6"/>
      <c r="F198" s="6"/>
      <c r="G198" s="6"/>
      <c r="H198" s="6"/>
      <c r="I198" s="6"/>
      <c r="J198" s="6"/>
      <c r="K198" s="6"/>
      <c r="L198" s="6"/>
      <c r="M198" s="6"/>
      <c r="N198" s="6"/>
      <c r="O198" s="6"/>
      <c r="P198" s="6"/>
      <c r="Q198" s="6"/>
      <c r="R198" s="6"/>
      <c r="S198" s="6"/>
      <c r="T198" s="6"/>
      <c r="U198" s="6"/>
      <c r="V198" s="6"/>
      <c r="W198" s="6"/>
      <c r="X198" s="6"/>
      <c r="Y198" s="6"/>
      <c r="Z198" s="6"/>
      <c r="AA198" s="19"/>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row>
    <row r="199">
      <c r="A199" s="6"/>
      <c r="B199" s="6"/>
      <c r="C199" s="18"/>
      <c r="D199" s="6"/>
      <c r="E199" s="6"/>
      <c r="F199" s="6"/>
      <c r="G199" s="6"/>
      <c r="H199" s="6"/>
      <c r="I199" s="6"/>
      <c r="J199" s="6"/>
      <c r="K199" s="6"/>
      <c r="L199" s="6"/>
      <c r="M199" s="6"/>
      <c r="N199" s="6"/>
      <c r="O199" s="6"/>
      <c r="P199" s="6"/>
      <c r="Q199" s="6"/>
      <c r="R199" s="6"/>
      <c r="S199" s="6"/>
      <c r="T199" s="6"/>
      <c r="U199" s="6"/>
      <c r="V199" s="6"/>
      <c r="W199" s="6"/>
      <c r="X199" s="6"/>
      <c r="Y199" s="6"/>
      <c r="Z199" s="6"/>
      <c r="AA199" s="19"/>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row>
    <row r="200">
      <c r="A200" s="6"/>
      <c r="B200" s="6"/>
      <c r="C200" s="18"/>
      <c r="D200" s="6"/>
      <c r="E200" s="6"/>
      <c r="F200" s="6"/>
      <c r="G200" s="6"/>
      <c r="H200" s="6"/>
      <c r="I200" s="6"/>
      <c r="J200" s="6"/>
      <c r="K200" s="6"/>
      <c r="L200" s="6"/>
      <c r="M200" s="6"/>
      <c r="N200" s="6"/>
      <c r="O200" s="6"/>
      <c r="P200" s="6"/>
      <c r="Q200" s="6"/>
      <c r="R200" s="6"/>
      <c r="S200" s="6"/>
      <c r="T200" s="6"/>
      <c r="U200" s="6"/>
      <c r="V200" s="6"/>
      <c r="W200" s="6"/>
      <c r="X200" s="6"/>
      <c r="Y200" s="6"/>
      <c r="Z200" s="6"/>
      <c r="AA200" s="19"/>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row>
    <row r="201">
      <c r="A201" s="6"/>
      <c r="B201" s="6"/>
      <c r="C201" s="18"/>
      <c r="D201" s="6"/>
      <c r="E201" s="6"/>
      <c r="F201" s="6"/>
      <c r="G201" s="6"/>
      <c r="H201" s="6"/>
      <c r="I201" s="6"/>
      <c r="J201" s="6"/>
      <c r="K201" s="6"/>
      <c r="L201" s="6"/>
      <c r="M201" s="6"/>
      <c r="N201" s="6"/>
      <c r="O201" s="6"/>
      <c r="P201" s="6"/>
      <c r="Q201" s="6"/>
      <c r="R201" s="6"/>
      <c r="S201" s="6"/>
      <c r="T201" s="6"/>
      <c r="U201" s="6"/>
      <c r="V201" s="6"/>
      <c r="W201" s="6"/>
      <c r="X201" s="6"/>
      <c r="Y201" s="6"/>
      <c r="Z201" s="6"/>
      <c r="AA201" s="19"/>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row>
    <row r="202">
      <c r="A202" s="6"/>
      <c r="B202" s="6"/>
      <c r="C202" s="18"/>
      <c r="D202" s="6"/>
      <c r="E202" s="6"/>
      <c r="F202" s="6"/>
      <c r="G202" s="6"/>
      <c r="H202" s="6"/>
      <c r="I202" s="6"/>
      <c r="J202" s="6"/>
      <c r="K202" s="6"/>
      <c r="L202" s="6"/>
      <c r="M202" s="6"/>
      <c r="N202" s="6"/>
      <c r="O202" s="6"/>
      <c r="P202" s="6"/>
      <c r="Q202" s="6"/>
      <c r="R202" s="6"/>
      <c r="S202" s="6"/>
      <c r="T202" s="6"/>
      <c r="U202" s="6"/>
      <c r="V202" s="6"/>
      <c r="W202" s="6"/>
      <c r="X202" s="6"/>
      <c r="Y202" s="6"/>
      <c r="Z202" s="6"/>
      <c r="AA202" s="19"/>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row>
    <row r="203">
      <c r="A203" s="6"/>
      <c r="B203" s="6"/>
      <c r="C203" s="18"/>
      <c r="D203" s="6"/>
      <c r="E203" s="6"/>
      <c r="F203" s="6"/>
      <c r="G203" s="6"/>
      <c r="H203" s="6"/>
      <c r="I203" s="6"/>
      <c r="J203" s="6"/>
      <c r="K203" s="6"/>
      <c r="L203" s="6"/>
      <c r="M203" s="6"/>
      <c r="N203" s="6"/>
      <c r="O203" s="6"/>
      <c r="P203" s="6"/>
      <c r="Q203" s="6"/>
      <c r="R203" s="6"/>
      <c r="S203" s="6"/>
      <c r="T203" s="6"/>
      <c r="U203" s="6"/>
      <c r="V203" s="6"/>
      <c r="W203" s="6"/>
      <c r="X203" s="6"/>
      <c r="Y203" s="6"/>
      <c r="Z203" s="6"/>
      <c r="AA203" s="19"/>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row>
    <row r="204">
      <c r="A204" s="6"/>
      <c r="B204" s="6"/>
      <c r="C204" s="18"/>
      <c r="D204" s="6"/>
      <c r="E204" s="6"/>
      <c r="F204" s="6"/>
      <c r="G204" s="6"/>
      <c r="H204" s="6"/>
      <c r="I204" s="6"/>
      <c r="J204" s="6"/>
      <c r="K204" s="6"/>
      <c r="L204" s="6"/>
      <c r="M204" s="6"/>
      <c r="N204" s="6"/>
      <c r="O204" s="6"/>
      <c r="P204" s="6"/>
      <c r="Q204" s="6"/>
      <c r="R204" s="6"/>
      <c r="S204" s="6"/>
      <c r="T204" s="6"/>
      <c r="U204" s="6"/>
      <c r="V204" s="6"/>
      <c r="W204" s="6"/>
      <c r="X204" s="6"/>
      <c r="Y204" s="6"/>
      <c r="Z204" s="6"/>
      <c r="AA204" s="19"/>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row>
    <row r="205">
      <c r="A205" s="6"/>
      <c r="B205" s="6"/>
      <c r="C205" s="18"/>
      <c r="D205" s="6"/>
      <c r="E205" s="6"/>
      <c r="F205" s="6"/>
      <c r="G205" s="6"/>
      <c r="H205" s="6"/>
      <c r="I205" s="6"/>
      <c r="J205" s="6"/>
      <c r="K205" s="6"/>
      <c r="L205" s="6"/>
      <c r="M205" s="6"/>
      <c r="N205" s="6"/>
      <c r="O205" s="6"/>
      <c r="P205" s="6"/>
      <c r="Q205" s="6"/>
      <c r="R205" s="6"/>
      <c r="S205" s="6"/>
      <c r="T205" s="6"/>
      <c r="U205" s="6"/>
      <c r="V205" s="6"/>
      <c r="W205" s="6"/>
      <c r="X205" s="6"/>
      <c r="Y205" s="6"/>
      <c r="Z205" s="6"/>
      <c r="AA205" s="19"/>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row>
    <row r="206">
      <c r="A206" s="6"/>
      <c r="B206" s="6"/>
      <c r="C206" s="18"/>
      <c r="D206" s="6"/>
      <c r="E206" s="6"/>
      <c r="F206" s="6"/>
      <c r="G206" s="6"/>
      <c r="H206" s="6"/>
      <c r="I206" s="6"/>
      <c r="J206" s="6"/>
      <c r="K206" s="6"/>
      <c r="L206" s="6"/>
      <c r="M206" s="6"/>
      <c r="N206" s="6"/>
      <c r="O206" s="6"/>
      <c r="P206" s="6"/>
      <c r="Q206" s="6"/>
      <c r="R206" s="6"/>
      <c r="S206" s="6"/>
      <c r="T206" s="6"/>
      <c r="U206" s="6"/>
      <c r="V206" s="6"/>
      <c r="W206" s="6"/>
      <c r="X206" s="6"/>
      <c r="Y206" s="6"/>
      <c r="Z206" s="6"/>
      <c r="AA206" s="19"/>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row>
    <row r="207">
      <c r="A207" s="6"/>
      <c r="B207" s="6"/>
      <c r="C207" s="18"/>
      <c r="D207" s="6"/>
      <c r="E207" s="6"/>
      <c r="F207" s="6"/>
      <c r="G207" s="6"/>
      <c r="H207" s="6"/>
      <c r="I207" s="6"/>
      <c r="J207" s="6"/>
      <c r="K207" s="6"/>
      <c r="L207" s="6"/>
      <c r="M207" s="6"/>
      <c r="N207" s="6"/>
      <c r="O207" s="6"/>
      <c r="P207" s="6"/>
      <c r="Q207" s="6"/>
      <c r="R207" s="6"/>
      <c r="S207" s="6"/>
      <c r="T207" s="6"/>
      <c r="U207" s="6"/>
      <c r="V207" s="6"/>
      <c r="W207" s="6"/>
      <c r="X207" s="6"/>
      <c r="Y207" s="6"/>
      <c r="Z207" s="6"/>
      <c r="AA207" s="19"/>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row>
    <row r="208">
      <c r="A208" s="6"/>
      <c r="B208" s="6"/>
      <c r="C208" s="18"/>
      <c r="D208" s="6"/>
      <c r="E208" s="6"/>
      <c r="F208" s="6"/>
      <c r="G208" s="6"/>
      <c r="H208" s="6"/>
      <c r="I208" s="6"/>
      <c r="J208" s="6"/>
      <c r="K208" s="6"/>
      <c r="L208" s="6"/>
      <c r="M208" s="6"/>
      <c r="N208" s="6"/>
      <c r="O208" s="6"/>
      <c r="P208" s="6"/>
      <c r="Q208" s="6"/>
      <c r="R208" s="6"/>
      <c r="S208" s="6"/>
      <c r="T208" s="6"/>
      <c r="U208" s="6"/>
      <c r="V208" s="6"/>
      <c r="W208" s="6"/>
      <c r="X208" s="6"/>
      <c r="Y208" s="6"/>
      <c r="Z208" s="6"/>
      <c r="AA208" s="19"/>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row>
    <row r="209">
      <c r="A209" s="6"/>
      <c r="B209" s="6"/>
      <c r="C209" s="18"/>
      <c r="D209" s="6"/>
      <c r="E209" s="6"/>
      <c r="F209" s="6"/>
      <c r="G209" s="6"/>
      <c r="H209" s="6"/>
      <c r="I209" s="6"/>
      <c r="J209" s="6"/>
      <c r="K209" s="6"/>
      <c r="L209" s="6"/>
      <c r="M209" s="6"/>
      <c r="N209" s="6"/>
      <c r="O209" s="6"/>
      <c r="P209" s="6"/>
      <c r="Q209" s="6"/>
      <c r="R209" s="6"/>
      <c r="S209" s="6"/>
      <c r="T209" s="6"/>
      <c r="U209" s="6"/>
      <c r="V209" s="6"/>
      <c r="W209" s="6"/>
      <c r="X209" s="6"/>
      <c r="Y209" s="6"/>
      <c r="Z209" s="6"/>
      <c r="AA209" s="19"/>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row>
    <row r="210">
      <c r="A210" s="6"/>
      <c r="B210" s="6"/>
      <c r="C210" s="18"/>
      <c r="D210" s="6"/>
      <c r="E210" s="6"/>
      <c r="F210" s="6"/>
      <c r="G210" s="6"/>
      <c r="H210" s="6"/>
      <c r="I210" s="6"/>
      <c r="J210" s="6"/>
      <c r="K210" s="6"/>
      <c r="L210" s="6"/>
      <c r="M210" s="6"/>
      <c r="N210" s="6"/>
      <c r="O210" s="6"/>
      <c r="P210" s="6"/>
      <c r="Q210" s="6"/>
      <c r="R210" s="6"/>
      <c r="S210" s="6"/>
      <c r="T210" s="6"/>
      <c r="U210" s="6"/>
      <c r="V210" s="6"/>
      <c r="W210" s="6"/>
      <c r="X210" s="6"/>
      <c r="Y210" s="6"/>
      <c r="Z210" s="6"/>
      <c r="AA210" s="19"/>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row>
    <row r="211">
      <c r="A211" s="6"/>
      <c r="B211" s="6"/>
      <c r="C211" s="18"/>
      <c r="D211" s="6"/>
      <c r="E211" s="6"/>
      <c r="F211" s="6"/>
      <c r="G211" s="6"/>
      <c r="H211" s="6"/>
      <c r="I211" s="6"/>
      <c r="J211" s="6"/>
      <c r="K211" s="6"/>
      <c r="L211" s="6"/>
      <c r="M211" s="6"/>
      <c r="N211" s="6"/>
      <c r="O211" s="6"/>
      <c r="P211" s="6"/>
      <c r="Q211" s="6"/>
      <c r="R211" s="6"/>
      <c r="S211" s="6"/>
      <c r="T211" s="6"/>
      <c r="U211" s="6"/>
      <c r="V211" s="6"/>
      <c r="W211" s="6"/>
      <c r="X211" s="6"/>
      <c r="Y211" s="6"/>
      <c r="Z211" s="6"/>
      <c r="AA211" s="19"/>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row>
    <row r="212">
      <c r="A212" s="6"/>
      <c r="B212" s="6"/>
      <c r="C212" s="18"/>
      <c r="D212" s="6"/>
      <c r="E212" s="6"/>
      <c r="F212" s="6"/>
      <c r="G212" s="6"/>
      <c r="H212" s="6"/>
      <c r="I212" s="6"/>
      <c r="J212" s="6"/>
      <c r="K212" s="6"/>
      <c r="L212" s="6"/>
      <c r="M212" s="6"/>
      <c r="N212" s="6"/>
      <c r="O212" s="6"/>
      <c r="P212" s="6"/>
      <c r="Q212" s="6"/>
      <c r="R212" s="6"/>
      <c r="S212" s="6"/>
      <c r="T212" s="6"/>
      <c r="U212" s="6"/>
      <c r="V212" s="6"/>
      <c r="W212" s="6"/>
      <c r="X212" s="6"/>
      <c r="Y212" s="6"/>
      <c r="Z212" s="6"/>
      <c r="AA212" s="19"/>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row>
    <row r="213">
      <c r="A213" s="6"/>
      <c r="B213" s="6"/>
      <c r="C213" s="18"/>
      <c r="D213" s="6"/>
      <c r="E213" s="6"/>
      <c r="F213" s="6"/>
      <c r="G213" s="6"/>
      <c r="H213" s="6"/>
      <c r="I213" s="6"/>
      <c r="J213" s="6"/>
      <c r="K213" s="6"/>
      <c r="L213" s="6"/>
      <c r="M213" s="6"/>
      <c r="N213" s="6"/>
      <c r="O213" s="6"/>
      <c r="P213" s="6"/>
      <c r="Q213" s="6"/>
      <c r="R213" s="6"/>
      <c r="S213" s="6"/>
      <c r="T213" s="6"/>
      <c r="U213" s="6"/>
      <c r="V213" s="6"/>
      <c r="W213" s="6"/>
      <c r="X213" s="6"/>
      <c r="Y213" s="6"/>
      <c r="Z213" s="6"/>
      <c r="AA213" s="19"/>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row>
    <row r="214">
      <c r="A214" s="6"/>
      <c r="B214" s="6"/>
      <c r="C214" s="18"/>
      <c r="D214" s="6"/>
      <c r="E214" s="6"/>
      <c r="F214" s="6"/>
      <c r="G214" s="6"/>
      <c r="H214" s="6"/>
      <c r="I214" s="6"/>
      <c r="J214" s="6"/>
      <c r="K214" s="6"/>
      <c r="L214" s="6"/>
      <c r="M214" s="6"/>
      <c r="N214" s="6"/>
      <c r="O214" s="6"/>
      <c r="P214" s="6"/>
      <c r="Q214" s="6"/>
      <c r="R214" s="6"/>
      <c r="S214" s="6"/>
      <c r="T214" s="6"/>
      <c r="U214" s="6"/>
      <c r="V214" s="6"/>
      <c r="W214" s="6"/>
      <c r="X214" s="6"/>
      <c r="Y214" s="6"/>
      <c r="Z214" s="6"/>
      <c r="AA214" s="19"/>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row>
    <row r="215">
      <c r="A215" s="6"/>
      <c r="B215" s="6"/>
      <c r="C215" s="18"/>
      <c r="D215" s="6"/>
      <c r="E215" s="6"/>
      <c r="F215" s="6"/>
      <c r="G215" s="6"/>
      <c r="H215" s="6"/>
      <c r="I215" s="6"/>
      <c r="J215" s="6"/>
      <c r="K215" s="6"/>
      <c r="L215" s="6"/>
      <c r="M215" s="6"/>
      <c r="N215" s="6"/>
      <c r="O215" s="6"/>
      <c r="P215" s="6"/>
      <c r="Q215" s="6"/>
      <c r="R215" s="6"/>
      <c r="S215" s="6"/>
      <c r="T215" s="6"/>
      <c r="U215" s="6"/>
      <c r="V215" s="6"/>
      <c r="W215" s="6"/>
      <c r="X215" s="6"/>
      <c r="Y215" s="6"/>
      <c r="Z215" s="6"/>
      <c r="AA215" s="19"/>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row>
    <row r="216">
      <c r="A216" s="6"/>
      <c r="B216" s="6"/>
      <c r="C216" s="18"/>
      <c r="D216" s="6"/>
      <c r="E216" s="6"/>
      <c r="F216" s="6"/>
      <c r="G216" s="6"/>
      <c r="H216" s="6"/>
      <c r="I216" s="6"/>
      <c r="J216" s="6"/>
      <c r="K216" s="6"/>
      <c r="L216" s="6"/>
      <c r="M216" s="6"/>
      <c r="N216" s="6"/>
      <c r="O216" s="6"/>
      <c r="P216" s="6"/>
      <c r="Q216" s="6"/>
      <c r="R216" s="6"/>
      <c r="S216" s="6"/>
      <c r="T216" s="6"/>
      <c r="U216" s="6"/>
      <c r="V216" s="6"/>
      <c r="W216" s="6"/>
      <c r="X216" s="6"/>
      <c r="Y216" s="6"/>
      <c r="Z216" s="6"/>
      <c r="AA216" s="19"/>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row>
    <row r="217">
      <c r="A217" s="6"/>
      <c r="B217" s="6"/>
      <c r="C217" s="18"/>
      <c r="D217" s="6"/>
      <c r="E217" s="6"/>
      <c r="F217" s="6"/>
      <c r="G217" s="6"/>
      <c r="H217" s="6"/>
      <c r="I217" s="6"/>
      <c r="J217" s="6"/>
      <c r="K217" s="6"/>
      <c r="L217" s="6"/>
      <c r="M217" s="6"/>
      <c r="N217" s="6"/>
      <c r="O217" s="6"/>
      <c r="P217" s="6"/>
      <c r="Q217" s="6"/>
      <c r="R217" s="6"/>
      <c r="S217" s="6"/>
      <c r="T217" s="6"/>
      <c r="U217" s="6"/>
      <c r="V217" s="6"/>
      <c r="W217" s="6"/>
      <c r="X217" s="6"/>
      <c r="Y217" s="6"/>
      <c r="Z217" s="6"/>
      <c r="AA217" s="19"/>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row>
    <row r="218">
      <c r="A218" s="6"/>
      <c r="B218" s="6"/>
      <c r="C218" s="18"/>
      <c r="D218" s="6"/>
      <c r="E218" s="6"/>
      <c r="F218" s="6"/>
      <c r="G218" s="6"/>
      <c r="H218" s="6"/>
      <c r="I218" s="6"/>
      <c r="J218" s="6"/>
      <c r="K218" s="6"/>
      <c r="L218" s="6"/>
      <c r="M218" s="6"/>
      <c r="N218" s="6"/>
      <c r="O218" s="6"/>
      <c r="P218" s="6"/>
      <c r="Q218" s="6"/>
      <c r="R218" s="6"/>
      <c r="S218" s="6"/>
      <c r="T218" s="6"/>
      <c r="U218" s="6"/>
      <c r="V218" s="6"/>
      <c r="W218" s="6"/>
      <c r="X218" s="6"/>
      <c r="Y218" s="6"/>
      <c r="Z218" s="6"/>
      <c r="AA218" s="19"/>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row>
    <row r="219">
      <c r="A219" s="6"/>
      <c r="B219" s="6"/>
      <c r="C219" s="18"/>
      <c r="D219" s="6"/>
      <c r="E219" s="6"/>
      <c r="F219" s="6"/>
      <c r="G219" s="6"/>
      <c r="H219" s="6"/>
      <c r="I219" s="6"/>
      <c r="J219" s="6"/>
      <c r="K219" s="6"/>
      <c r="L219" s="6"/>
      <c r="M219" s="6"/>
      <c r="N219" s="6"/>
      <c r="O219" s="6"/>
      <c r="P219" s="6"/>
      <c r="Q219" s="6"/>
      <c r="R219" s="6"/>
      <c r="S219" s="6"/>
      <c r="T219" s="6"/>
      <c r="U219" s="6"/>
      <c r="V219" s="6"/>
      <c r="W219" s="6"/>
      <c r="X219" s="6"/>
      <c r="Y219" s="6"/>
      <c r="Z219" s="6"/>
      <c r="AA219" s="19"/>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row>
    <row r="220">
      <c r="A220" s="6"/>
      <c r="B220" s="6"/>
      <c r="C220" s="18"/>
      <c r="D220" s="6"/>
      <c r="E220" s="6"/>
      <c r="F220" s="6"/>
      <c r="G220" s="6"/>
      <c r="H220" s="6"/>
      <c r="I220" s="6"/>
      <c r="J220" s="6"/>
      <c r="K220" s="6"/>
      <c r="L220" s="6"/>
      <c r="M220" s="6"/>
      <c r="N220" s="6"/>
      <c r="O220" s="6"/>
      <c r="P220" s="6"/>
      <c r="Q220" s="6"/>
      <c r="R220" s="6"/>
      <c r="S220" s="6"/>
      <c r="T220" s="6"/>
      <c r="U220" s="6"/>
      <c r="V220" s="6"/>
      <c r="W220" s="6"/>
      <c r="X220" s="6"/>
      <c r="Y220" s="6"/>
      <c r="Z220" s="6"/>
      <c r="AA220" s="19"/>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row>
    <row r="221">
      <c r="A221" s="6"/>
      <c r="B221" s="6"/>
      <c r="C221" s="18"/>
      <c r="D221" s="6"/>
      <c r="E221" s="6"/>
      <c r="F221" s="6"/>
      <c r="G221" s="6"/>
      <c r="H221" s="6"/>
      <c r="I221" s="6"/>
      <c r="J221" s="6"/>
      <c r="K221" s="6"/>
      <c r="L221" s="6"/>
      <c r="M221" s="6"/>
      <c r="N221" s="6"/>
      <c r="O221" s="6"/>
      <c r="P221" s="6"/>
      <c r="Q221" s="6"/>
      <c r="R221" s="6"/>
      <c r="S221" s="6"/>
      <c r="T221" s="6"/>
      <c r="U221" s="6"/>
      <c r="V221" s="6"/>
      <c r="W221" s="6"/>
      <c r="X221" s="6"/>
      <c r="Y221" s="6"/>
      <c r="Z221" s="6"/>
      <c r="AA221" s="19"/>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row>
    <row r="222">
      <c r="A222" s="6"/>
      <c r="B222" s="6"/>
      <c r="C222" s="18"/>
      <c r="D222" s="6"/>
      <c r="E222" s="6"/>
      <c r="F222" s="6"/>
      <c r="G222" s="6"/>
      <c r="H222" s="6"/>
      <c r="I222" s="6"/>
      <c r="J222" s="6"/>
      <c r="K222" s="6"/>
      <c r="L222" s="6"/>
      <c r="M222" s="6"/>
      <c r="N222" s="6"/>
      <c r="O222" s="6"/>
      <c r="P222" s="6"/>
      <c r="Q222" s="6"/>
      <c r="R222" s="6"/>
      <c r="S222" s="6"/>
      <c r="T222" s="6"/>
      <c r="U222" s="6"/>
      <c r="V222" s="6"/>
      <c r="W222" s="6"/>
      <c r="X222" s="6"/>
      <c r="Y222" s="6"/>
      <c r="Z222" s="6"/>
      <c r="AA222" s="19"/>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row>
    <row r="223">
      <c r="A223" s="6"/>
      <c r="B223" s="6"/>
      <c r="C223" s="18"/>
      <c r="D223" s="6"/>
      <c r="E223" s="6"/>
      <c r="F223" s="6"/>
      <c r="G223" s="6"/>
      <c r="H223" s="6"/>
      <c r="I223" s="6"/>
      <c r="J223" s="6"/>
      <c r="K223" s="6"/>
      <c r="L223" s="6"/>
      <c r="M223" s="6"/>
      <c r="N223" s="6"/>
      <c r="O223" s="6"/>
      <c r="P223" s="6"/>
      <c r="Q223" s="6"/>
      <c r="R223" s="6"/>
      <c r="S223" s="6"/>
      <c r="T223" s="6"/>
      <c r="U223" s="6"/>
      <c r="V223" s="6"/>
      <c r="W223" s="6"/>
      <c r="X223" s="6"/>
      <c r="Y223" s="6"/>
      <c r="Z223" s="6"/>
      <c r="AA223" s="19"/>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row>
    <row r="224">
      <c r="A224" s="6"/>
      <c r="B224" s="6"/>
      <c r="C224" s="18"/>
      <c r="D224" s="6"/>
      <c r="E224" s="6"/>
      <c r="F224" s="6"/>
      <c r="G224" s="6"/>
      <c r="H224" s="6"/>
      <c r="I224" s="6"/>
      <c r="J224" s="6"/>
      <c r="K224" s="6"/>
      <c r="L224" s="6"/>
      <c r="M224" s="6"/>
      <c r="N224" s="6"/>
      <c r="O224" s="6"/>
      <c r="P224" s="6"/>
      <c r="Q224" s="6"/>
      <c r="R224" s="6"/>
      <c r="S224" s="6"/>
      <c r="T224" s="6"/>
      <c r="U224" s="6"/>
      <c r="V224" s="6"/>
      <c r="W224" s="6"/>
      <c r="X224" s="6"/>
      <c r="Y224" s="6"/>
      <c r="Z224" s="6"/>
      <c r="AA224" s="19"/>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row>
    <row r="225">
      <c r="A225" s="6"/>
      <c r="B225" s="6"/>
      <c r="C225" s="18"/>
      <c r="D225" s="6"/>
      <c r="E225" s="6"/>
      <c r="F225" s="6"/>
      <c r="G225" s="6"/>
      <c r="H225" s="6"/>
      <c r="I225" s="6"/>
      <c r="J225" s="6"/>
      <c r="K225" s="6"/>
      <c r="L225" s="6"/>
      <c r="M225" s="6"/>
      <c r="N225" s="6"/>
      <c r="O225" s="6"/>
      <c r="P225" s="6"/>
      <c r="Q225" s="6"/>
      <c r="R225" s="6"/>
      <c r="S225" s="6"/>
      <c r="T225" s="6"/>
      <c r="U225" s="6"/>
      <c r="V225" s="6"/>
      <c r="W225" s="6"/>
      <c r="X225" s="6"/>
      <c r="Y225" s="6"/>
      <c r="Z225" s="6"/>
      <c r="AA225" s="19"/>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row>
    <row r="226">
      <c r="A226" s="6"/>
      <c r="B226" s="6"/>
      <c r="C226" s="18"/>
      <c r="D226" s="6"/>
      <c r="E226" s="6"/>
      <c r="F226" s="6"/>
      <c r="G226" s="6"/>
      <c r="H226" s="6"/>
      <c r="I226" s="6"/>
      <c r="J226" s="6"/>
      <c r="K226" s="6"/>
      <c r="L226" s="6"/>
      <c r="M226" s="6"/>
      <c r="N226" s="6"/>
      <c r="O226" s="6"/>
      <c r="P226" s="6"/>
      <c r="Q226" s="6"/>
      <c r="R226" s="6"/>
      <c r="S226" s="6"/>
      <c r="T226" s="6"/>
      <c r="U226" s="6"/>
      <c r="V226" s="6"/>
      <c r="W226" s="6"/>
      <c r="X226" s="6"/>
      <c r="Y226" s="6"/>
      <c r="Z226" s="6"/>
      <c r="AA226" s="19"/>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row>
    <row r="227">
      <c r="A227" s="6"/>
      <c r="B227" s="6"/>
      <c r="C227" s="18"/>
      <c r="D227" s="6"/>
      <c r="E227" s="6"/>
      <c r="F227" s="6"/>
      <c r="G227" s="6"/>
      <c r="H227" s="6"/>
      <c r="I227" s="6"/>
      <c r="J227" s="6"/>
      <c r="K227" s="6"/>
      <c r="L227" s="6"/>
      <c r="M227" s="6"/>
      <c r="N227" s="6"/>
      <c r="O227" s="6"/>
      <c r="P227" s="6"/>
      <c r="Q227" s="6"/>
      <c r="R227" s="6"/>
      <c r="S227" s="6"/>
      <c r="T227" s="6"/>
      <c r="U227" s="6"/>
      <c r="V227" s="6"/>
      <c r="W227" s="6"/>
      <c r="X227" s="6"/>
      <c r="Y227" s="6"/>
      <c r="Z227" s="6"/>
      <c r="AA227" s="19"/>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row>
    <row r="228">
      <c r="A228" s="6"/>
      <c r="B228" s="6"/>
      <c r="C228" s="18"/>
      <c r="D228" s="6"/>
      <c r="E228" s="6"/>
      <c r="F228" s="6"/>
      <c r="G228" s="6"/>
      <c r="H228" s="6"/>
      <c r="I228" s="6"/>
      <c r="J228" s="6"/>
      <c r="K228" s="6"/>
      <c r="L228" s="6"/>
      <c r="M228" s="6"/>
      <c r="N228" s="6"/>
      <c r="O228" s="6"/>
      <c r="P228" s="6"/>
      <c r="Q228" s="6"/>
      <c r="R228" s="6"/>
      <c r="S228" s="6"/>
      <c r="T228" s="6"/>
      <c r="U228" s="6"/>
      <c r="V228" s="6"/>
      <c r="W228" s="6"/>
      <c r="X228" s="6"/>
      <c r="Y228" s="6"/>
      <c r="Z228" s="6"/>
      <c r="AA228" s="19"/>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row>
    <row r="229">
      <c r="A229" s="6"/>
      <c r="B229" s="6"/>
      <c r="C229" s="18"/>
      <c r="D229" s="6"/>
      <c r="E229" s="6"/>
      <c r="F229" s="6"/>
      <c r="G229" s="6"/>
      <c r="H229" s="6"/>
      <c r="I229" s="6"/>
      <c r="J229" s="6"/>
      <c r="K229" s="6"/>
      <c r="L229" s="6"/>
      <c r="M229" s="6"/>
      <c r="N229" s="6"/>
      <c r="O229" s="6"/>
      <c r="P229" s="6"/>
      <c r="Q229" s="6"/>
      <c r="R229" s="6"/>
      <c r="S229" s="6"/>
      <c r="T229" s="6"/>
      <c r="U229" s="6"/>
      <c r="V229" s="6"/>
      <c r="W229" s="6"/>
      <c r="X229" s="6"/>
      <c r="Y229" s="6"/>
      <c r="Z229" s="6"/>
      <c r="AA229" s="19"/>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row>
    <row r="230">
      <c r="A230" s="6"/>
      <c r="B230" s="6"/>
      <c r="C230" s="18"/>
      <c r="D230" s="6"/>
      <c r="E230" s="6"/>
      <c r="F230" s="6"/>
      <c r="G230" s="6"/>
      <c r="H230" s="6"/>
      <c r="I230" s="6"/>
      <c r="J230" s="6"/>
      <c r="K230" s="6"/>
      <c r="L230" s="6"/>
      <c r="M230" s="6"/>
      <c r="N230" s="6"/>
      <c r="O230" s="6"/>
      <c r="P230" s="6"/>
      <c r="Q230" s="6"/>
      <c r="R230" s="6"/>
      <c r="S230" s="6"/>
      <c r="T230" s="6"/>
      <c r="U230" s="6"/>
      <c r="V230" s="6"/>
      <c r="W230" s="6"/>
      <c r="X230" s="6"/>
      <c r="Y230" s="6"/>
      <c r="Z230" s="6"/>
      <c r="AA230" s="19"/>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row>
    <row r="231">
      <c r="A231" s="6"/>
      <c r="B231" s="6"/>
      <c r="C231" s="18"/>
      <c r="D231" s="6"/>
      <c r="E231" s="6"/>
      <c r="F231" s="6"/>
      <c r="G231" s="6"/>
      <c r="H231" s="6"/>
      <c r="I231" s="6"/>
      <c r="J231" s="6"/>
      <c r="K231" s="6"/>
      <c r="L231" s="6"/>
      <c r="M231" s="6"/>
      <c r="N231" s="6"/>
      <c r="O231" s="6"/>
      <c r="P231" s="6"/>
      <c r="Q231" s="6"/>
      <c r="R231" s="6"/>
      <c r="S231" s="6"/>
      <c r="T231" s="6"/>
      <c r="U231" s="6"/>
      <c r="V231" s="6"/>
      <c r="W231" s="6"/>
      <c r="X231" s="6"/>
      <c r="Y231" s="6"/>
      <c r="Z231" s="6"/>
      <c r="AA231" s="19"/>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row>
    <row r="232">
      <c r="A232" s="6"/>
      <c r="B232" s="6"/>
      <c r="C232" s="18"/>
      <c r="D232" s="6"/>
      <c r="E232" s="6"/>
      <c r="F232" s="6"/>
      <c r="G232" s="6"/>
      <c r="H232" s="6"/>
      <c r="I232" s="6"/>
      <c r="J232" s="6"/>
      <c r="K232" s="6"/>
      <c r="L232" s="6"/>
      <c r="M232" s="6"/>
      <c r="N232" s="6"/>
      <c r="O232" s="6"/>
      <c r="P232" s="6"/>
      <c r="Q232" s="6"/>
      <c r="R232" s="6"/>
      <c r="S232" s="6"/>
      <c r="T232" s="6"/>
      <c r="U232" s="6"/>
      <c r="V232" s="6"/>
      <c r="W232" s="6"/>
      <c r="X232" s="6"/>
      <c r="Y232" s="6"/>
      <c r="Z232" s="6"/>
      <c r="AA232" s="19"/>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row>
    <row r="233">
      <c r="A233" s="6"/>
      <c r="B233" s="6"/>
      <c r="C233" s="18"/>
      <c r="D233" s="6"/>
      <c r="E233" s="6"/>
      <c r="F233" s="6"/>
      <c r="G233" s="6"/>
      <c r="H233" s="6"/>
      <c r="I233" s="6"/>
      <c r="J233" s="6"/>
      <c r="K233" s="6"/>
      <c r="L233" s="6"/>
      <c r="M233" s="6"/>
      <c r="N233" s="6"/>
      <c r="O233" s="6"/>
      <c r="P233" s="6"/>
      <c r="Q233" s="6"/>
      <c r="R233" s="6"/>
      <c r="S233" s="6"/>
      <c r="T233" s="6"/>
      <c r="U233" s="6"/>
      <c r="V233" s="6"/>
      <c r="W233" s="6"/>
      <c r="X233" s="6"/>
      <c r="Y233" s="6"/>
      <c r="Z233" s="6"/>
      <c r="AA233" s="19"/>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row>
    <row r="234">
      <c r="A234" s="6"/>
      <c r="B234" s="6"/>
      <c r="C234" s="18"/>
      <c r="D234" s="6"/>
      <c r="E234" s="6"/>
      <c r="F234" s="6"/>
      <c r="G234" s="6"/>
      <c r="H234" s="6"/>
      <c r="I234" s="6"/>
      <c r="J234" s="6"/>
      <c r="K234" s="6"/>
      <c r="L234" s="6"/>
      <c r="M234" s="6"/>
      <c r="N234" s="6"/>
      <c r="O234" s="6"/>
      <c r="P234" s="6"/>
      <c r="Q234" s="6"/>
      <c r="R234" s="6"/>
      <c r="S234" s="6"/>
      <c r="T234" s="6"/>
      <c r="U234" s="6"/>
      <c r="V234" s="6"/>
      <c r="W234" s="6"/>
      <c r="X234" s="6"/>
      <c r="Y234" s="6"/>
      <c r="Z234" s="6"/>
      <c r="AA234" s="19"/>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row>
    <row r="235">
      <c r="A235" s="6"/>
      <c r="B235" s="6"/>
      <c r="C235" s="18"/>
      <c r="D235" s="6"/>
      <c r="E235" s="6"/>
      <c r="F235" s="6"/>
      <c r="G235" s="6"/>
      <c r="H235" s="6"/>
      <c r="I235" s="6"/>
      <c r="J235" s="6"/>
      <c r="K235" s="6"/>
      <c r="L235" s="6"/>
      <c r="M235" s="6"/>
      <c r="N235" s="6"/>
      <c r="O235" s="6"/>
      <c r="P235" s="6"/>
      <c r="Q235" s="6"/>
      <c r="R235" s="6"/>
      <c r="S235" s="6"/>
      <c r="T235" s="6"/>
      <c r="U235" s="6"/>
      <c r="V235" s="6"/>
      <c r="W235" s="6"/>
      <c r="X235" s="6"/>
      <c r="Y235" s="6"/>
      <c r="Z235" s="6"/>
      <c r="AA235" s="19"/>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row>
    <row r="236">
      <c r="A236" s="6"/>
      <c r="B236" s="6"/>
      <c r="C236" s="18"/>
      <c r="D236" s="6"/>
      <c r="E236" s="6"/>
      <c r="F236" s="6"/>
      <c r="G236" s="6"/>
      <c r="H236" s="6"/>
      <c r="I236" s="6"/>
      <c r="J236" s="6"/>
      <c r="K236" s="6"/>
      <c r="L236" s="6"/>
      <c r="M236" s="6"/>
      <c r="N236" s="6"/>
      <c r="O236" s="6"/>
      <c r="P236" s="6"/>
      <c r="Q236" s="6"/>
      <c r="R236" s="6"/>
      <c r="S236" s="6"/>
      <c r="T236" s="6"/>
      <c r="U236" s="6"/>
      <c r="V236" s="6"/>
      <c r="W236" s="6"/>
      <c r="X236" s="6"/>
      <c r="Y236" s="6"/>
      <c r="Z236" s="6"/>
      <c r="AA236" s="19"/>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row>
    <row r="237">
      <c r="A237" s="6"/>
      <c r="B237" s="6"/>
      <c r="C237" s="18"/>
      <c r="D237" s="6"/>
      <c r="E237" s="6"/>
      <c r="F237" s="6"/>
      <c r="G237" s="6"/>
      <c r="H237" s="6"/>
      <c r="I237" s="6"/>
      <c r="J237" s="6"/>
      <c r="K237" s="6"/>
      <c r="L237" s="6"/>
      <c r="M237" s="6"/>
      <c r="N237" s="6"/>
      <c r="O237" s="6"/>
      <c r="P237" s="6"/>
      <c r="Q237" s="6"/>
      <c r="R237" s="6"/>
      <c r="S237" s="6"/>
      <c r="T237" s="6"/>
      <c r="U237" s="6"/>
      <c r="V237" s="6"/>
      <c r="W237" s="6"/>
      <c r="X237" s="6"/>
      <c r="Y237" s="6"/>
      <c r="Z237" s="6"/>
      <c r="AA237" s="19"/>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row>
    <row r="238">
      <c r="A238" s="6"/>
      <c r="B238" s="6"/>
      <c r="C238" s="18"/>
      <c r="D238" s="6"/>
      <c r="E238" s="6"/>
      <c r="F238" s="6"/>
      <c r="G238" s="6"/>
      <c r="H238" s="6"/>
      <c r="I238" s="6"/>
      <c r="J238" s="6"/>
      <c r="K238" s="6"/>
      <c r="L238" s="6"/>
      <c r="M238" s="6"/>
      <c r="N238" s="6"/>
      <c r="O238" s="6"/>
      <c r="P238" s="6"/>
      <c r="Q238" s="6"/>
      <c r="R238" s="6"/>
      <c r="S238" s="6"/>
      <c r="T238" s="6"/>
      <c r="U238" s="6"/>
      <c r="V238" s="6"/>
      <c r="W238" s="6"/>
      <c r="X238" s="6"/>
      <c r="Y238" s="6"/>
      <c r="Z238" s="6"/>
      <c r="AA238" s="19"/>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row>
    <row r="239">
      <c r="A239" s="6"/>
      <c r="B239" s="6"/>
      <c r="C239" s="18"/>
      <c r="D239" s="6"/>
      <c r="E239" s="6"/>
      <c r="F239" s="6"/>
      <c r="G239" s="6"/>
      <c r="H239" s="6"/>
      <c r="I239" s="6"/>
      <c r="J239" s="6"/>
      <c r="K239" s="6"/>
      <c r="L239" s="6"/>
      <c r="M239" s="6"/>
      <c r="N239" s="6"/>
      <c r="O239" s="6"/>
      <c r="P239" s="6"/>
      <c r="Q239" s="6"/>
      <c r="R239" s="6"/>
      <c r="S239" s="6"/>
      <c r="T239" s="6"/>
      <c r="U239" s="6"/>
      <c r="V239" s="6"/>
      <c r="W239" s="6"/>
      <c r="X239" s="6"/>
      <c r="Y239" s="6"/>
      <c r="Z239" s="6"/>
      <c r="AA239" s="19"/>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row>
    <row r="240">
      <c r="A240" s="6"/>
      <c r="B240" s="6"/>
      <c r="C240" s="18"/>
      <c r="D240" s="6"/>
      <c r="E240" s="6"/>
      <c r="F240" s="6"/>
      <c r="G240" s="6"/>
      <c r="H240" s="6"/>
      <c r="I240" s="6"/>
      <c r="J240" s="6"/>
      <c r="K240" s="6"/>
      <c r="L240" s="6"/>
      <c r="M240" s="6"/>
      <c r="N240" s="6"/>
      <c r="O240" s="6"/>
      <c r="P240" s="6"/>
      <c r="Q240" s="6"/>
      <c r="R240" s="6"/>
      <c r="S240" s="6"/>
      <c r="T240" s="6"/>
      <c r="U240" s="6"/>
      <c r="V240" s="6"/>
      <c r="W240" s="6"/>
      <c r="X240" s="6"/>
      <c r="Y240" s="6"/>
      <c r="Z240" s="6"/>
      <c r="AA240" s="19"/>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row>
    <row r="241">
      <c r="A241" s="6"/>
      <c r="B241" s="6"/>
      <c r="C241" s="18"/>
      <c r="D241" s="6"/>
      <c r="E241" s="6"/>
      <c r="F241" s="6"/>
      <c r="G241" s="6"/>
      <c r="H241" s="6"/>
      <c r="I241" s="6"/>
      <c r="J241" s="6"/>
      <c r="K241" s="6"/>
      <c r="L241" s="6"/>
      <c r="M241" s="6"/>
      <c r="N241" s="6"/>
      <c r="O241" s="6"/>
      <c r="P241" s="6"/>
      <c r="Q241" s="6"/>
      <c r="R241" s="6"/>
      <c r="S241" s="6"/>
      <c r="T241" s="6"/>
      <c r="U241" s="6"/>
      <c r="V241" s="6"/>
      <c r="W241" s="6"/>
      <c r="X241" s="6"/>
      <c r="Y241" s="6"/>
      <c r="Z241" s="6"/>
      <c r="AA241" s="19"/>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row>
    <row r="242">
      <c r="A242" s="6"/>
      <c r="B242" s="6"/>
      <c r="C242" s="18"/>
      <c r="D242" s="6"/>
      <c r="E242" s="6"/>
      <c r="F242" s="6"/>
      <c r="G242" s="6"/>
      <c r="H242" s="6"/>
      <c r="I242" s="6"/>
      <c r="J242" s="6"/>
      <c r="K242" s="6"/>
      <c r="L242" s="6"/>
      <c r="M242" s="6"/>
      <c r="N242" s="6"/>
      <c r="O242" s="6"/>
      <c r="P242" s="6"/>
      <c r="Q242" s="6"/>
      <c r="R242" s="6"/>
      <c r="S242" s="6"/>
      <c r="T242" s="6"/>
      <c r="U242" s="6"/>
      <c r="V242" s="6"/>
      <c r="W242" s="6"/>
      <c r="X242" s="6"/>
      <c r="Y242" s="6"/>
      <c r="Z242" s="6"/>
      <c r="AA242" s="19"/>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row>
    <row r="243">
      <c r="A243" s="6"/>
      <c r="B243" s="6"/>
      <c r="C243" s="18"/>
      <c r="D243" s="6"/>
      <c r="E243" s="6"/>
      <c r="F243" s="6"/>
      <c r="G243" s="6"/>
      <c r="H243" s="6"/>
      <c r="I243" s="6"/>
      <c r="J243" s="6"/>
      <c r="K243" s="6"/>
      <c r="L243" s="6"/>
      <c r="M243" s="6"/>
      <c r="N243" s="6"/>
      <c r="O243" s="6"/>
      <c r="P243" s="6"/>
      <c r="Q243" s="6"/>
      <c r="R243" s="6"/>
      <c r="S243" s="6"/>
      <c r="T243" s="6"/>
      <c r="U243" s="6"/>
      <c r="V243" s="6"/>
      <c r="W243" s="6"/>
      <c r="X243" s="6"/>
      <c r="Y243" s="6"/>
      <c r="Z243" s="6"/>
      <c r="AA243" s="19"/>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row>
    <row r="244">
      <c r="A244" s="6"/>
      <c r="B244" s="6"/>
      <c r="C244" s="18"/>
      <c r="D244" s="6"/>
      <c r="E244" s="6"/>
      <c r="F244" s="6"/>
      <c r="G244" s="6"/>
      <c r="H244" s="6"/>
      <c r="I244" s="6"/>
      <c r="J244" s="6"/>
      <c r="K244" s="6"/>
      <c r="L244" s="6"/>
      <c r="M244" s="6"/>
      <c r="N244" s="6"/>
      <c r="O244" s="6"/>
      <c r="P244" s="6"/>
      <c r="Q244" s="6"/>
      <c r="R244" s="6"/>
      <c r="S244" s="6"/>
      <c r="T244" s="6"/>
      <c r="U244" s="6"/>
      <c r="V244" s="6"/>
      <c r="W244" s="6"/>
      <c r="X244" s="6"/>
      <c r="Y244" s="6"/>
      <c r="Z244" s="6"/>
      <c r="AA244" s="19"/>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row>
    <row r="245">
      <c r="A245" s="6"/>
      <c r="B245" s="6"/>
      <c r="C245" s="18"/>
      <c r="D245" s="6"/>
      <c r="E245" s="6"/>
      <c r="F245" s="6"/>
      <c r="G245" s="6"/>
      <c r="H245" s="6"/>
      <c r="I245" s="6"/>
      <c r="J245" s="6"/>
      <c r="K245" s="6"/>
      <c r="L245" s="6"/>
      <c r="M245" s="6"/>
      <c r="N245" s="6"/>
      <c r="O245" s="6"/>
      <c r="P245" s="6"/>
      <c r="Q245" s="6"/>
      <c r="R245" s="6"/>
      <c r="S245" s="6"/>
      <c r="T245" s="6"/>
      <c r="U245" s="6"/>
      <c r="V245" s="6"/>
      <c r="W245" s="6"/>
      <c r="X245" s="6"/>
      <c r="Y245" s="6"/>
      <c r="Z245" s="6"/>
      <c r="AA245" s="19"/>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row>
    <row r="246">
      <c r="A246" s="6"/>
      <c r="B246" s="6"/>
      <c r="C246" s="18"/>
      <c r="D246" s="6"/>
      <c r="E246" s="6"/>
      <c r="F246" s="6"/>
      <c r="G246" s="6"/>
      <c r="H246" s="6"/>
      <c r="I246" s="6"/>
      <c r="J246" s="6"/>
      <c r="K246" s="6"/>
      <c r="L246" s="6"/>
      <c r="M246" s="6"/>
      <c r="N246" s="6"/>
      <c r="O246" s="6"/>
      <c r="P246" s="6"/>
      <c r="Q246" s="6"/>
      <c r="R246" s="6"/>
      <c r="S246" s="6"/>
      <c r="T246" s="6"/>
      <c r="U246" s="6"/>
      <c r="V246" s="6"/>
      <c r="W246" s="6"/>
      <c r="X246" s="6"/>
      <c r="Y246" s="6"/>
      <c r="Z246" s="6"/>
      <c r="AA246" s="19"/>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row>
    <row r="247">
      <c r="A247" s="6"/>
      <c r="B247" s="6"/>
      <c r="C247" s="18"/>
      <c r="D247" s="6"/>
      <c r="E247" s="6"/>
      <c r="F247" s="6"/>
      <c r="G247" s="6"/>
      <c r="H247" s="6"/>
      <c r="I247" s="6"/>
      <c r="J247" s="6"/>
      <c r="K247" s="6"/>
      <c r="L247" s="6"/>
      <c r="M247" s="6"/>
      <c r="N247" s="6"/>
      <c r="O247" s="6"/>
      <c r="P247" s="6"/>
      <c r="Q247" s="6"/>
      <c r="R247" s="6"/>
      <c r="S247" s="6"/>
      <c r="T247" s="6"/>
      <c r="U247" s="6"/>
      <c r="V247" s="6"/>
      <c r="W247" s="6"/>
      <c r="X247" s="6"/>
      <c r="Y247" s="6"/>
      <c r="Z247" s="6"/>
      <c r="AA247" s="19"/>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row>
    <row r="248">
      <c r="A248" s="6"/>
      <c r="B248" s="6"/>
      <c r="C248" s="18"/>
      <c r="D248" s="6"/>
      <c r="E248" s="6"/>
      <c r="F248" s="6"/>
      <c r="G248" s="6"/>
      <c r="H248" s="6"/>
      <c r="I248" s="6"/>
      <c r="J248" s="6"/>
      <c r="K248" s="6"/>
      <c r="L248" s="6"/>
      <c r="M248" s="6"/>
      <c r="N248" s="6"/>
      <c r="O248" s="6"/>
      <c r="P248" s="6"/>
      <c r="Q248" s="6"/>
      <c r="R248" s="6"/>
      <c r="S248" s="6"/>
      <c r="T248" s="6"/>
      <c r="U248" s="6"/>
      <c r="V248" s="6"/>
      <c r="W248" s="6"/>
      <c r="X248" s="6"/>
      <c r="Y248" s="6"/>
      <c r="Z248" s="6"/>
      <c r="AA248" s="19"/>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row>
    <row r="249">
      <c r="A249" s="6"/>
      <c r="B249" s="6"/>
      <c r="C249" s="18"/>
      <c r="D249" s="6"/>
      <c r="E249" s="6"/>
      <c r="F249" s="6"/>
      <c r="G249" s="6"/>
      <c r="H249" s="6"/>
      <c r="I249" s="6"/>
      <c r="J249" s="6"/>
      <c r="K249" s="6"/>
      <c r="L249" s="6"/>
      <c r="M249" s="6"/>
      <c r="N249" s="6"/>
      <c r="O249" s="6"/>
      <c r="P249" s="6"/>
      <c r="Q249" s="6"/>
      <c r="R249" s="6"/>
      <c r="S249" s="6"/>
      <c r="T249" s="6"/>
      <c r="U249" s="6"/>
      <c r="V249" s="6"/>
      <c r="W249" s="6"/>
      <c r="X249" s="6"/>
      <c r="Y249" s="6"/>
      <c r="Z249" s="6"/>
      <c r="AA249" s="19"/>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row>
    <row r="250">
      <c r="A250" s="6"/>
      <c r="B250" s="6"/>
      <c r="C250" s="18"/>
      <c r="D250" s="6"/>
      <c r="E250" s="6"/>
      <c r="F250" s="6"/>
      <c r="G250" s="6"/>
      <c r="H250" s="6"/>
      <c r="I250" s="6"/>
      <c r="J250" s="6"/>
      <c r="K250" s="6"/>
      <c r="L250" s="6"/>
      <c r="M250" s="6"/>
      <c r="N250" s="6"/>
      <c r="O250" s="6"/>
      <c r="P250" s="6"/>
      <c r="Q250" s="6"/>
      <c r="R250" s="6"/>
      <c r="S250" s="6"/>
      <c r="T250" s="6"/>
      <c r="U250" s="6"/>
      <c r="V250" s="6"/>
      <c r="W250" s="6"/>
      <c r="X250" s="6"/>
      <c r="Y250" s="6"/>
      <c r="Z250" s="6"/>
      <c r="AA250" s="19"/>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row>
    <row r="251">
      <c r="A251" s="6"/>
      <c r="B251" s="6"/>
      <c r="C251" s="18"/>
      <c r="D251" s="6"/>
      <c r="E251" s="6"/>
      <c r="F251" s="6"/>
      <c r="G251" s="6"/>
      <c r="H251" s="6"/>
      <c r="I251" s="6"/>
      <c r="J251" s="6"/>
      <c r="K251" s="6"/>
      <c r="L251" s="6"/>
      <c r="M251" s="6"/>
      <c r="N251" s="6"/>
      <c r="O251" s="6"/>
      <c r="P251" s="6"/>
      <c r="Q251" s="6"/>
      <c r="R251" s="6"/>
      <c r="S251" s="6"/>
      <c r="T251" s="6"/>
      <c r="U251" s="6"/>
      <c r="V251" s="6"/>
      <c r="W251" s="6"/>
      <c r="X251" s="6"/>
      <c r="Y251" s="6"/>
      <c r="Z251" s="6"/>
      <c r="AA251" s="19"/>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row>
    <row r="252">
      <c r="A252" s="6"/>
      <c r="B252" s="6"/>
      <c r="C252" s="18"/>
      <c r="D252" s="6"/>
      <c r="E252" s="6"/>
      <c r="F252" s="6"/>
      <c r="G252" s="6"/>
      <c r="H252" s="6"/>
      <c r="I252" s="6"/>
      <c r="J252" s="6"/>
      <c r="K252" s="6"/>
      <c r="L252" s="6"/>
      <c r="M252" s="6"/>
      <c r="N252" s="6"/>
      <c r="O252" s="6"/>
      <c r="P252" s="6"/>
      <c r="Q252" s="6"/>
      <c r="R252" s="6"/>
      <c r="S252" s="6"/>
      <c r="T252" s="6"/>
      <c r="U252" s="6"/>
      <c r="V252" s="6"/>
      <c r="W252" s="6"/>
      <c r="X252" s="6"/>
      <c r="Y252" s="6"/>
      <c r="Z252" s="6"/>
      <c r="AA252" s="19"/>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row>
    <row r="253">
      <c r="A253" s="6"/>
      <c r="B253" s="6"/>
      <c r="C253" s="18"/>
      <c r="D253" s="6"/>
      <c r="E253" s="6"/>
      <c r="F253" s="6"/>
      <c r="G253" s="6"/>
      <c r="H253" s="6"/>
      <c r="I253" s="6"/>
      <c r="J253" s="6"/>
      <c r="K253" s="6"/>
      <c r="L253" s="6"/>
      <c r="M253" s="6"/>
      <c r="N253" s="6"/>
      <c r="O253" s="6"/>
      <c r="P253" s="6"/>
      <c r="Q253" s="6"/>
      <c r="R253" s="6"/>
      <c r="S253" s="6"/>
      <c r="T253" s="6"/>
      <c r="U253" s="6"/>
      <c r="V253" s="6"/>
      <c r="W253" s="6"/>
      <c r="X253" s="6"/>
      <c r="Y253" s="6"/>
      <c r="Z253" s="6"/>
      <c r="AA253" s="19"/>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row>
    <row r="254">
      <c r="A254" s="6"/>
      <c r="B254" s="6"/>
      <c r="C254" s="18"/>
      <c r="D254" s="6"/>
      <c r="E254" s="6"/>
      <c r="F254" s="6"/>
      <c r="G254" s="6"/>
      <c r="H254" s="6"/>
      <c r="I254" s="6"/>
      <c r="J254" s="6"/>
      <c r="K254" s="6"/>
      <c r="L254" s="6"/>
      <c r="M254" s="6"/>
      <c r="N254" s="6"/>
      <c r="O254" s="6"/>
      <c r="P254" s="6"/>
      <c r="Q254" s="6"/>
      <c r="R254" s="6"/>
      <c r="S254" s="6"/>
      <c r="T254" s="6"/>
      <c r="U254" s="6"/>
      <c r="V254" s="6"/>
      <c r="W254" s="6"/>
      <c r="X254" s="6"/>
      <c r="Y254" s="6"/>
      <c r="Z254" s="6"/>
      <c r="AA254" s="19"/>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row>
    <row r="255">
      <c r="A255" s="6"/>
      <c r="B255" s="6"/>
      <c r="C255" s="18"/>
      <c r="D255" s="6"/>
      <c r="E255" s="6"/>
      <c r="F255" s="6"/>
      <c r="G255" s="6"/>
      <c r="H255" s="6"/>
      <c r="I255" s="6"/>
      <c r="J255" s="6"/>
      <c r="K255" s="6"/>
      <c r="L255" s="6"/>
      <c r="M255" s="6"/>
      <c r="N255" s="6"/>
      <c r="O255" s="6"/>
      <c r="P255" s="6"/>
      <c r="Q255" s="6"/>
      <c r="R255" s="6"/>
      <c r="S255" s="6"/>
      <c r="T255" s="6"/>
      <c r="U255" s="6"/>
      <c r="V255" s="6"/>
      <c r="W255" s="6"/>
      <c r="X255" s="6"/>
      <c r="Y255" s="6"/>
      <c r="Z255" s="6"/>
      <c r="AA255" s="19"/>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row>
    <row r="256">
      <c r="A256" s="6"/>
      <c r="B256" s="6"/>
      <c r="C256" s="18"/>
      <c r="D256" s="6"/>
      <c r="E256" s="6"/>
      <c r="F256" s="6"/>
      <c r="G256" s="6"/>
      <c r="H256" s="6"/>
      <c r="I256" s="6"/>
      <c r="J256" s="6"/>
      <c r="K256" s="6"/>
      <c r="L256" s="6"/>
      <c r="M256" s="6"/>
      <c r="N256" s="6"/>
      <c r="O256" s="6"/>
      <c r="P256" s="6"/>
      <c r="Q256" s="6"/>
      <c r="R256" s="6"/>
      <c r="S256" s="6"/>
      <c r="T256" s="6"/>
      <c r="U256" s="6"/>
      <c r="V256" s="6"/>
      <c r="W256" s="6"/>
      <c r="X256" s="6"/>
      <c r="Y256" s="6"/>
      <c r="Z256" s="6"/>
      <c r="AA256" s="19"/>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row>
    <row r="257">
      <c r="A257" s="6"/>
      <c r="B257" s="6"/>
      <c r="C257" s="18"/>
      <c r="D257" s="6"/>
      <c r="E257" s="6"/>
      <c r="F257" s="6"/>
      <c r="G257" s="6"/>
      <c r="H257" s="6"/>
      <c r="I257" s="6"/>
      <c r="J257" s="6"/>
      <c r="K257" s="6"/>
      <c r="L257" s="6"/>
      <c r="M257" s="6"/>
      <c r="N257" s="6"/>
      <c r="O257" s="6"/>
      <c r="P257" s="6"/>
      <c r="Q257" s="6"/>
      <c r="R257" s="6"/>
      <c r="S257" s="6"/>
      <c r="T257" s="6"/>
      <c r="U257" s="6"/>
      <c r="V257" s="6"/>
      <c r="W257" s="6"/>
      <c r="X257" s="6"/>
      <c r="Y257" s="6"/>
      <c r="Z257" s="6"/>
      <c r="AA257" s="19"/>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row>
    <row r="258">
      <c r="A258" s="6"/>
      <c r="B258" s="6"/>
      <c r="C258" s="18"/>
      <c r="D258" s="6"/>
      <c r="E258" s="6"/>
      <c r="F258" s="6"/>
      <c r="G258" s="6"/>
      <c r="H258" s="6"/>
      <c r="I258" s="6"/>
      <c r="J258" s="6"/>
      <c r="K258" s="6"/>
      <c r="L258" s="6"/>
      <c r="M258" s="6"/>
      <c r="N258" s="6"/>
      <c r="O258" s="6"/>
      <c r="P258" s="6"/>
      <c r="Q258" s="6"/>
      <c r="R258" s="6"/>
      <c r="S258" s="6"/>
      <c r="T258" s="6"/>
      <c r="U258" s="6"/>
      <c r="V258" s="6"/>
      <c r="W258" s="6"/>
      <c r="X258" s="6"/>
      <c r="Y258" s="6"/>
      <c r="Z258" s="6"/>
      <c r="AA258" s="19"/>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row>
    <row r="259">
      <c r="A259" s="6"/>
      <c r="B259" s="6"/>
      <c r="C259" s="18"/>
      <c r="D259" s="6"/>
      <c r="E259" s="6"/>
      <c r="F259" s="6"/>
      <c r="G259" s="6"/>
      <c r="H259" s="6"/>
      <c r="I259" s="6"/>
      <c r="J259" s="6"/>
      <c r="K259" s="6"/>
      <c r="L259" s="6"/>
      <c r="M259" s="6"/>
      <c r="N259" s="6"/>
      <c r="O259" s="6"/>
      <c r="P259" s="6"/>
      <c r="Q259" s="6"/>
      <c r="R259" s="6"/>
      <c r="S259" s="6"/>
      <c r="T259" s="6"/>
      <c r="U259" s="6"/>
      <c r="V259" s="6"/>
      <c r="W259" s="6"/>
      <c r="X259" s="6"/>
      <c r="Y259" s="6"/>
      <c r="Z259" s="6"/>
      <c r="AA259" s="19"/>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row>
    <row r="260">
      <c r="A260" s="6"/>
      <c r="B260" s="6"/>
      <c r="C260" s="18"/>
      <c r="D260" s="6"/>
      <c r="E260" s="6"/>
      <c r="F260" s="6"/>
      <c r="G260" s="6"/>
      <c r="H260" s="6"/>
      <c r="I260" s="6"/>
      <c r="J260" s="6"/>
      <c r="K260" s="6"/>
      <c r="L260" s="6"/>
      <c r="M260" s="6"/>
      <c r="N260" s="6"/>
      <c r="O260" s="6"/>
      <c r="P260" s="6"/>
      <c r="Q260" s="6"/>
      <c r="R260" s="6"/>
      <c r="S260" s="6"/>
      <c r="T260" s="6"/>
      <c r="U260" s="6"/>
      <c r="V260" s="6"/>
      <c r="W260" s="6"/>
      <c r="X260" s="6"/>
      <c r="Y260" s="6"/>
      <c r="Z260" s="6"/>
      <c r="AA260" s="19"/>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row>
    <row r="261">
      <c r="A261" s="6"/>
      <c r="B261" s="6"/>
      <c r="C261" s="18"/>
      <c r="D261" s="6"/>
      <c r="E261" s="6"/>
      <c r="F261" s="6"/>
      <c r="G261" s="6"/>
      <c r="H261" s="6"/>
      <c r="I261" s="6"/>
      <c r="J261" s="6"/>
      <c r="K261" s="6"/>
      <c r="L261" s="6"/>
      <c r="M261" s="6"/>
      <c r="N261" s="6"/>
      <c r="O261" s="6"/>
      <c r="P261" s="6"/>
      <c r="Q261" s="6"/>
      <c r="R261" s="6"/>
      <c r="S261" s="6"/>
      <c r="T261" s="6"/>
      <c r="U261" s="6"/>
      <c r="V261" s="6"/>
      <c r="W261" s="6"/>
      <c r="X261" s="6"/>
      <c r="Y261" s="6"/>
      <c r="Z261" s="6"/>
      <c r="AA261" s="19"/>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row>
    <row r="262">
      <c r="A262" s="6"/>
      <c r="B262" s="6"/>
      <c r="C262" s="18"/>
      <c r="D262" s="6"/>
      <c r="E262" s="6"/>
      <c r="F262" s="6"/>
      <c r="G262" s="6"/>
      <c r="H262" s="6"/>
      <c r="I262" s="6"/>
      <c r="J262" s="6"/>
      <c r="K262" s="6"/>
      <c r="L262" s="6"/>
      <c r="M262" s="6"/>
      <c r="N262" s="6"/>
      <c r="O262" s="6"/>
      <c r="P262" s="6"/>
      <c r="Q262" s="6"/>
      <c r="R262" s="6"/>
      <c r="S262" s="6"/>
      <c r="T262" s="6"/>
      <c r="U262" s="6"/>
      <c r="V262" s="6"/>
      <c r="W262" s="6"/>
      <c r="X262" s="6"/>
      <c r="Y262" s="6"/>
      <c r="Z262" s="6"/>
      <c r="AA262" s="19"/>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row>
    <row r="263">
      <c r="A263" s="6"/>
      <c r="B263" s="6"/>
      <c r="C263" s="18"/>
      <c r="D263" s="6"/>
      <c r="E263" s="6"/>
      <c r="F263" s="6"/>
      <c r="G263" s="6"/>
      <c r="H263" s="6"/>
      <c r="I263" s="6"/>
      <c r="J263" s="6"/>
      <c r="K263" s="6"/>
      <c r="L263" s="6"/>
      <c r="M263" s="6"/>
      <c r="N263" s="6"/>
      <c r="O263" s="6"/>
      <c r="P263" s="6"/>
      <c r="Q263" s="6"/>
      <c r="R263" s="6"/>
      <c r="S263" s="6"/>
      <c r="T263" s="6"/>
      <c r="U263" s="6"/>
      <c r="V263" s="6"/>
      <c r="W263" s="6"/>
      <c r="X263" s="6"/>
      <c r="Y263" s="6"/>
      <c r="Z263" s="6"/>
      <c r="AA263" s="19"/>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row>
    <row r="264">
      <c r="A264" s="6"/>
      <c r="B264" s="6"/>
      <c r="C264" s="18"/>
      <c r="D264" s="6"/>
      <c r="E264" s="6"/>
      <c r="F264" s="6"/>
      <c r="G264" s="6"/>
      <c r="H264" s="6"/>
      <c r="I264" s="6"/>
      <c r="J264" s="6"/>
      <c r="K264" s="6"/>
      <c r="L264" s="6"/>
      <c r="M264" s="6"/>
      <c r="N264" s="6"/>
      <c r="O264" s="6"/>
      <c r="P264" s="6"/>
      <c r="Q264" s="6"/>
      <c r="R264" s="6"/>
      <c r="S264" s="6"/>
      <c r="T264" s="6"/>
      <c r="U264" s="6"/>
      <c r="V264" s="6"/>
      <c r="W264" s="6"/>
      <c r="X264" s="6"/>
      <c r="Y264" s="6"/>
      <c r="Z264" s="6"/>
      <c r="AA264" s="19"/>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row>
    <row r="265">
      <c r="A265" s="6"/>
      <c r="B265" s="6"/>
      <c r="C265" s="18"/>
      <c r="D265" s="6"/>
      <c r="E265" s="6"/>
      <c r="F265" s="6"/>
      <c r="G265" s="6"/>
      <c r="H265" s="6"/>
      <c r="I265" s="6"/>
      <c r="J265" s="6"/>
      <c r="K265" s="6"/>
      <c r="L265" s="6"/>
      <c r="M265" s="6"/>
      <c r="N265" s="6"/>
      <c r="O265" s="6"/>
      <c r="P265" s="6"/>
      <c r="Q265" s="6"/>
      <c r="R265" s="6"/>
      <c r="S265" s="6"/>
      <c r="T265" s="6"/>
      <c r="U265" s="6"/>
      <c r="V265" s="6"/>
      <c r="W265" s="6"/>
      <c r="X265" s="6"/>
      <c r="Y265" s="6"/>
      <c r="Z265" s="6"/>
      <c r="AA265" s="19"/>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row>
    <row r="266">
      <c r="A266" s="6"/>
      <c r="B266" s="6"/>
      <c r="C266" s="18"/>
      <c r="D266" s="6"/>
      <c r="E266" s="6"/>
      <c r="F266" s="6"/>
      <c r="G266" s="6"/>
      <c r="H266" s="6"/>
      <c r="I266" s="6"/>
      <c r="J266" s="6"/>
      <c r="K266" s="6"/>
      <c r="L266" s="6"/>
      <c r="M266" s="6"/>
      <c r="N266" s="6"/>
      <c r="O266" s="6"/>
      <c r="P266" s="6"/>
      <c r="Q266" s="6"/>
      <c r="R266" s="6"/>
      <c r="S266" s="6"/>
      <c r="T266" s="6"/>
      <c r="U266" s="6"/>
      <c r="V266" s="6"/>
      <c r="W266" s="6"/>
      <c r="X266" s="6"/>
      <c r="Y266" s="6"/>
      <c r="Z266" s="6"/>
      <c r="AA266" s="19"/>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row>
    <row r="267">
      <c r="A267" s="6"/>
      <c r="B267" s="6"/>
      <c r="C267" s="18"/>
      <c r="D267" s="6"/>
      <c r="E267" s="6"/>
      <c r="F267" s="6"/>
      <c r="G267" s="6"/>
      <c r="H267" s="6"/>
      <c r="I267" s="6"/>
      <c r="J267" s="6"/>
      <c r="K267" s="6"/>
      <c r="L267" s="6"/>
      <c r="M267" s="6"/>
      <c r="N267" s="6"/>
      <c r="O267" s="6"/>
      <c r="P267" s="6"/>
      <c r="Q267" s="6"/>
      <c r="R267" s="6"/>
      <c r="S267" s="6"/>
      <c r="T267" s="6"/>
      <c r="U267" s="6"/>
      <c r="V267" s="6"/>
      <c r="W267" s="6"/>
      <c r="X267" s="6"/>
      <c r="Y267" s="6"/>
      <c r="Z267" s="6"/>
      <c r="AA267" s="19"/>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row>
    <row r="268">
      <c r="A268" s="6"/>
      <c r="B268" s="6"/>
      <c r="C268" s="18"/>
      <c r="D268" s="6"/>
      <c r="E268" s="6"/>
      <c r="F268" s="6"/>
      <c r="G268" s="6"/>
      <c r="H268" s="6"/>
      <c r="I268" s="6"/>
      <c r="J268" s="6"/>
      <c r="K268" s="6"/>
      <c r="L268" s="6"/>
      <c r="M268" s="6"/>
      <c r="N268" s="6"/>
      <c r="O268" s="6"/>
      <c r="P268" s="6"/>
      <c r="Q268" s="6"/>
      <c r="R268" s="6"/>
      <c r="S268" s="6"/>
      <c r="T268" s="6"/>
      <c r="U268" s="6"/>
      <c r="V268" s="6"/>
      <c r="W268" s="6"/>
      <c r="X268" s="6"/>
      <c r="Y268" s="6"/>
      <c r="Z268" s="6"/>
      <c r="AA268" s="19"/>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row>
    <row r="269">
      <c r="A269" s="6"/>
      <c r="B269" s="6"/>
      <c r="C269" s="18"/>
      <c r="D269" s="6"/>
      <c r="E269" s="6"/>
      <c r="F269" s="6"/>
      <c r="G269" s="6"/>
      <c r="H269" s="6"/>
      <c r="I269" s="6"/>
      <c r="J269" s="6"/>
      <c r="K269" s="6"/>
      <c r="L269" s="6"/>
      <c r="M269" s="6"/>
      <c r="N269" s="6"/>
      <c r="O269" s="6"/>
      <c r="P269" s="6"/>
      <c r="Q269" s="6"/>
      <c r="R269" s="6"/>
      <c r="S269" s="6"/>
      <c r="T269" s="6"/>
      <c r="U269" s="6"/>
      <c r="V269" s="6"/>
      <c r="W269" s="6"/>
      <c r="X269" s="6"/>
      <c r="Y269" s="6"/>
      <c r="Z269" s="6"/>
      <c r="AA269" s="19"/>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row>
    <row r="270">
      <c r="A270" s="6"/>
      <c r="B270" s="6"/>
      <c r="C270" s="18"/>
      <c r="D270" s="6"/>
      <c r="E270" s="6"/>
      <c r="F270" s="6"/>
      <c r="G270" s="6"/>
      <c r="H270" s="6"/>
      <c r="I270" s="6"/>
      <c r="J270" s="6"/>
      <c r="K270" s="6"/>
      <c r="L270" s="6"/>
      <c r="M270" s="6"/>
      <c r="N270" s="6"/>
      <c r="O270" s="6"/>
      <c r="P270" s="6"/>
      <c r="Q270" s="6"/>
      <c r="R270" s="6"/>
      <c r="S270" s="6"/>
      <c r="T270" s="6"/>
      <c r="U270" s="6"/>
      <c r="V270" s="6"/>
      <c r="W270" s="6"/>
      <c r="X270" s="6"/>
      <c r="Y270" s="6"/>
      <c r="Z270" s="6"/>
      <c r="AA270" s="19"/>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row>
    <row r="271">
      <c r="A271" s="6"/>
      <c r="B271" s="6"/>
      <c r="C271" s="18"/>
      <c r="D271" s="6"/>
      <c r="E271" s="6"/>
      <c r="F271" s="6"/>
      <c r="G271" s="6"/>
      <c r="H271" s="6"/>
      <c r="I271" s="6"/>
      <c r="J271" s="6"/>
      <c r="K271" s="6"/>
      <c r="L271" s="6"/>
      <c r="M271" s="6"/>
      <c r="N271" s="6"/>
      <c r="O271" s="6"/>
      <c r="P271" s="6"/>
      <c r="Q271" s="6"/>
      <c r="R271" s="6"/>
      <c r="S271" s="6"/>
      <c r="T271" s="6"/>
      <c r="U271" s="6"/>
      <c r="V271" s="6"/>
      <c r="W271" s="6"/>
      <c r="X271" s="6"/>
      <c r="Y271" s="6"/>
      <c r="Z271" s="6"/>
      <c r="AA271" s="19"/>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row>
    <row r="272">
      <c r="A272" s="6"/>
      <c r="B272" s="6"/>
      <c r="C272" s="18"/>
      <c r="D272" s="6"/>
      <c r="E272" s="6"/>
      <c r="F272" s="6"/>
      <c r="G272" s="6"/>
      <c r="H272" s="6"/>
      <c r="I272" s="6"/>
      <c r="J272" s="6"/>
      <c r="K272" s="6"/>
      <c r="L272" s="6"/>
      <c r="M272" s="6"/>
      <c r="N272" s="6"/>
      <c r="O272" s="6"/>
      <c r="P272" s="6"/>
      <c r="Q272" s="6"/>
      <c r="R272" s="6"/>
      <c r="S272" s="6"/>
      <c r="T272" s="6"/>
      <c r="U272" s="6"/>
      <c r="V272" s="6"/>
      <c r="W272" s="6"/>
      <c r="X272" s="6"/>
      <c r="Y272" s="6"/>
      <c r="Z272" s="6"/>
      <c r="AA272" s="19"/>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row>
    <row r="273">
      <c r="A273" s="6"/>
      <c r="B273" s="6"/>
      <c r="C273" s="18"/>
      <c r="D273" s="6"/>
      <c r="E273" s="6"/>
      <c r="F273" s="6"/>
      <c r="G273" s="6"/>
      <c r="H273" s="6"/>
      <c r="I273" s="6"/>
      <c r="J273" s="6"/>
      <c r="K273" s="6"/>
      <c r="L273" s="6"/>
      <c r="M273" s="6"/>
      <c r="N273" s="6"/>
      <c r="O273" s="6"/>
      <c r="P273" s="6"/>
      <c r="Q273" s="6"/>
      <c r="R273" s="6"/>
      <c r="S273" s="6"/>
      <c r="T273" s="6"/>
      <c r="U273" s="6"/>
      <c r="V273" s="6"/>
      <c r="W273" s="6"/>
      <c r="X273" s="6"/>
      <c r="Y273" s="6"/>
      <c r="Z273" s="6"/>
      <c r="AA273" s="19"/>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row>
    <row r="274">
      <c r="A274" s="6"/>
      <c r="B274" s="6"/>
      <c r="C274" s="18"/>
      <c r="D274" s="6"/>
      <c r="E274" s="6"/>
      <c r="F274" s="6"/>
      <c r="G274" s="6"/>
      <c r="H274" s="6"/>
      <c r="I274" s="6"/>
      <c r="J274" s="6"/>
      <c r="K274" s="6"/>
      <c r="L274" s="6"/>
      <c r="M274" s="6"/>
      <c r="N274" s="6"/>
      <c r="O274" s="6"/>
      <c r="P274" s="6"/>
      <c r="Q274" s="6"/>
      <c r="R274" s="6"/>
      <c r="S274" s="6"/>
      <c r="T274" s="6"/>
      <c r="U274" s="6"/>
      <c r="V274" s="6"/>
      <c r="W274" s="6"/>
      <c r="X274" s="6"/>
      <c r="Y274" s="6"/>
      <c r="Z274" s="6"/>
      <c r="AA274" s="19"/>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row>
    <row r="275">
      <c r="A275" s="6"/>
      <c r="B275" s="6"/>
      <c r="C275" s="18"/>
      <c r="D275" s="6"/>
      <c r="E275" s="6"/>
      <c r="F275" s="6"/>
      <c r="G275" s="6"/>
      <c r="H275" s="6"/>
      <c r="I275" s="6"/>
      <c r="J275" s="6"/>
      <c r="K275" s="6"/>
      <c r="L275" s="6"/>
      <c r="M275" s="6"/>
      <c r="N275" s="6"/>
      <c r="O275" s="6"/>
      <c r="P275" s="6"/>
      <c r="Q275" s="6"/>
      <c r="R275" s="6"/>
      <c r="S275" s="6"/>
      <c r="T275" s="6"/>
      <c r="U275" s="6"/>
      <c r="V275" s="6"/>
      <c r="W275" s="6"/>
      <c r="X275" s="6"/>
      <c r="Y275" s="6"/>
      <c r="Z275" s="6"/>
      <c r="AA275" s="19"/>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row>
    <row r="276">
      <c r="A276" s="6"/>
      <c r="B276" s="6"/>
      <c r="C276" s="18"/>
      <c r="D276" s="6"/>
      <c r="E276" s="6"/>
      <c r="F276" s="6"/>
      <c r="G276" s="6"/>
      <c r="H276" s="6"/>
      <c r="I276" s="6"/>
      <c r="J276" s="6"/>
      <c r="K276" s="6"/>
      <c r="L276" s="6"/>
      <c r="M276" s="6"/>
      <c r="N276" s="6"/>
      <c r="O276" s="6"/>
      <c r="P276" s="6"/>
      <c r="Q276" s="6"/>
      <c r="R276" s="6"/>
      <c r="S276" s="6"/>
      <c r="T276" s="6"/>
      <c r="U276" s="6"/>
      <c r="V276" s="6"/>
      <c r="W276" s="6"/>
      <c r="X276" s="6"/>
      <c r="Y276" s="6"/>
      <c r="Z276" s="6"/>
      <c r="AA276" s="19"/>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row>
    <row r="277">
      <c r="A277" s="6"/>
      <c r="B277" s="6"/>
      <c r="C277" s="18"/>
      <c r="D277" s="6"/>
      <c r="E277" s="6"/>
      <c r="F277" s="6"/>
      <c r="G277" s="6"/>
      <c r="H277" s="6"/>
      <c r="I277" s="6"/>
      <c r="J277" s="6"/>
      <c r="K277" s="6"/>
      <c r="L277" s="6"/>
      <c r="M277" s="6"/>
      <c r="N277" s="6"/>
      <c r="O277" s="6"/>
      <c r="P277" s="6"/>
      <c r="Q277" s="6"/>
      <c r="R277" s="6"/>
      <c r="S277" s="6"/>
      <c r="T277" s="6"/>
      <c r="U277" s="6"/>
      <c r="V277" s="6"/>
      <c r="W277" s="6"/>
      <c r="X277" s="6"/>
      <c r="Y277" s="6"/>
      <c r="Z277" s="6"/>
      <c r="AA277" s="19"/>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row>
    <row r="278">
      <c r="A278" s="6"/>
      <c r="B278" s="6"/>
      <c r="C278" s="18"/>
      <c r="D278" s="6"/>
      <c r="E278" s="6"/>
      <c r="F278" s="6"/>
      <c r="G278" s="6"/>
      <c r="H278" s="6"/>
      <c r="I278" s="6"/>
      <c r="J278" s="6"/>
      <c r="K278" s="6"/>
      <c r="L278" s="6"/>
      <c r="M278" s="6"/>
      <c r="N278" s="6"/>
      <c r="O278" s="6"/>
      <c r="P278" s="6"/>
      <c r="Q278" s="6"/>
      <c r="R278" s="6"/>
      <c r="S278" s="6"/>
      <c r="T278" s="6"/>
      <c r="U278" s="6"/>
      <c r="V278" s="6"/>
      <c r="W278" s="6"/>
      <c r="X278" s="6"/>
      <c r="Y278" s="6"/>
      <c r="Z278" s="6"/>
      <c r="AA278" s="19"/>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row>
    <row r="279">
      <c r="A279" s="6"/>
      <c r="B279" s="6"/>
      <c r="C279" s="18"/>
      <c r="D279" s="6"/>
      <c r="E279" s="6"/>
      <c r="F279" s="6"/>
      <c r="G279" s="6"/>
      <c r="H279" s="6"/>
      <c r="I279" s="6"/>
      <c r="J279" s="6"/>
      <c r="K279" s="6"/>
      <c r="L279" s="6"/>
      <c r="M279" s="6"/>
      <c r="N279" s="6"/>
      <c r="O279" s="6"/>
      <c r="P279" s="6"/>
      <c r="Q279" s="6"/>
      <c r="R279" s="6"/>
      <c r="S279" s="6"/>
      <c r="T279" s="6"/>
      <c r="U279" s="6"/>
      <c r="V279" s="6"/>
      <c r="W279" s="6"/>
      <c r="X279" s="6"/>
      <c r="Y279" s="6"/>
      <c r="Z279" s="6"/>
      <c r="AA279" s="19"/>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row>
    <row r="280">
      <c r="A280" s="6"/>
      <c r="B280" s="6"/>
      <c r="C280" s="18"/>
      <c r="D280" s="6"/>
      <c r="E280" s="6"/>
      <c r="F280" s="6"/>
      <c r="G280" s="6"/>
      <c r="H280" s="6"/>
      <c r="I280" s="6"/>
      <c r="J280" s="6"/>
      <c r="K280" s="6"/>
      <c r="L280" s="6"/>
      <c r="M280" s="6"/>
      <c r="N280" s="6"/>
      <c r="O280" s="6"/>
      <c r="P280" s="6"/>
      <c r="Q280" s="6"/>
      <c r="R280" s="6"/>
      <c r="S280" s="6"/>
      <c r="T280" s="6"/>
      <c r="U280" s="6"/>
      <c r="V280" s="6"/>
      <c r="W280" s="6"/>
      <c r="X280" s="6"/>
      <c r="Y280" s="6"/>
      <c r="Z280" s="6"/>
      <c r="AA280" s="19"/>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row>
    <row r="281">
      <c r="A281" s="6"/>
      <c r="B281" s="6"/>
      <c r="C281" s="18"/>
      <c r="D281" s="6"/>
      <c r="E281" s="6"/>
      <c r="F281" s="6"/>
      <c r="G281" s="6"/>
      <c r="H281" s="6"/>
      <c r="I281" s="6"/>
      <c r="J281" s="6"/>
      <c r="K281" s="6"/>
      <c r="L281" s="6"/>
      <c r="M281" s="6"/>
      <c r="N281" s="6"/>
      <c r="O281" s="6"/>
      <c r="P281" s="6"/>
      <c r="Q281" s="6"/>
      <c r="R281" s="6"/>
      <c r="S281" s="6"/>
      <c r="T281" s="6"/>
      <c r="U281" s="6"/>
      <c r="V281" s="6"/>
      <c r="W281" s="6"/>
      <c r="X281" s="6"/>
      <c r="Y281" s="6"/>
      <c r="Z281" s="6"/>
      <c r="AA281" s="19"/>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row>
    <row r="282">
      <c r="A282" s="6"/>
      <c r="B282" s="6"/>
      <c r="C282" s="18"/>
      <c r="D282" s="6"/>
      <c r="E282" s="6"/>
      <c r="F282" s="6"/>
      <c r="G282" s="6"/>
      <c r="H282" s="6"/>
      <c r="I282" s="6"/>
      <c r="J282" s="6"/>
      <c r="K282" s="6"/>
      <c r="L282" s="6"/>
      <c r="M282" s="6"/>
      <c r="N282" s="6"/>
      <c r="O282" s="6"/>
      <c r="P282" s="6"/>
      <c r="Q282" s="6"/>
      <c r="R282" s="6"/>
      <c r="S282" s="6"/>
      <c r="T282" s="6"/>
      <c r="U282" s="6"/>
      <c r="V282" s="6"/>
      <c r="W282" s="6"/>
      <c r="X282" s="6"/>
      <c r="Y282" s="6"/>
      <c r="Z282" s="6"/>
      <c r="AA282" s="19"/>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row>
    <row r="283">
      <c r="A283" s="6"/>
      <c r="B283" s="6"/>
      <c r="C283" s="18"/>
      <c r="D283" s="6"/>
      <c r="E283" s="6"/>
      <c r="F283" s="6"/>
      <c r="G283" s="6"/>
      <c r="H283" s="6"/>
      <c r="I283" s="6"/>
      <c r="J283" s="6"/>
      <c r="K283" s="6"/>
      <c r="L283" s="6"/>
      <c r="M283" s="6"/>
      <c r="N283" s="6"/>
      <c r="O283" s="6"/>
      <c r="P283" s="6"/>
      <c r="Q283" s="6"/>
      <c r="R283" s="6"/>
      <c r="S283" s="6"/>
      <c r="T283" s="6"/>
      <c r="U283" s="6"/>
      <c r="V283" s="6"/>
      <c r="W283" s="6"/>
      <c r="X283" s="6"/>
      <c r="Y283" s="6"/>
      <c r="Z283" s="6"/>
      <c r="AA283" s="19"/>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row>
    <row r="284">
      <c r="A284" s="6"/>
      <c r="B284" s="6"/>
      <c r="C284" s="18"/>
      <c r="D284" s="6"/>
      <c r="E284" s="6"/>
      <c r="F284" s="6"/>
      <c r="G284" s="6"/>
      <c r="H284" s="6"/>
      <c r="I284" s="6"/>
      <c r="J284" s="6"/>
      <c r="K284" s="6"/>
      <c r="L284" s="6"/>
      <c r="M284" s="6"/>
      <c r="N284" s="6"/>
      <c r="O284" s="6"/>
      <c r="P284" s="6"/>
      <c r="Q284" s="6"/>
      <c r="R284" s="6"/>
      <c r="S284" s="6"/>
      <c r="T284" s="6"/>
      <c r="U284" s="6"/>
      <c r="V284" s="6"/>
      <c r="W284" s="6"/>
      <c r="X284" s="6"/>
      <c r="Y284" s="6"/>
      <c r="Z284" s="6"/>
      <c r="AA284" s="19"/>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row>
    <row r="285">
      <c r="A285" s="6"/>
      <c r="B285" s="6"/>
      <c r="C285" s="18"/>
      <c r="D285" s="6"/>
      <c r="E285" s="6"/>
      <c r="F285" s="6"/>
      <c r="G285" s="6"/>
      <c r="H285" s="6"/>
      <c r="I285" s="6"/>
      <c r="J285" s="6"/>
      <c r="K285" s="6"/>
      <c r="L285" s="6"/>
      <c r="M285" s="6"/>
      <c r="N285" s="6"/>
      <c r="O285" s="6"/>
      <c r="P285" s="6"/>
      <c r="Q285" s="6"/>
      <c r="R285" s="6"/>
      <c r="S285" s="6"/>
      <c r="T285" s="6"/>
      <c r="U285" s="6"/>
      <c r="V285" s="6"/>
      <c r="W285" s="6"/>
      <c r="X285" s="6"/>
      <c r="Y285" s="6"/>
      <c r="Z285" s="6"/>
      <c r="AA285" s="19"/>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row>
    <row r="286">
      <c r="A286" s="6"/>
      <c r="B286" s="6"/>
      <c r="C286" s="18"/>
      <c r="D286" s="6"/>
      <c r="E286" s="6"/>
      <c r="F286" s="6"/>
      <c r="G286" s="6"/>
      <c r="H286" s="6"/>
      <c r="I286" s="6"/>
      <c r="J286" s="6"/>
      <c r="K286" s="6"/>
      <c r="L286" s="6"/>
      <c r="M286" s="6"/>
      <c r="N286" s="6"/>
      <c r="O286" s="6"/>
      <c r="P286" s="6"/>
      <c r="Q286" s="6"/>
      <c r="R286" s="6"/>
      <c r="S286" s="6"/>
      <c r="T286" s="6"/>
      <c r="U286" s="6"/>
      <c r="V286" s="6"/>
      <c r="W286" s="6"/>
      <c r="X286" s="6"/>
      <c r="Y286" s="6"/>
      <c r="Z286" s="6"/>
      <c r="AA286" s="19"/>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row>
    <row r="287">
      <c r="A287" s="6"/>
      <c r="B287" s="6"/>
      <c r="C287" s="18"/>
      <c r="D287" s="6"/>
      <c r="E287" s="6"/>
      <c r="F287" s="6"/>
      <c r="G287" s="6"/>
      <c r="H287" s="6"/>
      <c r="I287" s="6"/>
      <c r="J287" s="6"/>
      <c r="K287" s="6"/>
      <c r="L287" s="6"/>
      <c r="M287" s="6"/>
      <c r="N287" s="6"/>
      <c r="O287" s="6"/>
      <c r="P287" s="6"/>
      <c r="Q287" s="6"/>
      <c r="R287" s="6"/>
      <c r="S287" s="6"/>
      <c r="T287" s="6"/>
      <c r="U287" s="6"/>
      <c r="V287" s="6"/>
      <c r="W287" s="6"/>
      <c r="X287" s="6"/>
      <c r="Y287" s="6"/>
      <c r="Z287" s="6"/>
      <c r="AA287" s="19"/>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row>
    <row r="288">
      <c r="A288" s="6"/>
      <c r="B288" s="6"/>
      <c r="C288" s="18"/>
      <c r="D288" s="6"/>
      <c r="E288" s="6"/>
      <c r="F288" s="6"/>
      <c r="G288" s="6"/>
      <c r="H288" s="6"/>
      <c r="I288" s="6"/>
      <c r="J288" s="6"/>
      <c r="K288" s="6"/>
      <c r="L288" s="6"/>
      <c r="M288" s="6"/>
      <c r="N288" s="6"/>
      <c r="O288" s="6"/>
      <c r="P288" s="6"/>
      <c r="Q288" s="6"/>
      <c r="R288" s="6"/>
      <c r="S288" s="6"/>
      <c r="T288" s="6"/>
      <c r="U288" s="6"/>
      <c r="V288" s="6"/>
      <c r="W288" s="6"/>
      <c r="X288" s="6"/>
      <c r="Y288" s="6"/>
      <c r="Z288" s="6"/>
      <c r="AA288" s="19"/>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row>
    <row r="289">
      <c r="A289" s="6"/>
      <c r="B289" s="6"/>
      <c r="C289" s="18"/>
      <c r="D289" s="6"/>
      <c r="E289" s="6"/>
      <c r="F289" s="6"/>
      <c r="G289" s="6"/>
      <c r="H289" s="6"/>
      <c r="I289" s="6"/>
      <c r="J289" s="6"/>
      <c r="K289" s="6"/>
      <c r="L289" s="6"/>
      <c r="M289" s="6"/>
      <c r="N289" s="6"/>
      <c r="O289" s="6"/>
      <c r="P289" s="6"/>
      <c r="Q289" s="6"/>
      <c r="R289" s="6"/>
      <c r="S289" s="6"/>
      <c r="T289" s="6"/>
      <c r="U289" s="6"/>
      <c r="V289" s="6"/>
      <c r="W289" s="6"/>
      <c r="X289" s="6"/>
      <c r="Y289" s="6"/>
      <c r="Z289" s="6"/>
      <c r="AA289" s="19"/>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row>
    <row r="290">
      <c r="A290" s="6"/>
      <c r="B290" s="6"/>
      <c r="C290" s="18"/>
      <c r="D290" s="6"/>
      <c r="E290" s="6"/>
      <c r="F290" s="6"/>
      <c r="G290" s="6"/>
      <c r="H290" s="6"/>
      <c r="I290" s="6"/>
      <c r="J290" s="6"/>
      <c r="K290" s="6"/>
      <c r="L290" s="6"/>
      <c r="M290" s="6"/>
      <c r="N290" s="6"/>
      <c r="O290" s="6"/>
      <c r="P290" s="6"/>
      <c r="Q290" s="6"/>
      <c r="R290" s="6"/>
      <c r="S290" s="6"/>
      <c r="T290" s="6"/>
      <c r="U290" s="6"/>
      <c r="V290" s="6"/>
      <c r="W290" s="6"/>
      <c r="X290" s="6"/>
      <c r="Y290" s="6"/>
      <c r="Z290" s="6"/>
      <c r="AA290" s="19"/>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row>
    <row r="291">
      <c r="A291" s="6"/>
      <c r="B291" s="6"/>
      <c r="C291" s="18"/>
      <c r="D291" s="6"/>
      <c r="E291" s="6"/>
      <c r="F291" s="6"/>
      <c r="G291" s="6"/>
      <c r="H291" s="6"/>
      <c r="I291" s="6"/>
      <c r="J291" s="6"/>
      <c r="K291" s="6"/>
      <c r="L291" s="6"/>
      <c r="M291" s="6"/>
      <c r="N291" s="6"/>
      <c r="O291" s="6"/>
      <c r="P291" s="6"/>
      <c r="Q291" s="6"/>
      <c r="R291" s="6"/>
      <c r="S291" s="6"/>
      <c r="T291" s="6"/>
      <c r="U291" s="6"/>
      <c r="V291" s="6"/>
      <c r="W291" s="6"/>
      <c r="X291" s="6"/>
      <c r="Y291" s="6"/>
      <c r="Z291" s="6"/>
      <c r="AA291" s="19"/>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row>
    <row r="292">
      <c r="A292" s="6"/>
      <c r="B292" s="6"/>
      <c r="C292" s="18"/>
      <c r="D292" s="6"/>
      <c r="E292" s="6"/>
      <c r="F292" s="6"/>
      <c r="G292" s="6"/>
      <c r="H292" s="6"/>
      <c r="I292" s="6"/>
      <c r="J292" s="6"/>
      <c r="K292" s="6"/>
      <c r="L292" s="6"/>
      <c r="M292" s="6"/>
      <c r="N292" s="6"/>
      <c r="O292" s="6"/>
      <c r="P292" s="6"/>
      <c r="Q292" s="6"/>
      <c r="R292" s="6"/>
      <c r="S292" s="6"/>
      <c r="T292" s="6"/>
      <c r="U292" s="6"/>
      <c r="V292" s="6"/>
      <c r="W292" s="6"/>
      <c r="X292" s="6"/>
      <c r="Y292" s="6"/>
      <c r="Z292" s="6"/>
      <c r="AA292" s="19"/>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row>
    <row r="293">
      <c r="A293" s="6"/>
      <c r="B293" s="6"/>
      <c r="C293" s="18"/>
      <c r="D293" s="6"/>
      <c r="E293" s="6"/>
      <c r="F293" s="6"/>
      <c r="G293" s="6"/>
      <c r="H293" s="6"/>
      <c r="I293" s="6"/>
      <c r="J293" s="6"/>
      <c r="K293" s="6"/>
      <c r="L293" s="6"/>
      <c r="M293" s="6"/>
      <c r="N293" s="6"/>
      <c r="O293" s="6"/>
      <c r="P293" s="6"/>
      <c r="Q293" s="6"/>
      <c r="R293" s="6"/>
      <c r="S293" s="6"/>
      <c r="T293" s="6"/>
      <c r="U293" s="6"/>
      <c r="V293" s="6"/>
      <c r="W293" s="6"/>
      <c r="X293" s="6"/>
      <c r="Y293" s="6"/>
      <c r="Z293" s="6"/>
      <c r="AA293" s="19"/>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row>
    <row r="294">
      <c r="A294" s="6"/>
      <c r="B294" s="6"/>
      <c r="C294" s="18"/>
      <c r="D294" s="6"/>
      <c r="E294" s="6"/>
      <c r="F294" s="6"/>
      <c r="G294" s="6"/>
      <c r="H294" s="6"/>
      <c r="I294" s="6"/>
      <c r="J294" s="6"/>
      <c r="K294" s="6"/>
      <c r="L294" s="6"/>
      <c r="M294" s="6"/>
      <c r="N294" s="6"/>
      <c r="O294" s="6"/>
      <c r="P294" s="6"/>
      <c r="Q294" s="6"/>
      <c r="R294" s="6"/>
      <c r="S294" s="6"/>
      <c r="T294" s="6"/>
      <c r="U294" s="6"/>
      <c r="V294" s="6"/>
      <c r="W294" s="6"/>
      <c r="X294" s="6"/>
      <c r="Y294" s="6"/>
      <c r="Z294" s="6"/>
      <c r="AA294" s="19"/>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row>
    <row r="295">
      <c r="A295" s="6"/>
      <c r="B295" s="6"/>
      <c r="C295" s="18"/>
      <c r="D295" s="6"/>
      <c r="E295" s="6"/>
      <c r="F295" s="6"/>
      <c r="G295" s="6"/>
      <c r="H295" s="6"/>
      <c r="I295" s="6"/>
      <c r="J295" s="6"/>
      <c r="K295" s="6"/>
      <c r="L295" s="6"/>
      <c r="M295" s="6"/>
      <c r="N295" s="6"/>
      <c r="O295" s="6"/>
      <c r="P295" s="6"/>
      <c r="Q295" s="6"/>
      <c r="R295" s="6"/>
      <c r="S295" s="6"/>
      <c r="T295" s="6"/>
      <c r="U295" s="6"/>
      <c r="V295" s="6"/>
      <c r="W295" s="6"/>
      <c r="X295" s="6"/>
      <c r="Y295" s="6"/>
      <c r="Z295" s="6"/>
      <c r="AA295" s="19"/>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row>
    <row r="296">
      <c r="A296" s="6"/>
      <c r="B296" s="6"/>
      <c r="C296" s="18"/>
      <c r="D296" s="6"/>
      <c r="E296" s="6"/>
      <c r="F296" s="6"/>
      <c r="G296" s="6"/>
      <c r="H296" s="6"/>
      <c r="I296" s="6"/>
      <c r="J296" s="6"/>
      <c r="K296" s="6"/>
      <c r="L296" s="6"/>
      <c r="M296" s="6"/>
      <c r="N296" s="6"/>
      <c r="O296" s="6"/>
      <c r="P296" s="6"/>
      <c r="Q296" s="6"/>
      <c r="R296" s="6"/>
      <c r="S296" s="6"/>
      <c r="T296" s="6"/>
      <c r="U296" s="6"/>
      <c r="V296" s="6"/>
      <c r="W296" s="6"/>
      <c r="X296" s="6"/>
      <c r="Y296" s="6"/>
      <c r="Z296" s="6"/>
      <c r="AA296" s="19"/>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row>
    <row r="297">
      <c r="A297" s="6"/>
      <c r="B297" s="6"/>
      <c r="C297" s="18"/>
      <c r="D297" s="6"/>
      <c r="E297" s="6"/>
      <c r="F297" s="6"/>
      <c r="G297" s="6"/>
      <c r="H297" s="6"/>
      <c r="I297" s="6"/>
      <c r="J297" s="6"/>
      <c r="K297" s="6"/>
      <c r="L297" s="6"/>
      <c r="M297" s="6"/>
      <c r="N297" s="6"/>
      <c r="O297" s="6"/>
      <c r="P297" s="6"/>
      <c r="Q297" s="6"/>
      <c r="R297" s="6"/>
      <c r="S297" s="6"/>
      <c r="T297" s="6"/>
      <c r="U297" s="6"/>
      <c r="V297" s="6"/>
      <c r="W297" s="6"/>
      <c r="X297" s="6"/>
      <c r="Y297" s="6"/>
      <c r="Z297" s="6"/>
      <c r="AA297" s="19"/>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row>
    <row r="298">
      <c r="A298" s="6"/>
      <c r="B298" s="6"/>
      <c r="C298" s="18"/>
      <c r="D298" s="6"/>
      <c r="E298" s="6"/>
      <c r="F298" s="6"/>
      <c r="G298" s="6"/>
      <c r="H298" s="6"/>
      <c r="I298" s="6"/>
      <c r="J298" s="6"/>
      <c r="K298" s="6"/>
      <c r="L298" s="6"/>
      <c r="M298" s="6"/>
      <c r="N298" s="6"/>
      <c r="O298" s="6"/>
      <c r="P298" s="6"/>
      <c r="Q298" s="6"/>
      <c r="R298" s="6"/>
      <c r="S298" s="6"/>
      <c r="T298" s="6"/>
      <c r="U298" s="6"/>
      <c r="V298" s="6"/>
      <c r="W298" s="6"/>
      <c r="X298" s="6"/>
      <c r="Y298" s="6"/>
      <c r="Z298" s="6"/>
      <c r="AA298" s="19"/>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row>
    <row r="299">
      <c r="A299" s="6"/>
      <c r="B299" s="6"/>
      <c r="C299" s="18"/>
      <c r="D299" s="6"/>
      <c r="E299" s="6"/>
      <c r="F299" s="6"/>
      <c r="G299" s="6"/>
      <c r="H299" s="6"/>
      <c r="I299" s="6"/>
      <c r="J299" s="6"/>
      <c r="K299" s="6"/>
      <c r="L299" s="6"/>
      <c r="M299" s="6"/>
      <c r="N299" s="6"/>
      <c r="O299" s="6"/>
      <c r="P299" s="6"/>
      <c r="Q299" s="6"/>
      <c r="R299" s="6"/>
      <c r="S299" s="6"/>
      <c r="T299" s="6"/>
      <c r="U299" s="6"/>
      <c r="V299" s="6"/>
      <c r="W299" s="6"/>
      <c r="X299" s="6"/>
      <c r="Y299" s="6"/>
      <c r="Z299" s="6"/>
      <c r="AA299" s="19"/>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row>
    <row r="300">
      <c r="A300" s="6"/>
      <c r="B300" s="6"/>
      <c r="C300" s="18"/>
      <c r="D300" s="6"/>
      <c r="E300" s="6"/>
      <c r="F300" s="6"/>
      <c r="G300" s="6"/>
      <c r="H300" s="6"/>
      <c r="I300" s="6"/>
      <c r="J300" s="6"/>
      <c r="K300" s="6"/>
      <c r="L300" s="6"/>
      <c r="M300" s="6"/>
      <c r="N300" s="6"/>
      <c r="O300" s="6"/>
      <c r="P300" s="6"/>
      <c r="Q300" s="6"/>
      <c r="R300" s="6"/>
      <c r="S300" s="6"/>
      <c r="T300" s="6"/>
      <c r="U300" s="6"/>
      <c r="V300" s="6"/>
      <c r="W300" s="6"/>
      <c r="X300" s="6"/>
      <c r="Y300" s="6"/>
      <c r="Z300" s="6"/>
      <c r="AA300" s="19"/>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row>
    <row r="301">
      <c r="A301" s="6"/>
      <c r="B301" s="6"/>
      <c r="C301" s="18"/>
      <c r="D301" s="6"/>
      <c r="E301" s="6"/>
      <c r="F301" s="6"/>
      <c r="G301" s="6"/>
      <c r="H301" s="6"/>
      <c r="I301" s="6"/>
      <c r="J301" s="6"/>
      <c r="K301" s="6"/>
      <c r="L301" s="6"/>
      <c r="M301" s="6"/>
      <c r="N301" s="6"/>
      <c r="O301" s="6"/>
      <c r="P301" s="6"/>
      <c r="Q301" s="6"/>
      <c r="R301" s="6"/>
      <c r="S301" s="6"/>
      <c r="T301" s="6"/>
      <c r="U301" s="6"/>
      <c r="V301" s="6"/>
      <c r="W301" s="6"/>
      <c r="X301" s="6"/>
      <c r="Y301" s="6"/>
      <c r="Z301" s="6"/>
      <c r="AA301" s="19"/>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row>
    <row r="302">
      <c r="A302" s="6"/>
      <c r="B302" s="6"/>
      <c r="C302" s="18"/>
      <c r="D302" s="6"/>
      <c r="E302" s="6"/>
      <c r="F302" s="6"/>
      <c r="G302" s="6"/>
      <c r="H302" s="6"/>
      <c r="I302" s="6"/>
      <c r="J302" s="6"/>
      <c r="K302" s="6"/>
      <c r="L302" s="6"/>
      <c r="M302" s="6"/>
      <c r="N302" s="6"/>
      <c r="O302" s="6"/>
      <c r="P302" s="6"/>
      <c r="Q302" s="6"/>
      <c r="R302" s="6"/>
      <c r="S302" s="6"/>
      <c r="T302" s="6"/>
      <c r="U302" s="6"/>
      <c r="V302" s="6"/>
      <c r="W302" s="6"/>
      <c r="X302" s="6"/>
      <c r="Y302" s="6"/>
      <c r="Z302" s="6"/>
      <c r="AA302" s="19"/>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row>
    <row r="303">
      <c r="A303" s="6"/>
      <c r="B303" s="6"/>
      <c r="C303" s="18"/>
      <c r="D303" s="6"/>
      <c r="E303" s="6"/>
      <c r="F303" s="6"/>
      <c r="G303" s="6"/>
      <c r="H303" s="6"/>
      <c r="I303" s="6"/>
      <c r="J303" s="6"/>
      <c r="K303" s="6"/>
      <c r="L303" s="6"/>
      <c r="M303" s="6"/>
      <c r="N303" s="6"/>
      <c r="O303" s="6"/>
      <c r="P303" s="6"/>
      <c r="Q303" s="6"/>
      <c r="R303" s="6"/>
      <c r="S303" s="6"/>
      <c r="T303" s="6"/>
      <c r="U303" s="6"/>
      <c r="V303" s="6"/>
      <c r="W303" s="6"/>
      <c r="X303" s="6"/>
      <c r="Y303" s="6"/>
      <c r="Z303" s="6"/>
      <c r="AA303" s="19"/>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row>
    <row r="304">
      <c r="A304" s="6"/>
      <c r="B304" s="6"/>
      <c r="C304" s="18"/>
      <c r="D304" s="6"/>
      <c r="E304" s="6"/>
      <c r="F304" s="6"/>
      <c r="G304" s="6"/>
      <c r="H304" s="6"/>
      <c r="I304" s="6"/>
      <c r="J304" s="6"/>
      <c r="K304" s="6"/>
      <c r="L304" s="6"/>
      <c r="M304" s="6"/>
      <c r="N304" s="6"/>
      <c r="O304" s="6"/>
      <c r="P304" s="6"/>
      <c r="Q304" s="6"/>
      <c r="R304" s="6"/>
      <c r="S304" s="6"/>
      <c r="T304" s="6"/>
      <c r="U304" s="6"/>
      <c r="V304" s="6"/>
      <c r="W304" s="6"/>
      <c r="X304" s="6"/>
      <c r="Y304" s="6"/>
      <c r="Z304" s="6"/>
      <c r="AA304" s="19"/>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row>
    <row r="305">
      <c r="A305" s="6"/>
      <c r="B305" s="6"/>
      <c r="C305" s="18"/>
      <c r="D305" s="6"/>
      <c r="E305" s="6"/>
      <c r="F305" s="6"/>
      <c r="G305" s="6"/>
      <c r="H305" s="6"/>
      <c r="I305" s="6"/>
      <c r="J305" s="6"/>
      <c r="K305" s="6"/>
      <c r="L305" s="6"/>
      <c r="M305" s="6"/>
      <c r="N305" s="6"/>
      <c r="O305" s="6"/>
      <c r="P305" s="6"/>
      <c r="Q305" s="6"/>
      <c r="R305" s="6"/>
      <c r="S305" s="6"/>
      <c r="T305" s="6"/>
      <c r="U305" s="6"/>
      <c r="V305" s="6"/>
      <c r="W305" s="6"/>
      <c r="X305" s="6"/>
      <c r="Y305" s="6"/>
      <c r="Z305" s="6"/>
      <c r="AA305" s="19"/>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row>
    <row r="306">
      <c r="A306" s="6"/>
      <c r="B306" s="6"/>
      <c r="C306" s="18"/>
      <c r="D306" s="6"/>
      <c r="E306" s="6"/>
      <c r="F306" s="6"/>
      <c r="G306" s="6"/>
      <c r="H306" s="6"/>
      <c r="I306" s="6"/>
      <c r="J306" s="6"/>
      <c r="K306" s="6"/>
      <c r="L306" s="6"/>
      <c r="M306" s="6"/>
      <c r="N306" s="6"/>
      <c r="O306" s="6"/>
      <c r="P306" s="6"/>
      <c r="Q306" s="6"/>
      <c r="R306" s="6"/>
      <c r="S306" s="6"/>
      <c r="T306" s="6"/>
      <c r="U306" s="6"/>
      <c r="V306" s="6"/>
      <c r="W306" s="6"/>
      <c r="X306" s="6"/>
      <c r="Y306" s="6"/>
      <c r="Z306" s="6"/>
      <c r="AA306" s="19"/>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row>
    <row r="307">
      <c r="A307" s="6"/>
      <c r="B307" s="6"/>
      <c r="C307" s="18"/>
      <c r="D307" s="6"/>
      <c r="E307" s="6"/>
      <c r="F307" s="6"/>
      <c r="G307" s="6"/>
      <c r="H307" s="6"/>
      <c r="I307" s="6"/>
      <c r="J307" s="6"/>
      <c r="K307" s="6"/>
      <c r="L307" s="6"/>
      <c r="M307" s="6"/>
      <c r="N307" s="6"/>
      <c r="O307" s="6"/>
      <c r="P307" s="6"/>
      <c r="Q307" s="6"/>
      <c r="R307" s="6"/>
      <c r="S307" s="6"/>
      <c r="T307" s="6"/>
      <c r="U307" s="6"/>
      <c r="V307" s="6"/>
      <c r="W307" s="6"/>
      <c r="X307" s="6"/>
      <c r="Y307" s="6"/>
      <c r="Z307" s="6"/>
      <c r="AA307" s="19"/>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row>
    <row r="308">
      <c r="A308" s="6"/>
      <c r="B308" s="6"/>
      <c r="C308" s="18"/>
      <c r="D308" s="6"/>
      <c r="E308" s="6"/>
      <c r="F308" s="6"/>
      <c r="G308" s="6"/>
      <c r="H308" s="6"/>
      <c r="I308" s="6"/>
      <c r="J308" s="6"/>
      <c r="K308" s="6"/>
      <c r="L308" s="6"/>
      <c r="M308" s="6"/>
      <c r="N308" s="6"/>
      <c r="O308" s="6"/>
      <c r="P308" s="6"/>
      <c r="Q308" s="6"/>
      <c r="R308" s="6"/>
      <c r="S308" s="6"/>
      <c r="T308" s="6"/>
      <c r="U308" s="6"/>
      <c r="V308" s="6"/>
      <c r="W308" s="6"/>
      <c r="X308" s="6"/>
      <c r="Y308" s="6"/>
      <c r="Z308" s="6"/>
      <c r="AA308" s="19"/>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row>
    <row r="309">
      <c r="A309" s="6"/>
      <c r="B309" s="6"/>
      <c r="C309" s="18"/>
      <c r="D309" s="6"/>
      <c r="E309" s="6"/>
      <c r="F309" s="6"/>
      <c r="G309" s="6"/>
      <c r="H309" s="6"/>
      <c r="I309" s="6"/>
      <c r="J309" s="6"/>
      <c r="K309" s="6"/>
      <c r="L309" s="6"/>
      <c r="M309" s="6"/>
      <c r="N309" s="6"/>
      <c r="O309" s="6"/>
      <c r="P309" s="6"/>
      <c r="Q309" s="6"/>
      <c r="R309" s="6"/>
      <c r="S309" s="6"/>
      <c r="T309" s="6"/>
      <c r="U309" s="6"/>
      <c r="V309" s="6"/>
      <c r="W309" s="6"/>
      <c r="X309" s="6"/>
      <c r="Y309" s="6"/>
      <c r="Z309" s="6"/>
      <c r="AA309" s="19"/>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row>
    <row r="310">
      <c r="A310" s="6"/>
      <c r="B310" s="6"/>
      <c r="C310" s="18"/>
      <c r="D310" s="6"/>
      <c r="E310" s="6"/>
      <c r="F310" s="6"/>
      <c r="G310" s="6"/>
      <c r="H310" s="6"/>
      <c r="I310" s="6"/>
      <c r="J310" s="6"/>
      <c r="K310" s="6"/>
      <c r="L310" s="6"/>
      <c r="M310" s="6"/>
      <c r="N310" s="6"/>
      <c r="O310" s="6"/>
      <c r="P310" s="6"/>
      <c r="Q310" s="6"/>
      <c r="R310" s="6"/>
      <c r="S310" s="6"/>
      <c r="T310" s="6"/>
      <c r="U310" s="6"/>
      <c r="V310" s="6"/>
      <c r="W310" s="6"/>
      <c r="X310" s="6"/>
      <c r="Y310" s="6"/>
      <c r="Z310" s="6"/>
      <c r="AA310" s="19"/>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row>
    <row r="311">
      <c r="A311" s="6"/>
      <c r="B311" s="6"/>
      <c r="C311" s="18"/>
      <c r="D311" s="6"/>
      <c r="E311" s="6"/>
      <c r="F311" s="6"/>
      <c r="G311" s="6"/>
      <c r="H311" s="6"/>
      <c r="I311" s="6"/>
      <c r="J311" s="6"/>
      <c r="K311" s="6"/>
      <c r="L311" s="6"/>
      <c r="M311" s="6"/>
      <c r="N311" s="6"/>
      <c r="O311" s="6"/>
      <c r="P311" s="6"/>
      <c r="Q311" s="6"/>
      <c r="R311" s="6"/>
      <c r="S311" s="6"/>
      <c r="T311" s="6"/>
      <c r="U311" s="6"/>
      <c r="V311" s="6"/>
      <c r="W311" s="6"/>
      <c r="X311" s="6"/>
      <c r="Y311" s="6"/>
      <c r="Z311" s="6"/>
      <c r="AA311" s="19"/>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row>
    <row r="312">
      <c r="A312" s="6"/>
      <c r="B312" s="6"/>
      <c r="C312" s="18"/>
      <c r="D312" s="6"/>
      <c r="E312" s="6"/>
      <c r="F312" s="6"/>
      <c r="G312" s="6"/>
      <c r="H312" s="6"/>
      <c r="I312" s="6"/>
      <c r="J312" s="6"/>
      <c r="K312" s="6"/>
      <c r="L312" s="6"/>
      <c r="M312" s="6"/>
      <c r="N312" s="6"/>
      <c r="O312" s="6"/>
      <c r="P312" s="6"/>
      <c r="Q312" s="6"/>
      <c r="R312" s="6"/>
      <c r="S312" s="6"/>
      <c r="T312" s="6"/>
      <c r="U312" s="6"/>
      <c r="V312" s="6"/>
      <c r="W312" s="6"/>
      <c r="X312" s="6"/>
      <c r="Y312" s="6"/>
      <c r="Z312" s="6"/>
      <c r="AA312" s="19"/>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row>
    <row r="313">
      <c r="A313" s="6"/>
      <c r="B313" s="6"/>
      <c r="C313" s="18"/>
      <c r="D313" s="6"/>
      <c r="E313" s="6"/>
      <c r="F313" s="6"/>
      <c r="G313" s="6"/>
      <c r="H313" s="6"/>
      <c r="I313" s="6"/>
      <c r="J313" s="6"/>
      <c r="K313" s="6"/>
      <c r="L313" s="6"/>
      <c r="M313" s="6"/>
      <c r="N313" s="6"/>
      <c r="O313" s="6"/>
      <c r="P313" s="6"/>
      <c r="Q313" s="6"/>
      <c r="R313" s="6"/>
      <c r="S313" s="6"/>
      <c r="T313" s="6"/>
      <c r="U313" s="6"/>
      <c r="V313" s="6"/>
      <c r="W313" s="6"/>
      <c r="X313" s="6"/>
      <c r="Y313" s="6"/>
      <c r="Z313" s="6"/>
      <c r="AA313" s="19"/>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row>
    <row r="314">
      <c r="A314" s="6"/>
      <c r="B314" s="6"/>
      <c r="C314" s="18"/>
      <c r="D314" s="6"/>
      <c r="E314" s="6"/>
      <c r="F314" s="6"/>
      <c r="G314" s="6"/>
      <c r="H314" s="6"/>
      <c r="I314" s="6"/>
      <c r="J314" s="6"/>
      <c r="K314" s="6"/>
      <c r="L314" s="6"/>
      <c r="M314" s="6"/>
      <c r="N314" s="6"/>
      <c r="O314" s="6"/>
      <c r="P314" s="6"/>
      <c r="Q314" s="6"/>
      <c r="R314" s="6"/>
      <c r="S314" s="6"/>
      <c r="T314" s="6"/>
      <c r="U314" s="6"/>
      <c r="V314" s="6"/>
      <c r="W314" s="6"/>
      <c r="X314" s="6"/>
      <c r="Y314" s="6"/>
      <c r="Z314" s="6"/>
      <c r="AA314" s="19"/>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row>
    <row r="315">
      <c r="A315" s="6"/>
      <c r="B315" s="6"/>
      <c r="C315" s="18"/>
      <c r="D315" s="6"/>
      <c r="E315" s="6"/>
      <c r="F315" s="6"/>
      <c r="G315" s="6"/>
      <c r="H315" s="6"/>
      <c r="I315" s="6"/>
      <c r="J315" s="6"/>
      <c r="K315" s="6"/>
      <c r="L315" s="6"/>
      <c r="M315" s="6"/>
      <c r="N315" s="6"/>
      <c r="O315" s="6"/>
      <c r="P315" s="6"/>
      <c r="Q315" s="6"/>
      <c r="R315" s="6"/>
      <c r="S315" s="6"/>
      <c r="T315" s="6"/>
      <c r="U315" s="6"/>
      <c r="V315" s="6"/>
      <c r="W315" s="6"/>
      <c r="X315" s="6"/>
      <c r="Y315" s="6"/>
      <c r="Z315" s="6"/>
      <c r="AA315" s="19"/>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row>
    <row r="316">
      <c r="A316" s="6"/>
      <c r="B316" s="6"/>
      <c r="C316" s="18"/>
      <c r="D316" s="6"/>
      <c r="E316" s="6"/>
      <c r="F316" s="6"/>
      <c r="G316" s="6"/>
      <c r="H316" s="6"/>
      <c r="I316" s="6"/>
      <c r="J316" s="6"/>
      <c r="K316" s="6"/>
      <c r="L316" s="6"/>
      <c r="M316" s="6"/>
      <c r="N316" s="6"/>
      <c r="O316" s="6"/>
      <c r="P316" s="6"/>
      <c r="Q316" s="6"/>
      <c r="R316" s="6"/>
      <c r="S316" s="6"/>
      <c r="T316" s="6"/>
      <c r="U316" s="6"/>
      <c r="V316" s="6"/>
      <c r="W316" s="6"/>
      <c r="X316" s="6"/>
      <c r="Y316" s="6"/>
      <c r="Z316" s="6"/>
      <c r="AA316" s="19"/>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row>
    <row r="317">
      <c r="A317" s="6"/>
      <c r="B317" s="6"/>
      <c r="C317" s="18"/>
      <c r="D317" s="6"/>
      <c r="E317" s="6"/>
      <c r="F317" s="6"/>
      <c r="G317" s="6"/>
      <c r="H317" s="6"/>
      <c r="I317" s="6"/>
      <c r="J317" s="6"/>
      <c r="K317" s="6"/>
      <c r="L317" s="6"/>
      <c r="M317" s="6"/>
      <c r="N317" s="6"/>
      <c r="O317" s="6"/>
      <c r="P317" s="6"/>
      <c r="Q317" s="6"/>
      <c r="R317" s="6"/>
      <c r="S317" s="6"/>
      <c r="T317" s="6"/>
      <c r="U317" s="6"/>
      <c r="V317" s="6"/>
      <c r="W317" s="6"/>
      <c r="X317" s="6"/>
      <c r="Y317" s="6"/>
      <c r="Z317" s="6"/>
      <c r="AA317" s="19"/>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row>
    <row r="318">
      <c r="A318" s="6"/>
      <c r="B318" s="6"/>
      <c r="C318" s="18"/>
      <c r="D318" s="6"/>
      <c r="E318" s="6"/>
      <c r="F318" s="6"/>
      <c r="G318" s="6"/>
      <c r="H318" s="6"/>
      <c r="I318" s="6"/>
      <c r="J318" s="6"/>
      <c r="K318" s="6"/>
      <c r="L318" s="6"/>
      <c r="M318" s="6"/>
      <c r="N318" s="6"/>
      <c r="O318" s="6"/>
      <c r="P318" s="6"/>
      <c r="Q318" s="6"/>
      <c r="R318" s="6"/>
      <c r="S318" s="6"/>
      <c r="T318" s="6"/>
      <c r="U318" s="6"/>
      <c r="V318" s="6"/>
      <c r="W318" s="6"/>
      <c r="X318" s="6"/>
      <c r="Y318" s="6"/>
      <c r="Z318" s="6"/>
      <c r="AA318" s="19"/>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row>
    <row r="319">
      <c r="A319" s="6"/>
      <c r="B319" s="6"/>
      <c r="C319" s="18"/>
      <c r="D319" s="6"/>
      <c r="E319" s="6"/>
      <c r="F319" s="6"/>
      <c r="G319" s="6"/>
      <c r="H319" s="6"/>
      <c r="I319" s="6"/>
      <c r="J319" s="6"/>
      <c r="K319" s="6"/>
      <c r="L319" s="6"/>
      <c r="M319" s="6"/>
      <c r="N319" s="6"/>
      <c r="O319" s="6"/>
      <c r="P319" s="6"/>
      <c r="Q319" s="6"/>
      <c r="R319" s="6"/>
      <c r="S319" s="6"/>
      <c r="T319" s="6"/>
      <c r="U319" s="6"/>
      <c r="V319" s="6"/>
      <c r="W319" s="6"/>
      <c r="X319" s="6"/>
      <c r="Y319" s="6"/>
      <c r="Z319" s="6"/>
      <c r="AA319" s="19"/>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row>
    <row r="320">
      <c r="A320" s="6"/>
      <c r="B320" s="6"/>
      <c r="C320" s="18"/>
      <c r="D320" s="6"/>
      <c r="E320" s="6"/>
      <c r="F320" s="6"/>
      <c r="G320" s="6"/>
      <c r="H320" s="6"/>
      <c r="I320" s="6"/>
      <c r="J320" s="6"/>
      <c r="K320" s="6"/>
      <c r="L320" s="6"/>
      <c r="M320" s="6"/>
      <c r="N320" s="6"/>
      <c r="O320" s="6"/>
      <c r="P320" s="6"/>
      <c r="Q320" s="6"/>
      <c r="R320" s="6"/>
      <c r="S320" s="6"/>
      <c r="T320" s="6"/>
      <c r="U320" s="6"/>
      <c r="V320" s="6"/>
      <c r="W320" s="6"/>
      <c r="X320" s="6"/>
      <c r="Y320" s="6"/>
      <c r="Z320" s="6"/>
      <c r="AA320" s="19"/>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row>
    <row r="321">
      <c r="A321" s="6"/>
      <c r="B321" s="6"/>
      <c r="C321" s="18"/>
      <c r="D321" s="6"/>
      <c r="E321" s="6"/>
      <c r="F321" s="6"/>
      <c r="G321" s="6"/>
      <c r="H321" s="6"/>
      <c r="I321" s="6"/>
      <c r="J321" s="6"/>
      <c r="K321" s="6"/>
      <c r="L321" s="6"/>
      <c r="M321" s="6"/>
      <c r="N321" s="6"/>
      <c r="O321" s="6"/>
      <c r="P321" s="6"/>
      <c r="Q321" s="6"/>
      <c r="R321" s="6"/>
      <c r="S321" s="6"/>
      <c r="T321" s="6"/>
      <c r="U321" s="6"/>
      <c r="V321" s="6"/>
      <c r="W321" s="6"/>
      <c r="X321" s="6"/>
      <c r="Y321" s="6"/>
      <c r="Z321" s="6"/>
      <c r="AA321" s="19"/>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row>
    <row r="322">
      <c r="A322" s="6"/>
      <c r="B322" s="6"/>
      <c r="C322" s="18"/>
      <c r="D322" s="6"/>
      <c r="E322" s="6"/>
      <c r="F322" s="6"/>
      <c r="G322" s="6"/>
      <c r="H322" s="6"/>
      <c r="I322" s="6"/>
      <c r="J322" s="6"/>
      <c r="K322" s="6"/>
      <c r="L322" s="6"/>
      <c r="M322" s="6"/>
      <c r="N322" s="6"/>
      <c r="O322" s="6"/>
      <c r="P322" s="6"/>
      <c r="Q322" s="6"/>
      <c r="R322" s="6"/>
      <c r="S322" s="6"/>
      <c r="T322" s="6"/>
      <c r="U322" s="6"/>
      <c r="V322" s="6"/>
      <c r="W322" s="6"/>
      <c r="X322" s="6"/>
      <c r="Y322" s="6"/>
      <c r="Z322" s="6"/>
      <c r="AA322" s="19"/>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row>
    <row r="323">
      <c r="A323" s="6"/>
      <c r="B323" s="6"/>
      <c r="C323" s="18"/>
      <c r="D323" s="6"/>
      <c r="E323" s="6"/>
      <c r="F323" s="6"/>
      <c r="G323" s="6"/>
      <c r="H323" s="6"/>
      <c r="I323" s="6"/>
      <c r="J323" s="6"/>
      <c r="K323" s="6"/>
      <c r="L323" s="6"/>
      <c r="M323" s="6"/>
      <c r="N323" s="6"/>
      <c r="O323" s="6"/>
      <c r="P323" s="6"/>
      <c r="Q323" s="6"/>
      <c r="R323" s="6"/>
      <c r="S323" s="6"/>
      <c r="T323" s="6"/>
      <c r="U323" s="6"/>
      <c r="V323" s="6"/>
      <c r="W323" s="6"/>
      <c r="X323" s="6"/>
      <c r="Y323" s="6"/>
      <c r="Z323" s="6"/>
      <c r="AA323" s="19"/>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row>
    <row r="324">
      <c r="A324" s="6"/>
      <c r="B324" s="6"/>
      <c r="C324" s="18"/>
      <c r="D324" s="6"/>
      <c r="E324" s="6"/>
      <c r="F324" s="6"/>
      <c r="G324" s="6"/>
      <c r="H324" s="6"/>
      <c r="I324" s="6"/>
      <c r="J324" s="6"/>
      <c r="K324" s="6"/>
      <c r="L324" s="6"/>
      <c r="M324" s="6"/>
      <c r="N324" s="6"/>
      <c r="O324" s="6"/>
      <c r="P324" s="6"/>
      <c r="Q324" s="6"/>
      <c r="R324" s="6"/>
      <c r="S324" s="6"/>
      <c r="T324" s="6"/>
      <c r="U324" s="6"/>
      <c r="V324" s="6"/>
      <c r="W324" s="6"/>
      <c r="X324" s="6"/>
      <c r="Y324" s="6"/>
      <c r="Z324" s="6"/>
      <c r="AA324" s="19"/>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row>
    <row r="325">
      <c r="A325" s="6"/>
      <c r="B325" s="6"/>
      <c r="C325" s="18"/>
      <c r="D325" s="6"/>
      <c r="E325" s="6"/>
      <c r="F325" s="6"/>
      <c r="G325" s="6"/>
      <c r="H325" s="6"/>
      <c r="I325" s="6"/>
      <c r="J325" s="6"/>
      <c r="K325" s="6"/>
      <c r="L325" s="6"/>
      <c r="M325" s="6"/>
      <c r="N325" s="6"/>
      <c r="O325" s="6"/>
      <c r="P325" s="6"/>
      <c r="Q325" s="6"/>
      <c r="R325" s="6"/>
      <c r="S325" s="6"/>
      <c r="T325" s="6"/>
      <c r="U325" s="6"/>
      <c r="V325" s="6"/>
      <c r="W325" s="6"/>
      <c r="X325" s="6"/>
      <c r="Y325" s="6"/>
      <c r="Z325" s="6"/>
      <c r="AA325" s="19"/>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c r="A326" s="6"/>
      <c r="B326" s="6"/>
      <c r="C326" s="18"/>
      <c r="D326" s="6"/>
      <c r="E326" s="6"/>
      <c r="F326" s="6"/>
      <c r="G326" s="6"/>
      <c r="H326" s="6"/>
      <c r="I326" s="6"/>
      <c r="J326" s="6"/>
      <c r="K326" s="6"/>
      <c r="L326" s="6"/>
      <c r="M326" s="6"/>
      <c r="N326" s="6"/>
      <c r="O326" s="6"/>
      <c r="P326" s="6"/>
      <c r="Q326" s="6"/>
      <c r="R326" s="6"/>
      <c r="S326" s="6"/>
      <c r="T326" s="6"/>
      <c r="U326" s="6"/>
      <c r="V326" s="6"/>
      <c r="W326" s="6"/>
      <c r="X326" s="6"/>
      <c r="Y326" s="6"/>
      <c r="Z326" s="6"/>
      <c r="AA326" s="19"/>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c r="A327" s="6"/>
      <c r="B327" s="6"/>
      <c r="C327" s="18"/>
      <c r="D327" s="6"/>
      <c r="E327" s="6"/>
      <c r="F327" s="6"/>
      <c r="G327" s="6"/>
      <c r="H327" s="6"/>
      <c r="I327" s="6"/>
      <c r="J327" s="6"/>
      <c r="K327" s="6"/>
      <c r="L327" s="6"/>
      <c r="M327" s="6"/>
      <c r="N327" s="6"/>
      <c r="O327" s="6"/>
      <c r="P327" s="6"/>
      <c r="Q327" s="6"/>
      <c r="R327" s="6"/>
      <c r="S327" s="6"/>
      <c r="T327" s="6"/>
      <c r="U327" s="6"/>
      <c r="V327" s="6"/>
      <c r="W327" s="6"/>
      <c r="X327" s="6"/>
      <c r="Y327" s="6"/>
      <c r="Z327" s="6"/>
      <c r="AA327" s="19"/>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c r="A328" s="6"/>
      <c r="B328" s="6"/>
      <c r="C328" s="18"/>
      <c r="D328" s="6"/>
      <c r="E328" s="6"/>
      <c r="F328" s="6"/>
      <c r="G328" s="6"/>
      <c r="H328" s="6"/>
      <c r="I328" s="6"/>
      <c r="J328" s="6"/>
      <c r="K328" s="6"/>
      <c r="L328" s="6"/>
      <c r="M328" s="6"/>
      <c r="N328" s="6"/>
      <c r="O328" s="6"/>
      <c r="P328" s="6"/>
      <c r="Q328" s="6"/>
      <c r="R328" s="6"/>
      <c r="S328" s="6"/>
      <c r="T328" s="6"/>
      <c r="U328" s="6"/>
      <c r="V328" s="6"/>
      <c r="W328" s="6"/>
      <c r="X328" s="6"/>
      <c r="Y328" s="6"/>
      <c r="Z328" s="6"/>
      <c r="AA328" s="19"/>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c r="A329" s="6"/>
      <c r="B329" s="6"/>
      <c r="C329" s="18"/>
      <c r="D329" s="6"/>
      <c r="E329" s="6"/>
      <c r="F329" s="6"/>
      <c r="G329" s="6"/>
      <c r="H329" s="6"/>
      <c r="I329" s="6"/>
      <c r="J329" s="6"/>
      <c r="K329" s="6"/>
      <c r="L329" s="6"/>
      <c r="M329" s="6"/>
      <c r="N329" s="6"/>
      <c r="O329" s="6"/>
      <c r="P329" s="6"/>
      <c r="Q329" s="6"/>
      <c r="R329" s="6"/>
      <c r="S329" s="6"/>
      <c r="T329" s="6"/>
      <c r="U329" s="6"/>
      <c r="V329" s="6"/>
      <c r="W329" s="6"/>
      <c r="X329" s="6"/>
      <c r="Y329" s="6"/>
      <c r="Z329" s="6"/>
      <c r="AA329" s="19"/>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row>
    <row r="330">
      <c r="A330" s="6"/>
      <c r="B330" s="6"/>
      <c r="C330" s="18"/>
      <c r="D330" s="6"/>
      <c r="E330" s="6"/>
      <c r="F330" s="6"/>
      <c r="G330" s="6"/>
      <c r="H330" s="6"/>
      <c r="I330" s="6"/>
      <c r="J330" s="6"/>
      <c r="K330" s="6"/>
      <c r="L330" s="6"/>
      <c r="M330" s="6"/>
      <c r="N330" s="6"/>
      <c r="O330" s="6"/>
      <c r="P330" s="6"/>
      <c r="Q330" s="6"/>
      <c r="R330" s="6"/>
      <c r="S330" s="6"/>
      <c r="T330" s="6"/>
      <c r="U330" s="6"/>
      <c r="V330" s="6"/>
      <c r="W330" s="6"/>
      <c r="X330" s="6"/>
      <c r="Y330" s="6"/>
      <c r="Z330" s="6"/>
      <c r="AA330" s="19"/>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row>
    <row r="331">
      <c r="A331" s="6"/>
      <c r="B331" s="6"/>
      <c r="C331" s="18"/>
      <c r="D331" s="6"/>
      <c r="E331" s="6"/>
      <c r="F331" s="6"/>
      <c r="G331" s="6"/>
      <c r="H331" s="6"/>
      <c r="I331" s="6"/>
      <c r="J331" s="6"/>
      <c r="K331" s="6"/>
      <c r="L331" s="6"/>
      <c r="M331" s="6"/>
      <c r="N331" s="6"/>
      <c r="O331" s="6"/>
      <c r="P331" s="6"/>
      <c r="Q331" s="6"/>
      <c r="R331" s="6"/>
      <c r="S331" s="6"/>
      <c r="T331" s="6"/>
      <c r="U331" s="6"/>
      <c r="V331" s="6"/>
      <c r="W331" s="6"/>
      <c r="X331" s="6"/>
      <c r="Y331" s="6"/>
      <c r="Z331" s="6"/>
      <c r="AA331" s="19"/>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row>
    <row r="332">
      <c r="A332" s="6"/>
      <c r="B332" s="6"/>
      <c r="C332" s="18"/>
      <c r="D332" s="6"/>
      <c r="E332" s="6"/>
      <c r="F332" s="6"/>
      <c r="G332" s="6"/>
      <c r="H332" s="6"/>
      <c r="I332" s="6"/>
      <c r="J332" s="6"/>
      <c r="K332" s="6"/>
      <c r="L332" s="6"/>
      <c r="M332" s="6"/>
      <c r="N332" s="6"/>
      <c r="O332" s="6"/>
      <c r="P332" s="6"/>
      <c r="Q332" s="6"/>
      <c r="R332" s="6"/>
      <c r="S332" s="6"/>
      <c r="T332" s="6"/>
      <c r="U332" s="6"/>
      <c r="V332" s="6"/>
      <c r="W332" s="6"/>
      <c r="X332" s="6"/>
      <c r="Y332" s="6"/>
      <c r="Z332" s="6"/>
      <c r="AA332" s="19"/>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row>
    <row r="333">
      <c r="A333" s="6"/>
      <c r="B333" s="6"/>
      <c r="C333" s="18"/>
      <c r="D333" s="6"/>
      <c r="E333" s="6"/>
      <c r="F333" s="6"/>
      <c r="G333" s="6"/>
      <c r="H333" s="6"/>
      <c r="I333" s="6"/>
      <c r="J333" s="6"/>
      <c r="K333" s="6"/>
      <c r="L333" s="6"/>
      <c r="M333" s="6"/>
      <c r="N333" s="6"/>
      <c r="O333" s="6"/>
      <c r="P333" s="6"/>
      <c r="Q333" s="6"/>
      <c r="R333" s="6"/>
      <c r="S333" s="6"/>
      <c r="T333" s="6"/>
      <c r="U333" s="6"/>
      <c r="V333" s="6"/>
      <c r="W333" s="6"/>
      <c r="X333" s="6"/>
      <c r="Y333" s="6"/>
      <c r="Z333" s="6"/>
      <c r="AA333" s="19"/>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row>
    <row r="334">
      <c r="A334" s="6"/>
      <c r="B334" s="6"/>
      <c r="C334" s="18"/>
      <c r="D334" s="6"/>
      <c r="E334" s="6"/>
      <c r="F334" s="6"/>
      <c r="G334" s="6"/>
      <c r="H334" s="6"/>
      <c r="I334" s="6"/>
      <c r="J334" s="6"/>
      <c r="K334" s="6"/>
      <c r="L334" s="6"/>
      <c r="M334" s="6"/>
      <c r="N334" s="6"/>
      <c r="O334" s="6"/>
      <c r="P334" s="6"/>
      <c r="Q334" s="6"/>
      <c r="R334" s="6"/>
      <c r="S334" s="6"/>
      <c r="T334" s="6"/>
      <c r="U334" s="6"/>
      <c r="V334" s="6"/>
      <c r="W334" s="6"/>
      <c r="X334" s="6"/>
      <c r="Y334" s="6"/>
      <c r="Z334" s="6"/>
      <c r="AA334" s="19"/>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row>
    <row r="335">
      <c r="A335" s="6"/>
      <c r="B335" s="6"/>
      <c r="C335" s="18"/>
      <c r="D335" s="6"/>
      <c r="E335" s="6"/>
      <c r="F335" s="6"/>
      <c r="G335" s="6"/>
      <c r="H335" s="6"/>
      <c r="I335" s="6"/>
      <c r="J335" s="6"/>
      <c r="K335" s="6"/>
      <c r="L335" s="6"/>
      <c r="M335" s="6"/>
      <c r="N335" s="6"/>
      <c r="O335" s="6"/>
      <c r="P335" s="6"/>
      <c r="Q335" s="6"/>
      <c r="R335" s="6"/>
      <c r="S335" s="6"/>
      <c r="T335" s="6"/>
      <c r="U335" s="6"/>
      <c r="V335" s="6"/>
      <c r="W335" s="6"/>
      <c r="X335" s="6"/>
      <c r="Y335" s="6"/>
      <c r="Z335" s="6"/>
      <c r="AA335" s="19"/>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row>
    <row r="336">
      <c r="A336" s="6"/>
      <c r="B336" s="6"/>
      <c r="C336" s="18"/>
      <c r="D336" s="6"/>
      <c r="E336" s="6"/>
      <c r="F336" s="6"/>
      <c r="G336" s="6"/>
      <c r="H336" s="6"/>
      <c r="I336" s="6"/>
      <c r="J336" s="6"/>
      <c r="K336" s="6"/>
      <c r="L336" s="6"/>
      <c r="M336" s="6"/>
      <c r="N336" s="6"/>
      <c r="O336" s="6"/>
      <c r="P336" s="6"/>
      <c r="Q336" s="6"/>
      <c r="R336" s="6"/>
      <c r="S336" s="6"/>
      <c r="T336" s="6"/>
      <c r="U336" s="6"/>
      <c r="V336" s="6"/>
      <c r="W336" s="6"/>
      <c r="X336" s="6"/>
      <c r="Y336" s="6"/>
      <c r="Z336" s="6"/>
      <c r="AA336" s="19"/>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row>
    <row r="337">
      <c r="A337" s="6"/>
      <c r="B337" s="6"/>
      <c r="C337" s="18"/>
      <c r="D337" s="6"/>
      <c r="E337" s="6"/>
      <c r="F337" s="6"/>
      <c r="G337" s="6"/>
      <c r="H337" s="6"/>
      <c r="I337" s="6"/>
      <c r="J337" s="6"/>
      <c r="K337" s="6"/>
      <c r="L337" s="6"/>
      <c r="M337" s="6"/>
      <c r="N337" s="6"/>
      <c r="O337" s="6"/>
      <c r="P337" s="6"/>
      <c r="Q337" s="6"/>
      <c r="R337" s="6"/>
      <c r="S337" s="6"/>
      <c r="T337" s="6"/>
      <c r="U337" s="6"/>
      <c r="V337" s="6"/>
      <c r="W337" s="6"/>
      <c r="X337" s="6"/>
      <c r="Y337" s="6"/>
      <c r="Z337" s="6"/>
      <c r="AA337" s="19"/>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row>
    <row r="338">
      <c r="A338" s="6"/>
      <c r="B338" s="6"/>
      <c r="C338" s="18"/>
      <c r="D338" s="6"/>
      <c r="E338" s="6"/>
      <c r="F338" s="6"/>
      <c r="G338" s="6"/>
      <c r="H338" s="6"/>
      <c r="I338" s="6"/>
      <c r="J338" s="6"/>
      <c r="K338" s="6"/>
      <c r="L338" s="6"/>
      <c r="M338" s="6"/>
      <c r="N338" s="6"/>
      <c r="O338" s="6"/>
      <c r="P338" s="6"/>
      <c r="Q338" s="6"/>
      <c r="R338" s="6"/>
      <c r="S338" s="6"/>
      <c r="T338" s="6"/>
      <c r="U338" s="6"/>
      <c r="V338" s="6"/>
      <c r="W338" s="6"/>
      <c r="X338" s="6"/>
      <c r="Y338" s="6"/>
      <c r="Z338" s="6"/>
      <c r="AA338" s="19"/>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row>
    <row r="339">
      <c r="A339" s="6"/>
      <c r="B339" s="6"/>
      <c r="C339" s="18"/>
      <c r="D339" s="6"/>
      <c r="E339" s="6"/>
      <c r="F339" s="6"/>
      <c r="G339" s="6"/>
      <c r="H339" s="6"/>
      <c r="I339" s="6"/>
      <c r="J339" s="6"/>
      <c r="K339" s="6"/>
      <c r="L339" s="6"/>
      <c r="M339" s="6"/>
      <c r="N339" s="6"/>
      <c r="O339" s="6"/>
      <c r="P339" s="6"/>
      <c r="Q339" s="6"/>
      <c r="R339" s="6"/>
      <c r="S339" s="6"/>
      <c r="T339" s="6"/>
      <c r="U339" s="6"/>
      <c r="V339" s="6"/>
      <c r="W339" s="6"/>
      <c r="X339" s="6"/>
      <c r="Y339" s="6"/>
      <c r="Z339" s="6"/>
      <c r="AA339" s="19"/>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row>
    <row r="340">
      <c r="A340" s="6"/>
      <c r="B340" s="6"/>
      <c r="C340" s="18"/>
      <c r="D340" s="6"/>
      <c r="E340" s="6"/>
      <c r="F340" s="6"/>
      <c r="G340" s="6"/>
      <c r="H340" s="6"/>
      <c r="I340" s="6"/>
      <c r="J340" s="6"/>
      <c r="K340" s="6"/>
      <c r="L340" s="6"/>
      <c r="M340" s="6"/>
      <c r="N340" s="6"/>
      <c r="O340" s="6"/>
      <c r="P340" s="6"/>
      <c r="Q340" s="6"/>
      <c r="R340" s="6"/>
      <c r="S340" s="6"/>
      <c r="T340" s="6"/>
      <c r="U340" s="6"/>
      <c r="V340" s="6"/>
      <c r="W340" s="6"/>
      <c r="X340" s="6"/>
      <c r="Y340" s="6"/>
      <c r="Z340" s="6"/>
      <c r="AA340" s="19"/>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row>
    <row r="341">
      <c r="A341" s="6"/>
      <c r="B341" s="6"/>
      <c r="C341" s="18"/>
      <c r="D341" s="6"/>
      <c r="E341" s="6"/>
      <c r="F341" s="6"/>
      <c r="G341" s="6"/>
      <c r="H341" s="6"/>
      <c r="I341" s="6"/>
      <c r="J341" s="6"/>
      <c r="K341" s="6"/>
      <c r="L341" s="6"/>
      <c r="M341" s="6"/>
      <c r="N341" s="6"/>
      <c r="O341" s="6"/>
      <c r="P341" s="6"/>
      <c r="Q341" s="6"/>
      <c r="R341" s="6"/>
      <c r="S341" s="6"/>
      <c r="T341" s="6"/>
      <c r="U341" s="6"/>
      <c r="V341" s="6"/>
      <c r="W341" s="6"/>
      <c r="X341" s="6"/>
      <c r="Y341" s="6"/>
      <c r="Z341" s="6"/>
      <c r="AA341" s="19"/>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row>
    <row r="342">
      <c r="A342" s="6"/>
      <c r="B342" s="6"/>
      <c r="C342" s="18"/>
      <c r="D342" s="6"/>
      <c r="E342" s="6"/>
      <c r="F342" s="6"/>
      <c r="G342" s="6"/>
      <c r="H342" s="6"/>
      <c r="I342" s="6"/>
      <c r="J342" s="6"/>
      <c r="K342" s="6"/>
      <c r="L342" s="6"/>
      <c r="M342" s="6"/>
      <c r="N342" s="6"/>
      <c r="O342" s="6"/>
      <c r="P342" s="6"/>
      <c r="Q342" s="6"/>
      <c r="R342" s="6"/>
      <c r="S342" s="6"/>
      <c r="T342" s="6"/>
      <c r="U342" s="6"/>
      <c r="V342" s="6"/>
      <c r="W342" s="6"/>
      <c r="X342" s="6"/>
      <c r="Y342" s="6"/>
      <c r="Z342" s="6"/>
      <c r="AA342" s="19"/>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row>
    <row r="343">
      <c r="A343" s="6"/>
      <c r="B343" s="6"/>
      <c r="C343" s="18"/>
      <c r="D343" s="6"/>
      <c r="E343" s="6"/>
      <c r="F343" s="6"/>
      <c r="G343" s="6"/>
      <c r="H343" s="6"/>
      <c r="I343" s="6"/>
      <c r="J343" s="6"/>
      <c r="K343" s="6"/>
      <c r="L343" s="6"/>
      <c r="M343" s="6"/>
      <c r="N343" s="6"/>
      <c r="O343" s="6"/>
      <c r="P343" s="6"/>
      <c r="Q343" s="6"/>
      <c r="R343" s="6"/>
      <c r="S343" s="6"/>
      <c r="T343" s="6"/>
      <c r="U343" s="6"/>
      <c r="V343" s="6"/>
      <c r="W343" s="6"/>
      <c r="X343" s="6"/>
      <c r="Y343" s="6"/>
      <c r="Z343" s="6"/>
      <c r="AA343" s="19"/>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row>
    <row r="344">
      <c r="A344" s="6"/>
      <c r="B344" s="6"/>
      <c r="C344" s="18"/>
      <c r="D344" s="6"/>
      <c r="E344" s="6"/>
      <c r="F344" s="6"/>
      <c r="G344" s="6"/>
      <c r="H344" s="6"/>
      <c r="I344" s="6"/>
      <c r="J344" s="6"/>
      <c r="K344" s="6"/>
      <c r="L344" s="6"/>
      <c r="M344" s="6"/>
      <c r="N344" s="6"/>
      <c r="O344" s="6"/>
      <c r="P344" s="6"/>
      <c r="Q344" s="6"/>
      <c r="R344" s="6"/>
      <c r="S344" s="6"/>
      <c r="T344" s="6"/>
      <c r="U344" s="6"/>
      <c r="V344" s="6"/>
      <c r="W344" s="6"/>
      <c r="X344" s="6"/>
      <c r="Y344" s="6"/>
      <c r="Z344" s="6"/>
      <c r="AA344" s="19"/>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row>
    <row r="345">
      <c r="A345" s="6"/>
      <c r="B345" s="6"/>
      <c r="C345" s="18"/>
      <c r="D345" s="6"/>
      <c r="E345" s="6"/>
      <c r="F345" s="6"/>
      <c r="G345" s="6"/>
      <c r="H345" s="6"/>
      <c r="I345" s="6"/>
      <c r="J345" s="6"/>
      <c r="K345" s="6"/>
      <c r="L345" s="6"/>
      <c r="M345" s="6"/>
      <c r="N345" s="6"/>
      <c r="O345" s="6"/>
      <c r="P345" s="6"/>
      <c r="Q345" s="6"/>
      <c r="R345" s="6"/>
      <c r="S345" s="6"/>
      <c r="T345" s="6"/>
      <c r="U345" s="6"/>
      <c r="V345" s="6"/>
      <c r="W345" s="6"/>
      <c r="X345" s="6"/>
      <c r="Y345" s="6"/>
      <c r="Z345" s="6"/>
      <c r="AA345" s="19"/>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row>
    <row r="346">
      <c r="A346" s="6"/>
      <c r="B346" s="6"/>
      <c r="C346" s="18"/>
      <c r="D346" s="6"/>
      <c r="E346" s="6"/>
      <c r="F346" s="6"/>
      <c r="G346" s="6"/>
      <c r="H346" s="6"/>
      <c r="I346" s="6"/>
      <c r="J346" s="6"/>
      <c r="K346" s="6"/>
      <c r="L346" s="6"/>
      <c r="M346" s="6"/>
      <c r="N346" s="6"/>
      <c r="O346" s="6"/>
      <c r="P346" s="6"/>
      <c r="Q346" s="6"/>
      <c r="R346" s="6"/>
      <c r="S346" s="6"/>
      <c r="T346" s="6"/>
      <c r="U346" s="6"/>
      <c r="V346" s="6"/>
      <c r="W346" s="6"/>
      <c r="X346" s="6"/>
      <c r="Y346" s="6"/>
      <c r="Z346" s="6"/>
      <c r="AA346" s="19"/>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row>
    <row r="347">
      <c r="A347" s="6"/>
      <c r="B347" s="6"/>
      <c r="C347" s="18"/>
      <c r="D347" s="6"/>
      <c r="E347" s="6"/>
      <c r="F347" s="6"/>
      <c r="G347" s="6"/>
      <c r="H347" s="6"/>
      <c r="I347" s="6"/>
      <c r="J347" s="6"/>
      <c r="K347" s="6"/>
      <c r="L347" s="6"/>
      <c r="M347" s="6"/>
      <c r="N347" s="6"/>
      <c r="O347" s="6"/>
      <c r="P347" s="6"/>
      <c r="Q347" s="6"/>
      <c r="R347" s="6"/>
      <c r="S347" s="6"/>
      <c r="T347" s="6"/>
      <c r="U347" s="6"/>
      <c r="V347" s="6"/>
      <c r="W347" s="6"/>
      <c r="X347" s="6"/>
      <c r="Y347" s="6"/>
      <c r="Z347" s="6"/>
      <c r="AA347" s="19"/>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row>
    <row r="348">
      <c r="A348" s="6"/>
      <c r="B348" s="6"/>
      <c r="C348" s="18"/>
      <c r="D348" s="6"/>
      <c r="E348" s="6"/>
      <c r="F348" s="6"/>
      <c r="G348" s="6"/>
      <c r="H348" s="6"/>
      <c r="I348" s="6"/>
      <c r="J348" s="6"/>
      <c r="K348" s="6"/>
      <c r="L348" s="6"/>
      <c r="M348" s="6"/>
      <c r="N348" s="6"/>
      <c r="O348" s="6"/>
      <c r="P348" s="6"/>
      <c r="Q348" s="6"/>
      <c r="R348" s="6"/>
      <c r="S348" s="6"/>
      <c r="T348" s="6"/>
      <c r="U348" s="6"/>
      <c r="V348" s="6"/>
      <c r="W348" s="6"/>
      <c r="X348" s="6"/>
      <c r="Y348" s="6"/>
      <c r="Z348" s="6"/>
      <c r="AA348" s="19"/>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row>
    <row r="349">
      <c r="A349" s="6"/>
      <c r="B349" s="6"/>
      <c r="C349" s="18"/>
      <c r="D349" s="6"/>
      <c r="E349" s="6"/>
      <c r="F349" s="6"/>
      <c r="G349" s="6"/>
      <c r="H349" s="6"/>
      <c r="I349" s="6"/>
      <c r="J349" s="6"/>
      <c r="K349" s="6"/>
      <c r="L349" s="6"/>
      <c r="M349" s="6"/>
      <c r="N349" s="6"/>
      <c r="O349" s="6"/>
      <c r="P349" s="6"/>
      <c r="Q349" s="6"/>
      <c r="R349" s="6"/>
      <c r="S349" s="6"/>
      <c r="T349" s="6"/>
      <c r="U349" s="6"/>
      <c r="V349" s="6"/>
      <c r="W349" s="6"/>
      <c r="X349" s="6"/>
      <c r="Y349" s="6"/>
      <c r="Z349" s="6"/>
      <c r="AA349" s="19"/>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row>
    <row r="350">
      <c r="A350" s="6"/>
      <c r="B350" s="6"/>
      <c r="C350" s="18"/>
      <c r="D350" s="6"/>
      <c r="E350" s="6"/>
      <c r="F350" s="6"/>
      <c r="G350" s="6"/>
      <c r="H350" s="6"/>
      <c r="I350" s="6"/>
      <c r="J350" s="6"/>
      <c r="K350" s="6"/>
      <c r="L350" s="6"/>
      <c r="M350" s="6"/>
      <c r="N350" s="6"/>
      <c r="O350" s="6"/>
      <c r="P350" s="6"/>
      <c r="Q350" s="6"/>
      <c r="R350" s="6"/>
      <c r="S350" s="6"/>
      <c r="T350" s="6"/>
      <c r="U350" s="6"/>
      <c r="V350" s="6"/>
      <c r="W350" s="6"/>
      <c r="X350" s="6"/>
      <c r="Y350" s="6"/>
      <c r="Z350" s="6"/>
      <c r="AA350" s="19"/>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row>
    <row r="351">
      <c r="A351" s="6"/>
      <c r="B351" s="6"/>
      <c r="C351" s="18"/>
      <c r="D351" s="6"/>
      <c r="E351" s="6"/>
      <c r="F351" s="6"/>
      <c r="G351" s="6"/>
      <c r="H351" s="6"/>
      <c r="I351" s="6"/>
      <c r="J351" s="6"/>
      <c r="K351" s="6"/>
      <c r="L351" s="6"/>
      <c r="M351" s="6"/>
      <c r="N351" s="6"/>
      <c r="O351" s="6"/>
      <c r="P351" s="6"/>
      <c r="Q351" s="6"/>
      <c r="R351" s="6"/>
      <c r="S351" s="6"/>
      <c r="T351" s="6"/>
      <c r="U351" s="6"/>
      <c r="V351" s="6"/>
      <c r="W351" s="6"/>
      <c r="X351" s="6"/>
      <c r="Y351" s="6"/>
      <c r="Z351" s="6"/>
      <c r="AA351" s="19"/>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row>
    <row r="352">
      <c r="A352" s="6"/>
      <c r="B352" s="6"/>
      <c r="C352" s="18"/>
      <c r="D352" s="6"/>
      <c r="E352" s="6"/>
      <c r="F352" s="6"/>
      <c r="G352" s="6"/>
      <c r="H352" s="6"/>
      <c r="I352" s="6"/>
      <c r="J352" s="6"/>
      <c r="K352" s="6"/>
      <c r="L352" s="6"/>
      <c r="M352" s="6"/>
      <c r="N352" s="6"/>
      <c r="O352" s="6"/>
      <c r="P352" s="6"/>
      <c r="Q352" s="6"/>
      <c r="R352" s="6"/>
      <c r="S352" s="6"/>
      <c r="T352" s="6"/>
      <c r="U352" s="6"/>
      <c r="V352" s="6"/>
      <c r="W352" s="6"/>
      <c r="X352" s="6"/>
      <c r="Y352" s="6"/>
      <c r="Z352" s="6"/>
      <c r="AA352" s="19"/>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row>
    <row r="353">
      <c r="A353" s="6"/>
      <c r="B353" s="6"/>
      <c r="C353" s="18"/>
      <c r="D353" s="6"/>
      <c r="E353" s="6"/>
      <c r="F353" s="6"/>
      <c r="G353" s="6"/>
      <c r="H353" s="6"/>
      <c r="I353" s="6"/>
      <c r="J353" s="6"/>
      <c r="K353" s="6"/>
      <c r="L353" s="6"/>
      <c r="M353" s="6"/>
      <c r="N353" s="6"/>
      <c r="O353" s="6"/>
      <c r="P353" s="6"/>
      <c r="Q353" s="6"/>
      <c r="R353" s="6"/>
      <c r="S353" s="6"/>
      <c r="T353" s="6"/>
      <c r="U353" s="6"/>
      <c r="V353" s="6"/>
      <c r="W353" s="6"/>
      <c r="X353" s="6"/>
      <c r="Y353" s="6"/>
      <c r="Z353" s="6"/>
      <c r="AA353" s="19"/>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row>
    <row r="354">
      <c r="A354" s="6"/>
      <c r="B354" s="6"/>
      <c r="C354" s="18"/>
      <c r="D354" s="6"/>
      <c r="E354" s="6"/>
      <c r="F354" s="6"/>
      <c r="G354" s="6"/>
      <c r="H354" s="6"/>
      <c r="I354" s="6"/>
      <c r="J354" s="6"/>
      <c r="K354" s="6"/>
      <c r="L354" s="6"/>
      <c r="M354" s="6"/>
      <c r="N354" s="6"/>
      <c r="O354" s="6"/>
      <c r="P354" s="6"/>
      <c r="Q354" s="6"/>
      <c r="R354" s="6"/>
      <c r="S354" s="6"/>
      <c r="T354" s="6"/>
      <c r="U354" s="6"/>
      <c r="V354" s="6"/>
      <c r="W354" s="6"/>
      <c r="X354" s="6"/>
      <c r="Y354" s="6"/>
      <c r="Z354" s="6"/>
      <c r="AA354" s="19"/>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row>
    <row r="355">
      <c r="A355" s="6"/>
      <c r="B355" s="6"/>
      <c r="C355" s="18"/>
      <c r="D355" s="6"/>
      <c r="E355" s="6"/>
      <c r="F355" s="6"/>
      <c r="G355" s="6"/>
      <c r="H355" s="6"/>
      <c r="I355" s="6"/>
      <c r="J355" s="6"/>
      <c r="K355" s="6"/>
      <c r="L355" s="6"/>
      <c r="M355" s="6"/>
      <c r="N355" s="6"/>
      <c r="O355" s="6"/>
      <c r="P355" s="6"/>
      <c r="Q355" s="6"/>
      <c r="R355" s="6"/>
      <c r="S355" s="6"/>
      <c r="T355" s="6"/>
      <c r="U355" s="6"/>
      <c r="V355" s="6"/>
      <c r="W355" s="6"/>
      <c r="X355" s="6"/>
      <c r="Y355" s="6"/>
      <c r="Z355" s="6"/>
      <c r="AA355" s="19"/>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row>
    <row r="356">
      <c r="A356" s="6"/>
      <c r="B356" s="6"/>
      <c r="C356" s="18"/>
      <c r="D356" s="6"/>
      <c r="E356" s="6"/>
      <c r="F356" s="6"/>
      <c r="G356" s="6"/>
      <c r="H356" s="6"/>
      <c r="I356" s="6"/>
      <c r="J356" s="6"/>
      <c r="K356" s="6"/>
      <c r="L356" s="6"/>
      <c r="M356" s="6"/>
      <c r="N356" s="6"/>
      <c r="O356" s="6"/>
      <c r="P356" s="6"/>
      <c r="Q356" s="6"/>
      <c r="R356" s="6"/>
      <c r="S356" s="6"/>
      <c r="T356" s="6"/>
      <c r="U356" s="6"/>
      <c r="V356" s="6"/>
      <c r="W356" s="6"/>
      <c r="X356" s="6"/>
      <c r="Y356" s="6"/>
      <c r="Z356" s="6"/>
      <c r="AA356" s="19"/>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row>
    <row r="357">
      <c r="A357" s="6"/>
      <c r="B357" s="6"/>
      <c r="C357" s="18"/>
      <c r="D357" s="6"/>
      <c r="E357" s="6"/>
      <c r="F357" s="6"/>
      <c r="G357" s="6"/>
      <c r="H357" s="6"/>
      <c r="I357" s="6"/>
      <c r="J357" s="6"/>
      <c r="K357" s="6"/>
      <c r="L357" s="6"/>
      <c r="M357" s="6"/>
      <c r="N357" s="6"/>
      <c r="O357" s="6"/>
      <c r="P357" s="6"/>
      <c r="Q357" s="6"/>
      <c r="R357" s="6"/>
      <c r="S357" s="6"/>
      <c r="T357" s="6"/>
      <c r="U357" s="6"/>
      <c r="V357" s="6"/>
      <c r="W357" s="6"/>
      <c r="X357" s="6"/>
      <c r="Y357" s="6"/>
      <c r="Z357" s="6"/>
      <c r="AA357" s="19"/>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row>
    <row r="358">
      <c r="A358" s="6"/>
      <c r="B358" s="6"/>
      <c r="C358" s="18"/>
      <c r="D358" s="6"/>
      <c r="E358" s="6"/>
      <c r="F358" s="6"/>
      <c r="G358" s="6"/>
      <c r="H358" s="6"/>
      <c r="I358" s="6"/>
      <c r="J358" s="6"/>
      <c r="K358" s="6"/>
      <c r="L358" s="6"/>
      <c r="M358" s="6"/>
      <c r="N358" s="6"/>
      <c r="O358" s="6"/>
      <c r="P358" s="6"/>
      <c r="Q358" s="6"/>
      <c r="R358" s="6"/>
      <c r="S358" s="6"/>
      <c r="T358" s="6"/>
      <c r="U358" s="6"/>
      <c r="V358" s="6"/>
      <c r="W358" s="6"/>
      <c r="X358" s="6"/>
      <c r="Y358" s="6"/>
      <c r="Z358" s="6"/>
      <c r="AA358" s="19"/>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row>
    <row r="359">
      <c r="A359" s="6"/>
      <c r="B359" s="6"/>
      <c r="C359" s="18"/>
      <c r="D359" s="6"/>
      <c r="E359" s="6"/>
      <c r="F359" s="6"/>
      <c r="G359" s="6"/>
      <c r="H359" s="6"/>
      <c r="I359" s="6"/>
      <c r="J359" s="6"/>
      <c r="K359" s="6"/>
      <c r="L359" s="6"/>
      <c r="M359" s="6"/>
      <c r="N359" s="6"/>
      <c r="O359" s="6"/>
      <c r="P359" s="6"/>
      <c r="Q359" s="6"/>
      <c r="R359" s="6"/>
      <c r="S359" s="6"/>
      <c r="T359" s="6"/>
      <c r="U359" s="6"/>
      <c r="V359" s="6"/>
      <c r="W359" s="6"/>
      <c r="X359" s="6"/>
      <c r="Y359" s="6"/>
      <c r="Z359" s="6"/>
      <c r="AA359" s="19"/>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row>
    <row r="360">
      <c r="A360" s="6"/>
      <c r="B360" s="6"/>
      <c r="C360" s="18"/>
      <c r="D360" s="6"/>
      <c r="E360" s="6"/>
      <c r="F360" s="6"/>
      <c r="G360" s="6"/>
      <c r="H360" s="6"/>
      <c r="I360" s="6"/>
      <c r="J360" s="6"/>
      <c r="K360" s="6"/>
      <c r="L360" s="6"/>
      <c r="M360" s="6"/>
      <c r="N360" s="6"/>
      <c r="O360" s="6"/>
      <c r="P360" s="6"/>
      <c r="Q360" s="6"/>
      <c r="R360" s="6"/>
      <c r="S360" s="6"/>
      <c r="T360" s="6"/>
      <c r="U360" s="6"/>
      <c r="V360" s="6"/>
      <c r="W360" s="6"/>
      <c r="X360" s="6"/>
      <c r="Y360" s="6"/>
      <c r="Z360" s="6"/>
      <c r="AA360" s="19"/>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row>
    <row r="361">
      <c r="A361" s="6"/>
      <c r="B361" s="6"/>
      <c r="C361" s="18"/>
      <c r="D361" s="6"/>
      <c r="E361" s="6"/>
      <c r="F361" s="6"/>
      <c r="G361" s="6"/>
      <c r="H361" s="6"/>
      <c r="I361" s="6"/>
      <c r="J361" s="6"/>
      <c r="K361" s="6"/>
      <c r="L361" s="6"/>
      <c r="M361" s="6"/>
      <c r="N361" s="6"/>
      <c r="O361" s="6"/>
      <c r="P361" s="6"/>
      <c r="Q361" s="6"/>
      <c r="R361" s="6"/>
      <c r="S361" s="6"/>
      <c r="T361" s="6"/>
      <c r="U361" s="6"/>
      <c r="V361" s="6"/>
      <c r="W361" s="6"/>
      <c r="X361" s="6"/>
      <c r="Y361" s="6"/>
      <c r="Z361" s="6"/>
      <c r="AA361" s="19"/>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row>
    <row r="362">
      <c r="A362" s="6"/>
      <c r="B362" s="6"/>
      <c r="C362" s="18"/>
      <c r="D362" s="6"/>
      <c r="E362" s="6"/>
      <c r="F362" s="6"/>
      <c r="G362" s="6"/>
      <c r="H362" s="6"/>
      <c r="I362" s="6"/>
      <c r="J362" s="6"/>
      <c r="K362" s="6"/>
      <c r="L362" s="6"/>
      <c r="M362" s="6"/>
      <c r="N362" s="6"/>
      <c r="O362" s="6"/>
      <c r="P362" s="6"/>
      <c r="Q362" s="6"/>
      <c r="R362" s="6"/>
      <c r="S362" s="6"/>
      <c r="T362" s="6"/>
      <c r="U362" s="6"/>
      <c r="V362" s="6"/>
      <c r="W362" s="6"/>
      <c r="X362" s="6"/>
      <c r="Y362" s="6"/>
      <c r="Z362" s="6"/>
      <c r="AA362" s="19"/>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row>
    <row r="363">
      <c r="A363" s="6"/>
      <c r="B363" s="6"/>
      <c r="C363" s="18"/>
      <c r="D363" s="6"/>
      <c r="E363" s="6"/>
      <c r="F363" s="6"/>
      <c r="G363" s="6"/>
      <c r="H363" s="6"/>
      <c r="I363" s="6"/>
      <c r="J363" s="6"/>
      <c r="K363" s="6"/>
      <c r="L363" s="6"/>
      <c r="M363" s="6"/>
      <c r="N363" s="6"/>
      <c r="O363" s="6"/>
      <c r="P363" s="6"/>
      <c r="Q363" s="6"/>
      <c r="R363" s="6"/>
      <c r="S363" s="6"/>
      <c r="T363" s="6"/>
      <c r="U363" s="6"/>
      <c r="V363" s="6"/>
      <c r="W363" s="6"/>
      <c r="X363" s="6"/>
      <c r="Y363" s="6"/>
      <c r="Z363" s="6"/>
      <c r="AA363" s="19"/>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row>
    <row r="364">
      <c r="A364" s="6"/>
      <c r="B364" s="6"/>
      <c r="C364" s="18"/>
      <c r="D364" s="6"/>
      <c r="E364" s="6"/>
      <c r="F364" s="6"/>
      <c r="G364" s="6"/>
      <c r="H364" s="6"/>
      <c r="I364" s="6"/>
      <c r="J364" s="6"/>
      <c r="K364" s="6"/>
      <c r="L364" s="6"/>
      <c r="M364" s="6"/>
      <c r="N364" s="6"/>
      <c r="O364" s="6"/>
      <c r="P364" s="6"/>
      <c r="Q364" s="6"/>
      <c r="R364" s="6"/>
      <c r="S364" s="6"/>
      <c r="T364" s="6"/>
      <c r="U364" s="6"/>
      <c r="V364" s="6"/>
      <c r="W364" s="6"/>
      <c r="X364" s="6"/>
      <c r="Y364" s="6"/>
      <c r="Z364" s="6"/>
      <c r="AA364" s="19"/>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row>
    <row r="365">
      <c r="A365" s="6"/>
      <c r="B365" s="6"/>
      <c r="C365" s="18"/>
      <c r="D365" s="6"/>
      <c r="E365" s="6"/>
      <c r="F365" s="6"/>
      <c r="G365" s="6"/>
      <c r="H365" s="6"/>
      <c r="I365" s="6"/>
      <c r="J365" s="6"/>
      <c r="K365" s="6"/>
      <c r="L365" s="6"/>
      <c r="M365" s="6"/>
      <c r="N365" s="6"/>
      <c r="O365" s="6"/>
      <c r="P365" s="6"/>
      <c r="Q365" s="6"/>
      <c r="R365" s="6"/>
      <c r="S365" s="6"/>
      <c r="T365" s="6"/>
      <c r="U365" s="6"/>
      <c r="V365" s="6"/>
      <c r="W365" s="6"/>
      <c r="X365" s="6"/>
      <c r="Y365" s="6"/>
      <c r="Z365" s="6"/>
      <c r="AA365" s="19"/>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row>
    <row r="366">
      <c r="A366" s="6"/>
      <c r="B366" s="6"/>
      <c r="C366" s="18"/>
      <c r="D366" s="6"/>
      <c r="E366" s="6"/>
      <c r="F366" s="6"/>
      <c r="G366" s="6"/>
      <c r="H366" s="6"/>
      <c r="I366" s="6"/>
      <c r="J366" s="6"/>
      <c r="K366" s="6"/>
      <c r="L366" s="6"/>
      <c r="M366" s="6"/>
      <c r="N366" s="6"/>
      <c r="O366" s="6"/>
      <c r="P366" s="6"/>
      <c r="Q366" s="6"/>
      <c r="R366" s="6"/>
      <c r="S366" s="6"/>
      <c r="T366" s="6"/>
      <c r="U366" s="6"/>
      <c r="V366" s="6"/>
      <c r="W366" s="6"/>
      <c r="X366" s="6"/>
      <c r="Y366" s="6"/>
      <c r="Z366" s="6"/>
      <c r="AA366" s="19"/>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row>
    <row r="367">
      <c r="A367" s="6"/>
      <c r="B367" s="6"/>
      <c r="C367" s="18"/>
      <c r="D367" s="6"/>
      <c r="E367" s="6"/>
      <c r="F367" s="6"/>
      <c r="G367" s="6"/>
      <c r="H367" s="6"/>
      <c r="I367" s="6"/>
      <c r="J367" s="6"/>
      <c r="K367" s="6"/>
      <c r="L367" s="6"/>
      <c r="M367" s="6"/>
      <c r="N367" s="6"/>
      <c r="O367" s="6"/>
      <c r="P367" s="6"/>
      <c r="Q367" s="6"/>
      <c r="R367" s="6"/>
      <c r="S367" s="6"/>
      <c r="T367" s="6"/>
      <c r="U367" s="6"/>
      <c r="V367" s="6"/>
      <c r="W367" s="6"/>
      <c r="X367" s="6"/>
      <c r="Y367" s="6"/>
      <c r="Z367" s="6"/>
      <c r="AA367" s="19"/>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row>
    <row r="368">
      <c r="A368" s="6"/>
      <c r="B368" s="6"/>
      <c r="C368" s="18"/>
      <c r="D368" s="6"/>
      <c r="E368" s="6"/>
      <c r="F368" s="6"/>
      <c r="G368" s="6"/>
      <c r="H368" s="6"/>
      <c r="I368" s="6"/>
      <c r="J368" s="6"/>
      <c r="K368" s="6"/>
      <c r="L368" s="6"/>
      <c r="M368" s="6"/>
      <c r="N368" s="6"/>
      <c r="O368" s="6"/>
      <c r="P368" s="6"/>
      <c r="Q368" s="6"/>
      <c r="R368" s="6"/>
      <c r="S368" s="6"/>
      <c r="T368" s="6"/>
      <c r="U368" s="6"/>
      <c r="V368" s="6"/>
      <c r="W368" s="6"/>
      <c r="X368" s="6"/>
      <c r="Y368" s="6"/>
      <c r="Z368" s="6"/>
      <c r="AA368" s="19"/>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row>
    <row r="369">
      <c r="A369" s="6"/>
      <c r="B369" s="6"/>
      <c r="C369" s="18"/>
      <c r="D369" s="6"/>
      <c r="E369" s="6"/>
      <c r="F369" s="6"/>
      <c r="G369" s="6"/>
      <c r="H369" s="6"/>
      <c r="I369" s="6"/>
      <c r="J369" s="6"/>
      <c r="K369" s="6"/>
      <c r="L369" s="6"/>
      <c r="M369" s="6"/>
      <c r="N369" s="6"/>
      <c r="O369" s="6"/>
      <c r="P369" s="6"/>
      <c r="Q369" s="6"/>
      <c r="R369" s="6"/>
      <c r="S369" s="6"/>
      <c r="T369" s="6"/>
      <c r="U369" s="6"/>
      <c r="V369" s="6"/>
      <c r="W369" s="6"/>
      <c r="X369" s="6"/>
      <c r="Y369" s="6"/>
      <c r="Z369" s="6"/>
      <c r="AA369" s="19"/>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row>
    <row r="370">
      <c r="A370" s="6"/>
      <c r="B370" s="6"/>
      <c r="C370" s="18"/>
      <c r="D370" s="6"/>
      <c r="E370" s="6"/>
      <c r="F370" s="6"/>
      <c r="G370" s="6"/>
      <c r="H370" s="6"/>
      <c r="I370" s="6"/>
      <c r="J370" s="6"/>
      <c r="K370" s="6"/>
      <c r="L370" s="6"/>
      <c r="M370" s="6"/>
      <c r="N370" s="6"/>
      <c r="O370" s="6"/>
      <c r="P370" s="6"/>
      <c r="Q370" s="6"/>
      <c r="R370" s="6"/>
      <c r="S370" s="6"/>
      <c r="T370" s="6"/>
      <c r="U370" s="6"/>
      <c r="V370" s="6"/>
      <c r="W370" s="6"/>
      <c r="X370" s="6"/>
      <c r="Y370" s="6"/>
      <c r="Z370" s="6"/>
      <c r="AA370" s="19"/>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row>
    <row r="371">
      <c r="A371" s="6"/>
      <c r="B371" s="6"/>
      <c r="C371" s="18"/>
      <c r="D371" s="6"/>
      <c r="E371" s="6"/>
      <c r="F371" s="6"/>
      <c r="G371" s="6"/>
      <c r="H371" s="6"/>
      <c r="I371" s="6"/>
      <c r="J371" s="6"/>
      <c r="K371" s="6"/>
      <c r="L371" s="6"/>
      <c r="M371" s="6"/>
      <c r="N371" s="6"/>
      <c r="O371" s="6"/>
      <c r="P371" s="6"/>
      <c r="Q371" s="6"/>
      <c r="R371" s="6"/>
      <c r="S371" s="6"/>
      <c r="T371" s="6"/>
      <c r="U371" s="6"/>
      <c r="V371" s="6"/>
      <c r="W371" s="6"/>
      <c r="X371" s="6"/>
      <c r="Y371" s="6"/>
      <c r="Z371" s="6"/>
      <c r="AA371" s="19"/>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row>
    <row r="372">
      <c r="A372" s="6"/>
      <c r="B372" s="6"/>
      <c r="C372" s="18"/>
      <c r="D372" s="6"/>
      <c r="E372" s="6"/>
      <c r="F372" s="6"/>
      <c r="G372" s="6"/>
      <c r="H372" s="6"/>
      <c r="I372" s="6"/>
      <c r="J372" s="6"/>
      <c r="K372" s="6"/>
      <c r="L372" s="6"/>
      <c r="M372" s="6"/>
      <c r="N372" s="6"/>
      <c r="O372" s="6"/>
      <c r="P372" s="6"/>
      <c r="Q372" s="6"/>
      <c r="R372" s="6"/>
      <c r="S372" s="6"/>
      <c r="T372" s="6"/>
      <c r="U372" s="6"/>
      <c r="V372" s="6"/>
      <c r="W372" s="6"/>
      <c r="X372" s="6"/>
      <c r="Y372" s="6"/>
      <c r="Z372" s="6"/>
      <c r="AA372" s="19"/>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row>
    <row r="373">
      <c r="A373" s="6"/>
      <c r="B373" s="6"/>
      <c r="C373" s="18"/>
      <c r="D373" s="6"/>
      <c r="E373" s="6"/>
      <c r="F373" s="6"/>
      <c r="G373" s="6"/>
      <c r="H373" s="6"/>
      <c r="I373" s="6"/>
      <c r="J373" s="6"/>
      <c r="K373" s="6"/>
      <c r="L373" s="6"/>
      <c r="M373" s="6"/>
      <c r="N373" s="6"/>
      <c r="O373" s="6"/>
      <c r="P373" s="6"/>
      <c r="Q373" s="6"/>
      <c r="R373" s="6"/>
      <c r="S373" s="6"/>
      <c r="T373" s="6"/>
      <c r="U373" s="6"/>
      <c r="V373" s="6"/>
      <c r="W373" s="6"/>
      <c r="X373" s="6"/>
      <c r="Y373" s="6"/>
      <c r="Z373" s="6"/>
      <c r="AA373" s="19"/>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row>
    <row r="374">
      <c r="A374" s="6"/>
      <c r="B374" s="6"/>
      <c r="C374" s="18"/>
      <c r="D374" s="6"/>
      <c r="E374" s="6"/>
      <c r="F374" s="6"/>
      <c r="G374" s="6"/>
      <c r="H374" s="6"/>
      <c r="I374" s="6"/>
      <c r="J374" s="6"/>
      <c r="K374" s="6"/>
      <c r="L374" s="6"/>
      <c r="M374" s="6"/>
      <c r="N374" s="6"/>
      <c r="O374" s="6"/>
      <c r="P374" s="6"/>
      <c r="Q374" s="6"/>
      <c r="R374" s="6"/>
      <c r="S374" s="6"/>
      <c r="T374" s="6"/>
      <c r="U374" s="6"/>
      <c r="V374" s="6"/>
      <c r="W374" s="6"/>
      <c r="X374" s="6"/>
      <c r="Y374" s="6"/>
      <c r="Z374" s="6"/>
      <c r="AA374" s="19"/>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row>
    <row r="375">
      <c r="A375" s="6"/>
      <c r="B375" s="6"/>
      <c r="C375" s="18"/>
      <c r="D375" s="6"/>
      <c r="E375" s="6"/>
      <c r="F375" s="6"/>
      <c r="G375" s="6"/>
      <c r="H375" s="6"/>
      <c r="I375" s="6"/>
      <c r="J375" s="6"/>
      <c r="K375" s="6"/>
      <c r="L375" s="6"/>
      <c r="M375" s="6"/>
      <c r="N375" s="6"/>
      <c r="O375" s="6"/>
      <c r="P375" s="6"/>
      <c r="Q375" s="6"/>
      <c r="R375" s="6"/>
      <c r="S375" s="6"/>
      <c r="T375" s="6"/>
      <c r="U375" s="6"/>
      <c r="V375" s="6"/>
      <c r="W375" s="6"/>
      <c r="X375" s="6"/>
      <c r="Y375" s="6"/>
      <c r="Z375" s="6"/>
      <c r="AA375" s="19"/>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row>
    <row r="376">
      <c r="A376" s="6"/>
      <c r="B376" s="6"/>
      <c r="C376" s="18"/>
      <c r="D376" s="6"/>
      <c r="E376" s="6"/>
      <c r="F376" s="6"/>
      <c r="G376" s="6"/>
      <c r="H376" s="6"/>
      <c r="I376" s="6"/>
      <c r="J376" s="6"/>
      <c r="K376" s="6"/>
      <c r="L376" s="6"/>
      <c r="M376" s="6"/>
      <c r="N376" s="6"/>
      <c r="O376" s="6"/>
      <c r="P376" s="6"/>
      <c r="Q376" s="6"/>
      <c r="R376" s="6"/>
      <c r="S376" s="6"/>
      <c r="T376" s="6"/>
      <c r="U376" s="6"/>
      <c r="V376" s="6"/>
      <c r="W376" s="6"/>
      <c r="X376" s="6"/>
      <c r="Y376" s="6"/>
      <c r="Z376" s="6"/>
      <c r="AA376" s="19"/>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row>
    <row r="377">
      <c r="A377" s="6"/>
      <c r="B377" s="6"/>
      <c r="C377" s="18"/>
      <c r="D377" s="6"/>
      <c r="E377" s="6"/>
      <c r="F377" s="6"/>
      <c r="G377" s="6"/>
      <c r="H377" s="6"/>
      <c r="I377" s="6"/>
      <c r="J377" s="6"/>
      <c r="K377" s="6"/>
      <c r="L377" s="6"/>
      <c r="M377" s="6"/>
      <c r="N377" s="6"/>
      <c r="O377" s="6"/>
      <c r="P377" s="6"/>
      <c r="Q377" s="6"/>
      <c r="R377" s="6"/>
      <c r="S377" s="6"/>
      <c r="T377" s="6"/>
      <c r="U377" s="6"/>
      <c r="V377" s="6"/>
      <c r="W377" s="6"/>
      <c r="X377" s="6"/>
      <c r="Y377" s="6"/>
      <c r="Z377" s="6"/>
      <c r="AA377" s="19"/>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row>
    <row r="378">
      <c r="A378" s="6"/>
      <c r="B378" s="6"/>
      <c r="C378" s="18"/>
      <c r="D378" s="6"/>
      <c r="E378" s="6"/>
      <c r="F378" s="6"/>
      <c r="G378" s="6"/>
      <c r="H378" s="6"/>
      <c r="I378" s="6"/>
      <c r="J378" s="6"/>
      <c r="K378" s="6"/>
      <c r="L378" s="6"/>
      <c r="M378" s="6"/>
      <c r="N378" s="6"/>
      <c r="O378" s="6"/>
      <c r="P378" s="6"/>
      <c r="Q378" s="6"/>
      <c r="R378" s="6"/>
      <c r="S378" s="6"/>
      <c r="T378" s="6"/>
      <c r="U378" s="6"/>
      <c r="V378" s="6"/>
      <c r="W378" s="6"/>
      <c r="X378" s="6"/>
      <c r="Y378" s="6"/>
      <c r="Z378" s="6"/>
      <c r="AA378" s="19"/>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row>
    <row r="379">
      <c r="A379" s="6"/>
      <c r="B379" s="6"/>
      <c r="C379" s="18"/>
      <c r="D379" s="6"/>
      <c r="E379" s="6"/>
      <c r="F379" s="6"/>
      <c r="G379" s="6"/>
      <c r="H379" s="6"/>
      <c r="I379" s="6"/>
      <c r="J379" s="6"/>
      <c r="K379" s="6"/>
      <c r="L379" s="6"/>
      <c r="M379" s="6"/>
      <c r="N379" s="6"/>
      <c r="O379" s="6"/>
      <c r="P379" s="6"/>
      <c r="Q379" s="6"/>
      <c r="R379" s="6"/>
      <c r="S379" s="6"/>
      <c r="T379" s="6"/>
      <c r="U379" s="6"/>
      <c r="V379" s="6"/>
      <c r="W379" s="6"/>
      <c r="X379" s="6"/>
      <c r="Y379" s="6"/>
      <c r="Z379" s="6"/>
      <c r="AA379" s="19"/>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row>
    <row r="380">
      <c r="A380" s="6"/>
      <c r="B380" s="6"/>
      <c r="C380" s="18"/>
      <c r="D380" s="6"/>
      <c r="E380" s="6"/>
      <c r="F380" s="6"/>
      <c r="G380" s="6"/>
      <c r="H380" s="6"/>
      <c r="I380" s="6"/>
      <c r="J380" s="6"/>
      <c r="K380" s="6"/>
      <c r="L380" s="6"/>
      <c r="M380" s="6"/>
      <c r="N380" s="6"/>
      <c r="O380" s="6"/>
      <c r="P380" s="6"/>
      <c r="Q380" s="6"/>
      <c r="R380" s="6"/>
      <c r="S380" s="6"/>
      <c r="T380" s="6"/>
      <c r="U380" s="6"/>
      <c r="V380" s="6"/>
      <c r="W380" s="6"/>
      <c r="X380" s="6"/>
      <c r="Y380" s="6"/>
      <c r="Z380" s="6"/>
      <c r="AA380" s="19"/>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row>
    <row r="381">
      <c r="A381" s="6"/>
      <c r="B381" s="6"/>
      <c r="C381" s="18"/>
      <c r="D381" s="6"/>
      <c r="E381" s="6"/>
      <c r="F381" s="6"/>
      <c r="G381" s="6"/>
      <c r="H381" s="6"/>
      <c r="I381" s="6"/>
      <c r="J381" s="6"/>
      <c r="K381" s="6"/>
      <c r="L381" s="6"/>
      <c r="M381" s="6"/>
      <c r="N381" s="6"/>
      <c r="O381" s="6"/>
      <c r="P381" s="6"/>
      <c r="Q381" s="6"/>
      <c r="R381" s="6"/>
      <c r="S381" s="6"/>
      <c r="T381" s="6"/>
      <c r="U381" s="6"/>
      <c r="V381" s="6"/>
      <c r="W381" s="6"/>
      <c r="X381" s="6"/>
      <c r="Y381" s="6"/>
      <c r="Z381" s="6"/>
      <c r="AA381" s="19"/>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row>
    <row r="382">
      <c r="A382" s="6"/>
      <c r="B382" s="6"/>
      <c r="C382" s="18"/>
      <c r="D382" s="6"/>
      <c r="E382" s="6"/>
      <c r="F382" s="6"/>
      <c r="G382" s="6"/>
      <c r="H382" s="6"/>
      <c r="I382" s="6"/>
      <c r="J382" s="6"/>
      <c r="K382" s="6"/>
      <c r="L382" s="6"/>
      <c r="M382" s="6"/>
      <c r="N382" s="6"/>
      <c r="O382" s="6"/>
      <c r="P382" s="6"/>
      <c r="Q382" s="6"/>
      <c r="R382" s="6"/>
      <c r="S382" s="6"/>
      <c r="T382" s="6"/>
      <c r="U382" s="6"/>
      <c r="V382" s="6"/>
      <c r="W382" s="6"/>
      <c r="X382" s="6"/>
      <c r="Y382" s="6"/>
      <c r="Z382" s="6"/>
      <c r="AA382" s="19"/>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row>
    <row r="383">
      <c r="A383" s="6"/>
      <c r="B383" s="6"/>
      <c r="C383" s="18"/>
      <c r="D383" s="6"/>
      <c r="E383" s="6"/>
      <c r="F383" s="6"/>
      <c r="G383" s="6"/>
      <c r="H383" s="6"/>
      <c r="I383" s="6"/>
      <c r="J383" s="6"/>
      <c r="K383" s="6"/>
      <c r="L383" s="6"/>
      <c r="M383" s="6"/>
      <c r="N383" s="6"/>
      <c r="O383" s="6"/>
      <c r="P383" s="6"/>
      <c r="Q383" s="6"/>
      <c r="R383" s="6"/>
      <c r="S383" s="6"/>
      <c r="T383" s="6"/>
      <c r="U383" s="6"/>
      <c r="V383" s="6"/>
      <c r="W383" s="6"/>
      <c r="X383" s="6"/>
      <c r="Y383" s="6"/>
      <c r="Z383" s="6"/>
      <c r="AA383" s="19"/>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row>
    <row r="384">
      <c r="A384" s="6"/>
      <c r="B384" s="6"/>
      <c r="C384" s="18"/>
      <c r="D384" s="6"/>
      <c r="E384" s="6"/>
      <c r="F384" s="6"/>
      <c r="G384" s="6"/>
      <c r="H384" s="6"/>
      <c r="I384" s="6"/>
      <c r="J384" s="6"/>
      <c r="K384" s="6"/>
      <c r="L384" s="6"/>
      <c r="M384" s="6"/>
      <c r="N384" s="6"/>
      <c r="O384" s="6"/>
      <c r="P384" s="6"/>
      <c r="Q384" s="6"/>
      <c r="R384" s="6"/>
      <c r="S384" s="6"/>
      <c r="T384" s="6"/>
      <c r="U384" s="6"/>
      <c r="V384" s="6"/>
      <c r="W384" s="6"/>
      <c r="X384" s="6"/>
      <c r="Y384" s="6"/>
      <c r="Z384" s="6"/>
      <c r="AA384" s="19"/>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row>
    <row r="385">
      <c r="A385" s="6"/>
      <c r="B385" s="6"/>
      <c r="C385" s="18"/>
      <c r="D385" s="6"/>
      <c r="E385" s="6"/>
      <c r="F385" s="6"/>
      <c r="G385" s="6"/>
      <c r="H385" s="6"/>
      <c r="I385" s="6"/>
      <c r="J385" s="6"/>
      <c r="K385" s="6"/>
      <c r="L385" s="6"/>
      <c r="M385" s="6"/>
      <c r="N385" s="6"/>
      <c r="O385" s="6"/>
      <c r="P385" s="6"/>
      <c r="Q385" s="6"/>
      <c r="R385" s="6"/>
      <c r="S385" s="6"/>
      <c r="T385" s="6"/>
      <c r="U385" s="6"/>
      <c r="V385" s="6"/>
      <c r="W385" s="6"/>
      <c r="X385" s="6"/>
      <c r="Y385" s="6"/>
      <c r="Z385" s="6"/>
      <c r="AA385" s="19"/>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row>
    <row r="386">
      <c r="A386" s="6"/>
      <c r="B386" s="6"/>
      <c r="C386" s="18"/>
      <c r="D386" s="6"/>
      <c r="E386" s="6"/>
      <c r="F386" s="6"/>
      <c r="G386" s="6"/>
      <c r="H386" s="6"/>
      <c r="I386" s="6"/>
      <c r="J386" s="6"/>
      <c r="K386" s="6"/>
      <c r="L386" s="6"/>
      <c r="M386" s="6"/>
      <c r="N386" s="6"/>
      <c r="O386" s="6"/>
      <c r="P386" s="6"/>
      <c r="Q386" s="6"/>
      <c r="R386" s="6"/>
      <c r="S386" s="6"/>
      <c r="T386" s="6"/>
      <c r="U386" s="6"/>
      <c r="V386" s="6"/>
      <c r="W386" s="6"/>
      <c r="X386" s="6"/>
      <c r="Y386" s="6"/>
      <c r="Z386" s="6"/>
      <c r="AA386" s="19"/>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row>
    <row r="387">
      <c r="A387" s="6"/>
      <c r="B387" s="6"/>
      <c r="C387" s="18"/>
      <c r="D387" s="6"/>
      <c r="E387" s="6"/>
      <c r="F387" s="6"/>
      <c r="G387" s="6"/>
      <c r="H387" s="6"/>
      <c r="I387" s="6"/>
      <c r="J387" s="6"/>
      <c r="K387" s="6"/>
      <c r="L387" s="6"/>
      <c r="M387" s="6"/>
      <c r="N387" s="6"/>
      <c r="O387" s="6"/>
      <c r="P387" s="6"/>
      <c r="Q387" s="6"/>
      <c r="R387" s="6"/>
      <c r="S387" s="6"/>
      <c r="T387" s="6"/>
      <c r="U387" s="6"/>
      <c r="V387" s="6"/>
      <c r="W387" s="6"/>
      <c r="X387" s="6"/>
      <c r="Y387" s="6"/>
      <c r="Z387" s="6"/>
      <c r="AA387" s="19"/>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row>
    <row r="388">
      <c r="A388" s="6"/>
      <c r="B388" s="6"/>
      <c r="C388" s="18"/>
      <c r="D388" s="6"/>
      <c r="E388" s="6"/>
      <c r="F388" s="6"/>
      <c r="G388" s="6"/>
      <c r="H388" s="6"/>
      <c r="I388" s="6"/>
      <c r="J388" s="6"/>
      <c r="K388" s="6"/>
      <c r="L388" s="6"/>
      <c r="M388" s="6"/>
      <c r="N388" s="6"/>
      <c r="O388" s="6"/>
      <c r="P388" s="6"/>
      <c r="Q388" s="6"/>
      <c r="R388" s="6"/>
      <c r="S388" s="6"/>
      <c r="T388" s="6"/>
      <c r="U388" s="6"/>
      <c r="V388" s="6"/>
      <c r="W388" s="6"/>
      <c r="X388" s="6"/>
      <c r="Y388" s="6"/>
      <c r="Z388" s="6"/>
      <c r="AA388" s="19"/>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row>
    <row r="389">
      <c r="A389" s="6"/>
      <c r="B389" s="6"/>
      <c r="C389" s="18"/>
      <c r="D389" s="6"/>
      <c r="E389" s="6"/>
      <c r="F389" s="6"/>
      <c r="G389" s="6"/>
      <c r="H389" s="6"/>
      <c r="I389" s="6"/>
      <c r="J389" s="6"/>
      <c r="K389" s="6"/>
      <c r="L389" s="6"/>
      <c r="M389" s="6"/>
      <c r="N389" s="6"/>
      <c r="O389" s="6"/>
      <c r="P389" s="6"/>
      <c r="Q389" s="6"/>
      <c r="R389" s="6"/>
      <c r="S389" s="6"/>
      <c r="T389" s="6"/>
      <c r="U389" s="6"/>
      <c r="V389" s="6"/>
      <c r="W389" s="6"/>
      <c r="X389" s="6"/>
      <c r="Y389" s="6"/>
      <c r="Z389" s="6"/>
      <c r="AA389" s="19"/>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row>
    <row r="390">
      <c r="A390" s="6"/>
      <c r="B390" s="6"/>
      <c r="C390" s="18"/>
      <c r="D390" s="6"/>
      <c r="E390" s="6"/>
      <c r="F390" s="6"/>
      <c r="G390" s="6"/>
      <c r="H390" s="6"/>
      <c r="I390" s="6"/>
      <c r="J390" s="6"/>
      <c r="K390" s="6"/>
      <c r="L390" s="6"/>
      <c r="M390" s="6"/>
      <c r="N390" s="6"/>
      <c r="O390" s="6"/>
      <c r="P390" s="6"/>
      <c r="Q390" s="6"/>
      <c r="R390" s="6"/>
      <c r="S390" s="6"/>
      <c r="T390" s="6"/>
      <c r="U390" s="6"/>
      <c r="V390" s="6"/>
      <c r="W390" s="6"/>
      <c r="X390" s="6"/>
      <c r="Y390" s="6"/>
      <c r="Z390" s="6"/>
      <c r="AA390" s="19"/>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row>
    <row r="391">
      <c r="A391" s="6"/>
      <c r="B391" s="6"/>
      <c r="C391" s="18"/>
      <c r="D391" s="6"/>
      <c r="E391" s="6"/>
      <c r="F391" s="6"/>
      <c r="G391" s="6"/>
      <c r="H391" s="6"/>
      <c r="I391" s="6"/>
      <c r="J391" s="6"/>
      <c r="K391" s="6"/>
      <c r="L391" s="6"/>
      <c r="M391" s="6"/>
      <c r="N391" s="6"/>
      <c r="O391" s="6"/>
      <c r="P391" s="6"/>
      <c r="Q391" s="6"/>
      <c r="R391" s="6"/>
      <c r="S391" s="6"/>
      <c r="T391" s="6"/>
      <c r="U391" s="6"/>
      <c r="V391" s="6"/>
      <c r="W391" s="6"/>
      <c r="X391" s="6"/>
      <c r="Y391" s="6"/>
      <c r="Z391" s="6"/>
      <c r="AA391" s="19"/>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row>
    <row r="392">
      <c r="A392" s="6"/>
      <c r="B392" s="6"/>
      <c r="C392" s="18"/>
      <c r="D392" s="6"/>
      <c r="E392" s="6"/>
      <c r="F392" s="6"/>
      <c r="G392" s="6"/>
      <c r="H392" s="6"/>
      <c r="I392" s="6"/>
      <c r="J392" s="6"/>
      <c r="K392" s="6"/>
      <c r="L392" s="6"/>
      <c r="M392" s="6"/>
      <c r="N392" s="6"/>
      <c r="O392" s="6"/>
      <c r="P392" s="6"/>
      <c r="Q392" s="6"/>
      <c r="R392" s="6"/>
      <c r="S392" s="6"/>
      <c r="T392" s="6"/>
      <c r="U392" s="6"/>
      <c r="V392" s="6"/>
      <c r="W392" s="6"/>
      <c r="X392" s="6"/>
      <c r="Y392" s="6"/>
      <c r="Z392" s="6"/>
      <c r="AA392" s="19"/>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row>
    <row r="393">
      <c r="A393" s="6"/>
      <c r="B393" s="6"/>
      <c r="C393" s="18"/>
      <c r="D393" s="6"/>
      <c r="E393" s="6"/>
      <c r="F393" s="6"/>
      <c r="G393" s="6"/>
      <c r="H393" s="6"/>
      <c r="I393" s="6"/>
      <c r="J393" s="6"/>
      <c r="K393" s="6"/>
      <c r="L393" s="6"/>
      <c r="M393" s="6"/>
      <c r="N393" s="6"/>
      <c r="O393" s="6"/>
      <c r="P393" s="6"/>
      <c r="Q393" s="6"/>
      <c r="R393" s="6"/>
      <c r="S393" s="6"/>
      <c r="T393" s="6"/>
      <c r="U393" s="6"/>
      <c r="V393" s="6"/>
      <c r="W393" s="6"/>
      <c r="X393" s="6"/>
      <c r="Y393" s="6"/>
      <c r="Z393" s="6"/>
      <c r="AA393" s="19"/>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row>
    <row r="394">
      <c r="A394" s="6"/>
      <c r="B394" s="6"/>
      <c r="C394" s="18"/>
      <c r="D394" s="6"/>
      <c r="E394" s="6"/>
      <c r="F394" s="6"/>
      <c r="G394" s="6"/>
      <c r="H394" s="6"/>
      <c r="I394" s="6"/>
      <c r="J394" s="6"/>
      <c r="K394" s="6"/>
      <c r="L394" s="6"/>
      <c r="M394" s="6"/>
      <c r="N394" s="6"/>
      <c r="O394" s="6"/>
      <c r="P394" s="6"/>
      <c r="Q394" s="6"/>
      <c r="R394" s="6"/>
      <c r="S394" s="6"/>
      <c r="T394" s="6"/>
      <c r="U394" s="6"/>
      <c r="V394" s="6"/>
      <c r="W394" s="6"/>
      <c r="X394" s="6"/>
      <c r="Y394" s="6"/>
      <c r="Z394" s="6"/>
      <c r="AA394" s="19"/>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row>
    <row r="395">
      <c r="A395" s="6"/>
      <c r="B395" s="6"/>
      <c r="C395" s="18"/>
      <c r="D395" s="6"/>
      <c r="E395" s="6"/>
      <c r="F395" s="6"/>
      <c r="G395" s="6"/>
      <c r="H395" s="6"/>
      <c r="I395" s="6"/>
      <c r="J395" s="6"/>
      <c r="K395" s="6"/>
      <c r="L395" s="6"/>
      <c r="M395" s="6"/>
      <c r="N395" s="6"/>
      <c r="O395" s="6"/>
      <c r="P395" s="6"/>
      <c r="Q395" s="6"/>
      <c r="R395" s="6"/>
      <c r="S395" s="6"/>
      <c r="T395" s="6"/>
      <c r="U395" s="6"/>
      <c r="V395" s="6"/>
      <c r="W395" s="6"/>
      <c r="X395" s="6"/>
      <c r="Y395" s="6"/>
      <c r="Z395" s="6"/>
      <c r="AA395" s="19"/>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row>
    <row r="396">
      <c r="A396" s="6"/>
      <c r="B396" s="6"/>
      <c r="C396" s="18"/>
      <c r="D396" s="6"/>
      <c r="E396" s="6"/>
      <c r="F396" s="6"/>
      <c r="G396" s="6"/>
      <c r="H396" s="6"/>
      <c r="I396" s="6"/>
      <c r="J396" s="6"/>
      <c r="K396" s="6"/>
      <c r="L396" s="6"/>
      <c r="M396" s="6"/>
      <c r="N396" s="6"/>
      <c r="O396" s="6"/>
      <c r="P396" s="6"/>
      <c r="Q396" s="6"/>
      <c r="R396" s="6"/>
      <c r="S396" s="6"/>
      <c r="T396" s="6"/>
      <c r="U396" s="6"/>
      <c r="V396" s="6"/>
      <c r="W396" s="6"/>
      <c r="X396" s="6"/>
      <c r="Y396" s="6"/>
      <c r="Z396" s="6"/>
      <c r="AA396" s="19"/>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row>
    <row r="397">
      <c r="A397" s="6"/>
      <c r="B397" s="6"/>
      <c r="C397" s="18"/>
      <c r="D397" s="6"/>
      <c r="E397" s="6"/>
      <c r="F397" s="6"/>
      <c r="G397" s="6"/>
      <c r="H397" s="6"/>
      <c r="I397" s="6"/>
      <c r="J397" s="6"/>
      <c r="K397" s="6"/>
      <c r="L397" s="6"/>
      <c r="M397" s="6"/>
      <c r="N397" s="6"/>
      <c r="O397" s="6"/>
      <c r="P397" s="6"/>
      <c r="Q397" s="6"/>
      <c r="R397" s="6"/>
      <c r="S397" s="6"/>
      <c r="T397" s="6"/>
      <c r="U397" s="6"/>
      <c r="V397" s="6"/>
      <c r="W397" s="6"/>
      <c r="X397" s="6"/>
      <c r="Y397" s="6"/>
      <c r="Z397" s="6"/>
      <c r="AA397" s="19"/>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row>
    <row r="398">
      <c r="A398" s="6"/>
      <c r="B398" s="6"/>
      <c r="C398" s="18"/>
      <c r="D398" s="6"/>
      <c r="E398" s="6"/>
      <c r="F398" s="6"/>
      <c r="G398" s="6"/>
      <c r="H398" s="6"/>
      <c r="I398" s="6"/>
      <c r="J398" s="6"/>
      <c r="K398" s="6"/>
      <c r="L398" s="6"/>
      <c r="M398" s="6"/>
      <c r="N398" s="6"/>
      <c r="O398" s="6"/>
      <c r="P398" s="6"/>
      <c r="Q398" s="6"/>
      <c r="R398" s="6"/>
      <c r="S398" s="6"/>
      <c r="T398" s="6"/>
      <c r="U398" s="6"/>
      <c r="V398" s="6"/>
      <c r="W398" s="6"/>
      <c r="X398" s="6"/>
      <c r="Y398" s="6"/>
      <c r="Z398" s="6"/>
      <c r="AA398" s="19"/>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row>
    <row r="399">
      <c r="A399" s="6"/>
      <c r="B399" s="6"/>
      <c r="C399" s="18"/>
      <c r="D399" s="6"/>
      <c r="E399" s="6"/>
      <c r="F399" s="6"/>
      <c r="G399" s="6"/>
      <c r="H399" s="6"/>
      <c r="I399" s="6"/>
      <c r="J399" s="6"/>
      <c r="K399" s="6"/>
      <c r="L399" s="6"/>
      <c r="M399" s="6"/>
      <c r="N399" s="6"/>
      <c r="O399" s="6"/>
      <c r="P399" s="6"/>
      <c r="Q399" s="6"/>
      <c r="R399" s="6"/>
      <c r="S399" s="6"/>
      <c r="T399" s="6"/>
      <c r="U399" s="6"/>
      <c r="V399" s="6"/>
      <c r="W399" s="6"/>
      <c r="X399" s="6"/>
      <c r="Y399" s="6"/>
      <c r="Z399" s="6"/>
      <c r="AA399" s="19"/>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row>
    <row r="400">
      <c r="A400" s="6"/>
      <c r="B400" s="6"/>
      <c r="C400" s="18"/>
      <c r="D400" s="6"/>
      <c r="E400" s="6"/>
      <c r="F400" s="6"/>
      <c r="G400" s="6"/>
      <c r="H400" s="6"/>
      <c r="I400" s="6"/>
      <c r="J400" s="6"/>
      <c r="K400" s="6"/>
      <c r="L400" s="6"/>
      <c r="M400" s="6"/>
      <c r="N400" s="6"/>
      <c r="O400" s="6"/>
      <c r="P400" s="6"/>
      <c r="Q400" s="6"/>
      <c r="R400" s="6"/>
      <c r="S400" s="6"/>
      <c r="T400" s="6"/>
      <c r="U400" s="6"/>
      <c r="V400" s="6"/>
      <c r="W400" s="6"/>
      <c r="X400" s="6"/>
      <c r="Y400" s="6"/>
      <c r="Z400" s="6"/>
      <c r="AA400" s="19"/>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row>
    <row r="401">
      <c r="A401" s="6"/>
      <c r="B401" s="6"/>
      <c r="C401" s="18"/>
      <c r="D401" s="6"/>
      <c r="E401" s="6"/>
      <c r="F401" s="6"/>
      <c r="G401" s="6"/>
      <c r="H401" s="6"/>
      <c r="I401" s="6"/>
      <c r="J401" s="6"/>
      <c r="K401" s="6"/>
      <c r="L401" s="6"/>
      <c r="M401" s="6"/>
      <c r="N401" s="6"/>
      <c r="O401" s="6"/>
      <c r="P401" s="6"/>
      <c r="Q401" s="6"/>
      <c r="R401" s="6"/>
      <c r="S401" s="6"/>
      <c r="T401" s="6"/>
      <c r="U401" s="6"/>
      <c r="V401" s="6"/>
      <c r="W401" s="6"/>
      <c r="X401" s="6"/>
      <c r="Y401" s="6"/>
      <c r="Z401" s="6"/>
      <c r="AA401" s="19"/>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row>
    <row r="402">
      <c r="A402" s="6"/>
      <c r="B402" s="6"/>
      <c r="C402" s="18"/>
      <c r="D402" s="6"/>
      <c r="E402" s="6"/>
      <c r="F402" s="6"/>
      <c r="G402" s="6"/>
      <c r="H402" s="6"/>
      <c r="I402" s="6"/>
      <c r="J402" s="6"/>
      <c r="K402" s="6"/>
      <c r="L402" s="6"/>
      <c r="M402" s="6"/>
      <c r="N402" s="6"/>
      <c r="O402" s="6"/>
      <c r="P402" s="6"/>
      <c r="Q402" s="6"/>
      <c r="R402" s="6"/>
      <c r="S402" s="6"/>
      <c r="T402" s="6"/>
      <c r="U402" s="6"/>
      <c r="V402" s="6"/>
      <c r="W402" s="6"/>
      <c r="X402" s="6"/>
      <c r="Y402" s="6"/>
      <c r="Z402" s="6"/>
      <c r="AA402" s="19"/>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row>
    <row r="403">
      <c r="A403" s="6"/>
      <c r="B403" s="6"/>
      <c r="C403" s="18"/>
      <c r="D403" s="6"/>
      <c r="E403" s="6"/>
      <c r="F403" s="6"/>
      <c r="G403" s="6"/>
      <c r="H403" s="6"/>
      <c r="I403" s="6"/>
      <c r="J403" s="6"/>
      <c r="K403" s="6"/>
      <c r="L403" s="6"/>
      <c r="M403" s="6"/>
      <c r="N403" s="6"/>
      <c r="O403" s="6"/>
      <c r="P403" s="6"/>
      <c r="Q403" s="6"/>
      <c r="R403" s="6"/>
      <c r="S403" s="6"/>
      <c r="T403" s="6"/>
      <c r="U403" s="6"/>
      <c r="V403" s="6"/>
      <c r="W403" s="6"/>
      <c r="X403" s="6"/>
      <c r="Y403" s="6"/>
      <c r="Z403" s="6"/>
      <c r="AA403" s="19"/>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row>
    <row r="404">
      <c r="A404" s="6"/>
      <c r="B404" s="6"/>
      <c r="C404" s="18"/>
      <c r="D404" s="6"/>
      <c r="E404" s="6"/>
      <c r="F404" s="6"/>
      <c r="G404" s="6"/>
      <c r="H404" s="6"/>
      <c r="I404" s="6"/>
      <c r="J404" s="6"/>
      <c r="K404" s="6"/>
      <c r="L404" s="6"/>
      <c r="M404" s="6"/>
      <c r="N404" s="6"/>
      <c r="O404" s="6"/>
      <c r="P404" s="6"/>
      <c r="Q404" s="6"/>
      <c r="R404" s="6"/>
      <c r="S404" s="6"/>
      <c r="T404" s="6"/>
      <c r="U404" s="6"/>
      <c r="V404" s="6"/>
      <c r="W404" s="6"/>
      <c r="X404" s="6"/>
      <c r="Y404" s="6"/>
      <c r="Z404" s="6"/>
      <c r="AA404" s="19"/>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row>
    <row r="405">
      <c r="A405" s="6"/>
      <c r="B405" s="6"/>
      <c r="C405" s="18"/>
      <c r="D405" s="6"/>
      <c r="E405" s="6"/>
      <c r="F405" s="6"/>
      <c r="G405" s="6"/>
      <c r="H405" s="6"/>
      <c r="I405" s="6"/>
      <c r="J405" s="6"/>
      <c r="K405" s="6"/>
      <c r="L405" s="6"/>
      <c r="M405" s="6"/>
      <c r="N405" s="6"/>
      <c r="O405" s="6"/>
      <c r="P405" s="6"/>
      <c r="Q405" s="6"/>
      <c r="R405" s="6"/>
      <c r="S405" s="6"/>
      <c r="T405" s="6"/>
      <c r="U405" s="6"/>
      <c r="V405" s="6"/>
      <c r="W405" s="6"/>
      <c r="X405" s="6"/>
      <c r="Y405" s="6"/>
      <c r="Z405" s="6"/>
      <c r="AA405" s="19"/>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row>
    <row r="406">
      <c r="A406" s="6"/>
      <c r="B406" s="6"/>
      <c r="C406" s="18"/>
      <c r="D406" s="6"/>
      <c r="E406" s="6"/>
      <c r="F406" s="6"/>
      <c r="G406" s="6"/>
      <c r="H406" s="6"/>
      <c r="I406" s="6"/>
      <c r="J406" s="6"/>
      <c r="K406" s="6"/>
      <c r="L406" s="6"/>
      <c r="M406" s="6"/>
      <c r="N406" s="6"/>
      <c r="O406" s="6"/>
      <c r="P406" s="6"/>
      <c r="Q406" s="6"/>
      <c r="R406" s="6"/>
      <c r="S406" s="6"/>
      <c r="T406" s="6"/>
      <c r="U406" s="6"/>
      <c r="V406" s="6"/>
      <c r="W406" s="6"/>
      <c r="X406" s="6"/>
      <c r="Y406" s="6"/>
      <c r="Z406" s="6"/>
      <c r="AA406" s="19"/>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row>
    <row r="407">
      <c r="A407" s="6"/>
      <c r="B407" s="6"/>
      <c r="C407" s="18"/>
      <c r="D407" s="6"/>
      <c r="E407" s="6"/>
      <c r="F407" s="6"/>
      <c r="G407" s="6"/>
      <c r="H407" s="6"/>
      <c r="I407" s="6"/>
      <c r="J407" s="6"/>
      <c r="K407" s="6"/>
      <c r="L407" s="6"/>
      <c r="M407" s="6"/>
      <c r="N407" s="6"/>
      <c r="O407" s="6"/>
      <c r="P407" s="6"/>
      <c r="Q407" s="6"/>
      <c r="R407" s="6"/>
      <c r="S407" s="6"/>
      <c r="T407" s="6"/>
      <c r="U407" s="6"/>
      <c r="V407" s="6"/>
      <c r="W407" s="6"/>
      <c r="X407" s="6"/>
      <c r="Y407" s="6"/>
      <c r="Z407" s="6"/>
      <c r="AA407" s="19"/>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row>
    <row r="408">
      <c r="A408" s="6"/>
      <c r="B408" s="6"/>
      <c r="C408" s="18"/>
      <c r="D408" s="6"/>
      <c r="E408" s="6"/>
      <c r="F408" s="6"/>
      <c r="G408" s="6"/>
      <c r="H408" s="6"/>
      <c r="I408" s="6"/>
      <c r="J408" s="6"/>
      <c r="K408" s="6"/>
      <c r="L408" s="6"/>
      <c r="M408" s="6"/>
      <c r="N408" s="6"/>
      <c r="O408" s="6"/>
      <c r="P408" s="6"/>
      <c r="Q408" s="6"/>
      <c r="R408" s="6"/>
      <c r="S408" s="6"/>
      <c r="T408" s="6"/>
      <c r="U408" s="6"/>
      <c r="V408" s="6"/>
      <c r="W408" s="6"/>
      <c r="X408" s="6"/>
      <c r="Y408" s="6"/>
      <c r="Z408" s="6"/>
      <c r="AA408" s="19"/>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row>
    <row r="409">
      <c r="A409" s="6"/>
      <c r="B409" s="6"/>
      <c r="C409" s="18"/>
      <c r="D409" s="6"/>
      <c r="E409" s="6"/>
      <c r="F409" s="6"/>
      <c r="G409" s="6"/>
      <c r="H409" s="6"/>
      <c r="I409" s="6"/>
      <c r="J409" s="6"/>
      <c r="K409" s="6"/>
      <c r="L409" s="6"/>
      <c r="M409" s="6"/>
      <c r="N409" s="6"/>
      <c r="O409" s="6"/>
      <c r="P409" s="6"/>
      <c r="Q409" s="6"/>
      <c r="R409" s="6"/>
      <c r="S409" s="6"/>
      <c r="T409" s="6"/>
      <c r="U409" s="6"/>
      <c r="V409" s="6"/>
      <c r="W409" s="6"/>
      <c r="X409" s="6"/>
      <c r="Y409" s="6"/>
      <c r="Z409" s="6"/>
      <c r="AA409" s="19"/>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row>
    <row r="410">
      <c r="A410" s="6"/>
      <c r="B410" s="6"/>
      <c r="C410" s="18"/>
      <c r="D410" s="6"/>
      <c r="E410" s="6"/>
      <c r="F410" s="6"/>
      <c r="G410" s="6"/>
      <c r="H410" s="6"/>
      <c r="I410" s="6"/>
      <c r="J410" s="6"/>
      <c r="K410" s="6"/>
      <c r="L410" s="6"/>
      <c r="M410" s="6"/>
      <c r="N410" s="6"/>
      <c r="O410" s="6"/>
      <c r="P410" s="6"/>
      <c r="Q410" s="6"/>
      <c r="R410" s="6"/>
      <c r="S410" s="6"/>
      <c r="T410" s="6"/>
      <c r="U410" s="6"/>
      <c r="V410" s="6"/>
      <c r="W410" s="6"/>
      <c r="X410" s="6"/>
      <c r="Y410" s="6"/>
      <c r="Z410" s="6"/>
      <c r="AA410" s="19"/>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row>
    <row r="411">
      <c r="A411" s="6"/>
      <c r="B411" s="6"/>
      <c r="C411" s="18"/>
      <c r="D411" s="6"/>
      <c r="E411" s="6"/>
      <c r="F411" s="6"/>
      <c r="G411" s="6"/>
      <c r="H411" s="6"/>
      <c r="I411" s="6"/>
      <c r="J411" s="6"/>
      <c r="K411" s="6"/>
      <c r="L411" s="6"/>
      <c r="M411" s="6"/>
      <c r="N411" s="6"/>
      <c r="O411" s="6"/>
      <c r="P411" s="6"/>
      <c r="Q411" s="6"/>
      <c r="R411" s="6"/>
      <c r="S411" s="6"/>
      <c r="T411" s="6"/>
      <c r="U411" s="6"/>
      <c r="V411" s="6"/>
      <c r="W411" s="6"/>
      <c r="X411" s="6"/>
      <c r="Y411" s="6"/>
      <c r="Z411" s="6"/>
      <c r="AA411" s="19"/>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row>
    <row r="412">
      <c r="A412" s="6"/>
      <c r="B412" s="6"/>
      <c r="C412" s="18"/>
      <c r="D412" s="6"/>
      <c r="E412" s="6"/>
      <c r="F412" s="6"/>
      <c r="G412" s="6"/>
      <c r="H412" s="6"/>
      <c r="I412" s="6"/>
      <c r="J412" s="6"/>
      <c r="K412" s="6"/>
      <c r="L412" s="6"/>
      <c r="M412" s="6"/>
      <c r="N412" s="6"/>
      <c r="O412" s="6"/>
      <c r="P412" s="6"/>
      <c r="Q412" s="6"/>
      <c r="R412" s="6"/>
      <c r="S412" s="6"/>
      <c r="T412" s="6"/>
      <c r="U412" s="6"/>
      <c r="V412" s="6"/>
      <c r="W412" s="6"/>
      <c r="X412" s="6"/>
      <c r="Y412" s="6"/>
      <c r="Z412" s="6"/>
      <c r="AA412" s="19"/>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row>
    <row r="413">
      <c r="A413" s="6"/>
      <c r="B413" s="6"/>
      <c r="C413" s="18"/>
      <c r="D413" s="6"/>
      <c r="E413" s="6"/>
      <c r="F413" s="6"/>
      <c r="G413" s="6"/>
      <c r="H413" s="6"/>
      <c r="I413" s="6"/>
      <c r="J413" s="6"/>
      <c r="K413" s="6"/>
      <c r="L413" s="6"/>
      <c r="M413" s="6"/>
      <c r="N413" s="6"/>
      <c r="O413" s="6"/>
      <c r="P413" s="6"/>
      <c r="Q413" s="6"/>
      <c r="R413" s="6"/>
      <c r="S413" s="6"/>
      <c r="T413" s="6"/>
      <c r="U413" s="6"/>
      <c r="V413" s="6"/>
      <c r="W413" s="6"/>
      <c r="X413" s="6"/>
      <c r="Y413" s="6"/>
      <c r="Z413" s="6"/>
      <c r="AA413" s="19"/>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row>
    <row r="414">
      <c r="A414" s="6"/>
      <c r="B414" s="6"/>
      <c r="C414" s="18"/>
      <c r="D414" s="6"/>
      <c r="E414" s="6"/>
      <c r="F414" s="6"/>
      <c r="G414" s="6"/>
      <c r="H414" s="6"/>
      <c r="I414" s="6"/>
      <c r="J414" s="6"/>
      <c r="K414" s="6"/>
      <c r="L414" s="6"/>
      <c r="M414" s="6"/>
      <c r="N414" s="6"/>
      <c r="O414" s="6"/>
      <c r="P414" s="6"/>
      <c r="Q414" s="6"/>
      <c r="R414" s="6"/>
      <c r="S414" s="6"/>
      <c r="T414" s="6"/>
      <c r="U414" s="6"/>
      <c r="V414" s="6"/>
      <c r="W414" s="6"/>
      <c r="X414" s="6"/>
      <c r="Y414" s="6"/>
      <c r="Z414" s="6"/>
      <c r="AA414" s="19"/>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row>
    <row r="415">
      <c r="A415" s="6"/>
      <c r="B415" s="6"/>
      <c r="C415" s="18"/>
      <c r="D415" s="6"/>
      <c r="E415" s="6"/>
      <c r="F415" s="6"/>
      <c r="G415" s="6"/>
      <c r="H415" s="6"/>
      <c r="I415" s="6"/>
      <c r="J415" s="6"/>
      <c r="K415" s="6"/>
      <c r="L415" s="6"/>
      <c r="M415" s="6"/>
      <c r="N415" s="6"/>
      <c r="O415" s="6"/>
      <c r="P415" s="6"/>
      <c r="Q415" s="6"/>
      <c r="R415" s="6"/>
      <c r="S415" s="6"/>
      <c r="T415" s="6"/>
      <c r="U415" s="6"/>
      <c r="V415" s="6"/>
      <c r="W415" s="6"/>
      <c r="X415" s="6"/>
      <c r="Y415" s="6"/>
      <c r="Z415" s="6"/>
      <c r="AA415" s="19"/>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row>
    <row r="416">
      <c r="A416" s="6"/>
      <c r="B416" s="6"/>
      <c r="C416" s="18"/>
      <c r="D416" s="6"/>
      <c r="E416" s="6"/>
      <c r="F416" s="6"/>
      <c r="G416" s="6"/>
      <c r="H416" s="6"/>
      <c r="I416" s="6"/>
      <c r="J416" s="6"/>
      <c r="K416" s="6"/>
      <c r="L416" s="6"/>
      <c r="M416" s="6"/>
      <c r="N416" s="6"/>
      <c r="O416" s="6"/>
      <c r="P416" s="6"/>
      <c r="Q416" s="6"/>
      <c r="R416" s="6"/>
      <c r="S416" s="6"/>
      <c r="T416" s="6"/>
      <c r="U416" s="6"/>
      <c r="V416" s="6"/>
      <c r="W416" s="6"/>
      <c r="X416" s="6"/>
      <c r="Y416" s="6"/>
      <c r="Z416" s="6"/>
      <c r="AA416" s="19"/>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row>
    <row r="417">
      <c r="A417" s="6"/>
      <c r="B417" s="6"/>
      <c r="C417" s="18"/>
      <c r="D417" s="6"/>
      <c r="E417" s="6"/>
      <c r="F417" s="6"/>
      <c r="G417" s="6"/>
      <c r="H417" s="6"/>
      <c r="I417" s="6"/>
      <c r="J417" s="6"/>
      <c r="K417" s="6"/>
      <c r="L417" s="6"/>
      <c r="M417" s="6"/>
      <c r="N417" s="6"/>
      <c r="O417" s="6"/>
      <c r="P417" s="6"/>
      <c r="Q417" s="6"/>
      <c r="R417" s="6"/>
      <c r="S417" s="6"/>
      <c r="T417" s="6"/>
      <c r="U417" s="6"/>
      <c r="V417" s="6"/>
      <c r="W417" s="6"/>
      <c r="X417" s="6"/>
      <c r="Y417" s="6"/>
      <c r="Z417" s="6"/>
      <c r="AA417" s="19"/>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row>
    <row r="418">
      <c r="A418" s="6"/>
      <c r="B418" s="6"/>
      <c r="C418" s="18"/>
      <c r="D418" s="6"/>
      <c r="E418" s="6"/>
      <c r="F418" s="6"/>
      <c r="G418" s="6"/>
      <c r="H418" s="6"/>
      <c r="I418" s="6"/>
      <c r="J418" s="6"/>
      <c r="K418" s="6"/>
      <c r="L418" s="6"/>
      <c r="M418" s="6"/>
      <c r="N418" s="6"/>
      <c r="O418" s="6"/>
      <c r="P418" s="6"/>
      <c r="Q418" s="6"/>
      <c r="R418" s="6"/>
      <c r="S418" s="6"/>
      <c r="T418" s="6"/>
      <c r="U418" s="6"/>
      <c r="V418" s="6"/>
      <c r="W418" s="6"/>
      <c r="X418" s="6"/>
      <c r="Y418" s="6"/>
      <c r="Z418" s="6"/>
      <c r="AA418" s="19"/>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row>
    <row r="419">
      <c r="A419" s="6"/>
      <c r="B419" s="6"/>
      <c r="C419" s="18"/>
      <c r="D419" s="6"/>
      <c r="E419" s="6"/>
      <c r="F419" s="6"/>
      <c r="G419" s="6"/>
      <c r="H419" s="6"/>
      <c r="I419" s="6"/>
      <c r="J419" s="6"/>
      <c r="K419" s="6"/>
      <c r="L419" s="6"/>
      <c r="M419" s="6"/>
      <c r="N419" s="6"/>
      <c r="O419" s="6"/>
      <c r="P419" s="6"/>
      <c r="Q419" s="6"/>
      <c r="R419" s="6"/>
      <c r="S419" s="6"/>
      <c r="T419" s="6"/>
      <c r="U419" s="6"/>
      <c r="V419" s="6"/>
      <c r="W419" s="6"/>
      <c r="X419" s="6"/>
      <c r="Y419" s="6"/>
      <c r="Z419" s="6"/>
      <c r="AA419" s="19"/>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row>
    <row r="420">
      <c r="A420" s="6"/>
      <c r="B420" s="6"/>
      <c r="C420" s="18"/>
      <c r="D420" s="6"/>
      <c r="E420" s="6"/>
      <c r="F420" s="6"/>
      <c r="G420" s="6"/>
      <c r="H420" s="6"/>
      <c r="I420" s="6"/>
      <c r="J420" s="6"/>
      <c r="K420" s="6"/>
      <c r="L420" s="6"/>
      <c r="M420" s="6"/>
      <c r="N420" s="6"/>
      <c r="O420" s="6"/>
      <c r="P420" s="6"/>
      <c r="Q420" s="6"/>
      <c r="R420" s="6"/>
      <c r="S420" s="6"/>
      <c r="T420" s="6"/>
      <c r="U420" s="6"/>
      <c r="V420" s="6"/>
      <c r="W420" s="6"/>
      <c r="X420" s="6"/>
      <c r="Y420" s="6"/>
      <c r="Z420" s="6"/>
      <c r="AA420" s="19"/>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row>
    <row r="421">
      <c r="A421" s="6"/>
      <c r="B421" s="6"/>
      <c r="C421" s="18"/>
      <c r="D421" s="6"/>
      <c r="E421" s="6"/>
      <c r="F421" s="6"/>
      <c r="G421" s="6"/>
      <c r="H421" s="6"/>
      <c r="I421" s="6"/>
      <c r="J421" s="6"/>
      <c r="K421" s="6"/>
      <c r="L421" s="6"/>
      <c r="M421" s="6"/>
      <c r="N421" s="6"/>
      <c r="O421" s="6"/>
      <c r="P421" s="6"/>
      <c r="Q421" s="6"/>
      <c r="R421" s="6"/>
      <c r="S421" s="6"/>
      <c r="T421" s="6"/>
      <c r="U421" s="6"/>
      <c r="V421" s="6"/>
      <c r="W421" s="6"/>
      <c r="X421" s="6"/>
      <c r="Y421" s="6"/>
      <c r="Z421" s="6"/>
      <c r="AA421" s="19"/>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row>
    <row r="422">
      <c r="A422" s="6"/>
      <c r="B422" s="6"/>
      <c r="C422" s="18"/>
      <c r="D422" s="6"/>
      <c r="E422" s="6"/>
      <c r="F422" s="6"/>
      <c r="G422" s="6"/>
      <c r="H422" s="6"/>
      <c r="I422" s="6"/>
      <c r="J422" s="6"/>
      <c r="K422" s="6"/>
      <c r="L422" s="6"/>
      <c r="M422" s="6"/>
      <c r="N422" s="6"/>
      <c r="O422" s="6"/>
      <c r="P422" s="6"/>
      <c r="Q422" s="6"/>
      <c r="R422" s="6"/>
      <c r="S422" s="6"/>
      <c r="T422" s="6"/>
      <c r="U422" s="6"/>
      <c r="V422" s="6"/>
      <c r="W422" s="6"/>
      <c r="X422" s="6"/>
      <c r="Y422" s="6"/>
      <c r="Z422" s="6"/>
      <c r="AA422" s="19"/>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row>
    <row r="423">
      <c r="A423" s="6"/>
      <c r="B423" s="6"/>
      <c r="C423" s="18"/>
      <c r="D423" s="6"/>
      <c r="E423" s="6"/>
      <c r="F423" s="6"/>
      <c r="G423" s="6"/>
      <c r="H423" s="6"/>
      <c r="I423" s="6"/>
      <c r="J423" s="6"/>
      <c r="K423" s="6"/>
      <c r="L423" s="6"/>
      <c r="M423" s="6"/>
      <c r="N423" s="6"/>
      <c r="O423" s="6"/>
      <c r="P423" s="6"/>
      <c r="Q423" s="6"/>
      <c r="R423" s="6"/>
      <c r="S423" s="6"/>
      <c r="T423" s="6"/>
      <c r="U423" s="6"/>
      <c r="V423" s="6"/>
      <c r="W423" s="6"/>
      <c r="X423" s="6"/>
      <c r="Y423" s="6"/>
      <c r="Z423" s="6"/>
      <c r="AA423" s="19"/>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row>
    <row r="424">
      <c r="A424" s="6"/>
      <c r="B424" s="6"/>
      <c r="C424" s="18"/>
      <c r="D424" s="6"/>
      <c r="E424" s="6"/>
      <c r="F424" s="6"/>
      <c r="G424" s="6"/>
      <c r="H424" s="6"/>
      <c r="I424" s="6"/>
      <c r="J424" s="6"/>
      <c r="K424" s="6"/>
      <c r="L424" s="6"/>
      <c r="M424" s="6"/>
      <c r="N424" s="6"/>
      <c r="O424" s="6"/>
      <c r="P424" s="6"/>
      <c r="Q424" s="6"/>
      <c r="R424" s="6"/>
      <c r="S424" s="6"/>
      <c r="T424" s="6"/>
      <c r="U424" s="6"/>
      <c r="V424" s="6"/>
      <c r="W424" s="6"/>
      <c r="X424" s="6"/>
      <c r="Y424" s="6"/>
      <c r="Z424" s="6"/>
      <c r="AA424" s="19"/>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row>
    <row r="425">
      <c r="A425" s="6"/>
      <c r="B425" s="6"/>
      <c r="C425" s="18"/>
      <c r="D425" s="6"/>
      <c r="E425" s="6"/>
      <c r="F425" s="6"/>
      <c r="G425" s="6"/>
      <c r="H425" s="6"/>
      <c r="I425" s="6"/>
      <c r="J425" s="6"/>
      <c r="K425" s="6"/>
      <c r="L425" s="6"/>
      <c r="M425" s="6"/>
      <c r="N425" s="6"/>
      <c r="O425" s="6"/>
      <c r="P425" s="6"/>
      <c r="Q425" s="6"/>
      <c r="R425" s="6"/>
      <c r="S425" s="6"/>
      <c r="T425" s="6"/>
      <c r="U425" s="6"/>
      <c r="V425" s="6"/>
      <c r="W425" s="6"/>
      <c r="X425" s="6"/>
      <c r="Y425" s="6"/>
      <c r="Z425" s="6"/>
      <c r="AA425" s="19"/>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row>
    <row r="426">
      <c r="A426" s="6"/>
      <c r="B426" s="6"/>
      <c r="C426" s="18"/>
      <c r="D426" s="6"/>
      <c r="E426" s="6"/>
      <c r="F426" s="6"/>
      <c r="G426" s="6"/>
      <c r="H426" s="6"/>
      <c r="I426" s="6"/>
      <c r="J426" s="6"/>
      <c r="K426" s="6"/>
      <c r="L426" s="6"/>
      <c r="M426" s="6"/>
      <c r="N426" s="6"/>
      <c r="O426" s="6"/>
      <c r="P426" s="6"/>
      <c r="Q426" s="6"/>
      <c r="R426" s="6"/>
      <c r="S426" s="6"/>
      <c r="T426" s="6"/>
      <c r="U426" s="6"/>
      <c r="V426" s="6"/>
      <c r="W426" s="6"/>
      <c r="X426" s="6"/>
      <c r="Y426" s="6"/>
      <c r="Z426" s="6"/>
      <c r="AA426" s="19"/>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row>
    <row r="427">
      <c r="A427" s="6"/>
      <c r="B427" s="6"/>
      <c r="C427" s="18"/>
      <c r="D427" s="6"/>
      <c r="E427" s="6"/>
      <c r="F427" s="6"/>
      <c r="G427" s="6"/>
      <c r="H427" s="6"/>
      <c r="I427" s="6"/>
      <c r="J427" s="6"/>
      <c r="K427" s="6"/>
      <c r="L427" s="6"/>
      <c r="M427" s="6"/>
      <c r="N427" s="6"/>
      <c r="O427" s="6"/>
      <c r="P427" s="6"/>
      <c r="Q427" s="6"/>
      <c r="R427" s="6"/>
      <c r="S427" s="6"/>
      <c r="T427" s="6"/>
      <c r="U427" s="6"/>
      <c r="V427" s="6"/>
      <c r="W427" s="6"/>
      <c r="X427" s="6"/>
      <c r="Y427" s="6"/>
      <c r="Z427" s="6"/>
      <c r="AA427" s="19"/>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row>
    <row r="428">
      <c r="A428" s="6"/>
      <c r="B428" s="6"/>
      <c r="C428" s="18"/>
      <c r="D428" s="6"/>
      <c r="E428" s="6"/>
      <c r="F428" s="6"/>
      <c r="G428" s="6"/>
      <c r="H428" s="6"/>
      <c r="I428" s="6"/>
      <c r="J428" s="6"/>
      <c r="K428" s="6"/>
      <c r="L428" s="6"/>
      <c r="M428" s="6"/>
      <c r="N428" s="6"/>
      <c r="O428" s="6"/>
      <c r="P428" s="6"/>
      <c r="Q428" s="6"/>
      <c r="R428" s="6"/>
      <c r="S428" s="6"/>
      <c r="T428" s="6"/>
      <c r="U428" s="6"/>
      <c r="V428" s="6"/>
      <c r="W428" s="6"/>
      <c r="X428" s="6"/>
      <c r="Y428" s="6"/>
      <c r="Z428" s="6"/>
      <c r="AA428" s="19"/>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row>
    <row r="429">
      <c r="A429" s="6"/>
      <c r="B429" s="6"/>
      <c r="C429" s="18"/>
      <c r="D429" s="6"/>
      <c r="E429" s="6"/>
      <c r="F429" s="6"/>
      <c r="G429" s="6"/>
      <c r="H429" s="6"/>
      <c r="I429" s="6"/>
      <c r="J429" s="6"/>
      <c r="K429" s="6"/>
      <c r="L429" s="6"/>
      <c r="M429" s="6"/>
      <c r="N429" s="6"/>
      <c r="O429" s="6"/>
      <c r="P429" s="6"/>
      <c r="Q429" s="6"/>
      <c r="R429" s="6"/>
      <c r="S429" s="6"/>
      <c r="T429" s="6"/>
      <c r="U429" s="6"/>
      <c r="V429" s="6"/>
      <c r="W429" s="6"/>
      <c r="X429" s="6"/>
      <c r="Y429" s="6"/>
      <c r="Z429" s="6"/>
      <c r="AA429" s="19"/>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row>
    <row r="430">
      <c r="A430" s="6"/>
      <c r="B430" s="6"/>
      <c r="C430" s="18"/>
      <c r="D430" s="6"/>
      <c r="E430" s="6"/>
      <c r="F430" s="6"/>
      <c r="G430" s="6"/>
      <c r="H430" s="6"/>
      <c r="I430" s="6"/>
      <c r="J430" s="6"/>
      <c r="K430" s="6"/>
      <c r="L430" s="6"/>
      <c r="M430" s="6"/>
      <c r="N430" s="6"/>
      <c r="O430" s="6"/>
      <c r="P430" s="6"/>
      <c r="Q430" s="6"/>
      <c r="R430" s="6"/>
      <c r="S430" s="6"/>
      <c r="T430" s="6"/>
      <c r="U430" s="6"/>
      <c r="V430" s="6"/>
      <c r="W430" s="6"/>
      <c r="X430" s="6"/>
      <c r="Y430" s="6"/>
      <c r="Z430" s="6"/>
      <c r="AA430" s="19"/>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row>
    <row r="431">
      <c r="A431" s="6"/>
      <c r="B431" s="6"/>
      <c r="C431" s="18"/>
      <c r="D431" s="6"/>
      <c r="E431" s="6"/>
      <c r="F431" s="6"/>
      <c r="G431" s="6"/>
      <c r="H431" s="6"/>
      <c r="I431" s="6"/>
      <c r="J431" s="6"/>
      <c r="K431" s="6"/>
      <c r="L431" s="6"/>
      <c r="M431" s="6"/>
      <c r="N431" s="6"/>
      <c r="O431" s="6"/>
      <c r="P431" s="6"/>
      <c r="Q431" s="6"/>
      <c r="R431" s="6"/>
      <c r="S431" s="6"/>
      <c r="T431" s="6"/>
      <c r="U431" s="6"/>
      <c r="V431" s="6"/>
      <c r="W431" s="6"/>
      <c r="X431" s="6"/>
      <c r="Y431" s="6"/>
      <c r="Z431" s="6"/>
      <c r="AA431" s="19"/>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row>
    <row r="432">
      <c r="A432" s="6"/>
      <c r="B432" s="6"/>
      <c r="C432" s="18"/>
      <c r="D432" s="6"/>
      <c r="E432" s="6"/>
      <c r="F432" s="6"/>
      <c r="G432" s="6"/>
      <c r="H432" s="6"/>
      <c r="I432" s="6"/>
      <c r="J432" s="6"/>
      <c r="K432" s="6"/>
      <c r="L432" s="6"/>
      <c r="M432" s="6"/>
      <c r="N432" s="6"/>
      <c r="O432" s="6"/>
      <c r="P432" s="6"/>
      <c r="Q432" s="6"/>
      <c r="R432" s="6"/>
      <c r="S432" s="6"/>
      <c r="T432" s="6"/>
      <c r="U432" s="6"/>
      <c r="V432" s="6"/>
      <c r="W432" s="6"/>
      <c r="X432" s="6"/>
      <c r="Y432" s="6"/>
      <c r="Z432" s="6"/>
      <c r="AA432" s="19"/>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row>
    <row r="433">
      <c r="A433" s="6"/>
      <c r="B433" s="6"/>
      <c r="C433" s="18"/>
      <c r="D433" s="6"/>
      <c r="E433" s="6"/>
      <c r="F433" s="6"/>
      <c r="G433" s="6"/>
      <c r="H433" s="6"/>
      <c r="I433" s="6"/>
      <c r="J433" s="6"/>
      <c r="K433" s="6"/>
      <c r="L433" s="6"/>
      <c r="M433" s="6"/>
      <c r="N433" s="6"/>
      <c r="O433" s="6"/>
      <c r="P433" s="6"/>
      <c r="Q433" s="6"/>
      <c r="R433" s="6"/>
      <c r="S433" s="6"/>
      <c r="T433" s="6"/>
      <c r="U433" s="6"/>
      <c r="V433" s="6"/>
      <c r="W433" s="6"/>
      <c r="X433" s="6"/>
      <c r="Y433" s="6"/>
      <c r="Z433" s="6"/>
      <c r="AA433" s="19"/>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row>
    <row r="434">
      <c r="A434" s="6"/>
      <c r="B434" s="6"/>
      <c r="C434" s="18"/>
      <c r="D434" s="6"/>
      <c r="E434" s="6"/>
      <c r="F434" s="6"/>
      <c r="G434" s="6"/>
      <c r="H434" s="6"/>
      <c r="I434" s="6"/>
      <c r="J434" s="6"/>
      <c r="K434" s="6"/>
      <c r="L434" s="6"/>
      <c r="M434" s="6"/>
      <c r="N434" s="6"/>
      <c r="O434" s="6"/>
      <c r="P434" s="6"/>
      <c r="Q434" s="6"/>
      <c r="R434" s="6"/>
      <c r="S434" s="6"/>
      <c r="T434" s="6"/>
      <c r="U434" s="6"/>
      <c r="V434" s="6"/>
      <c r="W434" s="6"/>
      <c r="X434" s="6"/>
      <c r="Y434" s="6"/>
      <c r="Z434" s="6"/>
      <c r="AA434" s="19"/>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row>
    <row r="435">
      <c r="A435" s="6"/>
      <c r="B435" s="6"/>
      <c r="C435" s="18"/>
      <c r="D435" s="6"/>
      <c r="E435" s="6"/>
      <c r="F435" s="6"/>
      <c r="G435" s="6"/>
      <c r="H435" s="6"/>
      <c r="I435" s="6"/>
      <c r="J435" s="6"/>
      <c r="K435" s="6"/>
      <c r="L435" s="6"/>
      <c r="M435" s="6"/>
      <c r="N435" s="6"/>
      <c r="O435" s="6"/>
      <c r="P435" s="6"/>
      <c r="Q435" s="6"/>
      <c r="R435" s="6"/>
      <c r="S435" s="6"/>
      <c r="T435" s="6"/>
      <c r="U435" s="6"/>
      <c r="V435" s="6"/>
      <c r="W435" s="6"/>
      <c r="X435" s="6"/>
      <c r="Y435" s="6"/>
      <c r="Z435" s="6"/>
      <c r="AA435" s="19"/>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row>
    <row r="436">
      <c r="A436" s="6"/>
      <c r="B436" s="6"/>
      <c r="C436" s="18"/>
      <c r="D436" s="6"/>
      <c r="E436" s="6"/>
      <c r="F436" s="6"/>
      <c r="G436" s="6"/>
      <c r="H436" s="6"/>
      <c r="I436" s="6"/>
      <c r="J436" s="6"/>
      <c r="K436" s="6"/>
      <c r="L436" s="6"/>
      <c r="M436" s="6"/>
      <c r="N436" s="6"/>
      <c r="O436" s="6"/>
      <c r="P436" s="6"/>
      <c r="Q436" s="6"/>
      <c r="R436" s="6"/>
      <c r="S436" s="6"/>
      <c r="T436" s="6"/>
      <c r="U436" s="6"/>
      <c r="V436" s="6"/>
      <c r="W436" s="6"/>
      <c r="X436" s="6"/>
      <c r="Y436" s="6"/>
      <c r="Z436" s="6"/>
      <c r="AA436" s="19"/>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row>
    <row r="437">
      <c r="A437" s="6"/>
      <c r="B437" s="6"/>
      <c r="C437" s="18"/>
      <c r="D437" s="6"/>
      <c r="E437" s="6"/>
      <c r="F437" s="6"/>
      <c r="G437" s="6"/>
      <c r="H437" s="6"/>
      <c r="I437" s="6"/>
      <c r="J437" s="6"/>
      <c r="K437" s="6"/>
      <c r="L437" s="6"/>
      <c r="M437" s="6"/>
      <c r="N437" s="6"/>
      <c r="O437" s="6"/>
      <c r="P437" s="6"/>
      <c r="Q437" s="6"/>
      <c r="R437" s="6"/>
      <c r="S437" s="6"/>
      <c r="T437" s="6"/>
      <c r="U437" s="6"/>
      <c r="V437" s="6"/>
      <c r="W437" s="6"/>
      <c r="X437" s="6"/>
      <c r="Y437" s="6"/>
      <c r="Z437" s="6"/>
      <c r="AA437" s="19"/>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row>
    <row r="438">
      <c r="A438" s="6"/>
      <c r="B438" s="6"/>
      <c r="C438" s="18"/>
      <c r="D438" s="6"/>
      <c r="E438" s="6"/>
      <c r="F438" s="6"/>
      <c r="G438" s="6"/>
      <c r="H438" s="6"/>
      <c r="I438" s="6"/>
      <c r="J438" s="6"/>
      <c r="K438" s="6"/>
      <c r="L438" s="6"/>
      <c r="M438" s="6"/>
      <c r="N438" s="6"/>
      <c r="O438" s="6"/>
      <c r="P438" s="6"/>
      <c r="Q438" s="6"/>
      <c r="R438" s="6"/>
      <c r="S438" s="6"/>
      <c r="T438" s="6"/>
      <c r="U438" s="6"/>
      <c r="V438" s="6"/>
      <c r="W438" s="6"/>
      <c r="X438" s="6"/>
      <c r="Y438" s="6"/>
      <c r="Z438" s="6"/>
      <c r="AA438" s="19"/>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row>
    <row r="439">
      <c r="A439" s="6"/>
      <c r="B439" s="6"/>
      <c r="C439" s="18"/>
      <c r="D439" s="6"/>
      <c r="E439" s="6"/>
      <c r="F439" s="6"/>
      <c r="G439" s="6"/>
      <c r="H439" s="6"/>
      <c r="I439" s="6"/>
      <c r="J439" s="6"/>
      <c r="K439" s="6"/>
      <c r="L439" s="6"/>
      <c r="M439" s="6"/>
      <c r="N439" s="6"/>
      <c r="O439" s="6"/>
      <c r="P439" s="6"/>
      <c r="Q439" s="6"/>
      <c r="R439" s="6"/>
      <c r="S439" s="6"/>
      <c r="T439" s="6"/>
      <c r="U439" s="6"/>
      <c r="V439" s="6"/>
      <c r="W439" s="6"/>
      <c r="X439" s="6"/>
      <c r="Y439" s="6"/>
      <c r="Z439" s="6"/>
      <c r="AA439" s="19"/>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row>
    <row r="440">
      <c r="A440" s="6"/>
      <c r="B440" s="6"/>
      <c r="C440" s="18"/>
      <c r="D440" s="6"/>
      <c r="E440" s="6"/>
      <c r="F440" s="6"/>
      <c r="G440" s="6"/>
      <c r="H440" s="6"/>
      <c r="I440" s="6"/>
      <c r="J440" s="6"/>
      <c r="K440" s="6"/>
      <c r="L440" s="6"/>
      <c r="M440" s="6"/>
      <c r="N440" s="6"/>
      <c r="O440" s="6"/>
      <c r="P440" s="6"/>
      <c r="Q440" s="6"/>
      <c r="R440" s="6"/>
      <c r="S440" s="6"/>
      <c r="T440" s="6"/>
      <c r="U440" s="6"/>
      <c r="V440" s="6"/>
      <c r="W440" s="6"/>
      <c r="X440" s="6"/>
      <c r="Y440" s="6"/>
      <c r="Z440" s="6"/>
      <c r="AA440" s="19"/>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row>
    <row r="441">
      <c r="A441" s="6"/>
      <c r="B441" s="6"/>
      <c r="C441" s="18"/>
      <c r="D441" s="6"/>
      <c r="E441" s="6"/>
      <c r="F441" s="6"/>
      <c r="G441" s="6"/>
      <c r="H441" s="6"/>
      <c r="I441" s="6"/>
      <c r="J441" s="6"/>
      <c r="K441" s="6"/>
      <c r="L441" s="6"/>
      <c r="M441" s="6"/>
      <c r="N441" s="6"/>
      <c r="O441" s="6"/>
      <c r="P441" s="6"/>
      <c r="Q441" s="6"/>
      <c r="R441" s="6"/>
      <c r="S441" s="6"/>
      <c r="T441" s="6"/>
      <c r="U441" s="6"/>
      <c r="V441" s="6"/>
      <c r="W441" s="6"/>
      <c r="X441" s="6"/>
      <c r="Y441" s="6"/>
      <c r="Z441" s="6"/>
      <c r="AA441" s="19"/>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row>
    <row r="442">
      <c r="A442" s="6"/>
      <c r="B442" s="6"/>
      <c r="C442" s="18"/>
      <c r="D442" s="6"/>
      <c r="E442" s="6"/>
      <c r="F442" s="6"/>
      <c r="G442" s="6"/>
      <c r="H442" s="6"/>
      <c r="I442" s="6"/>
      <c r="J442" s="6"/>
      <c r="K442" s="6"/>
      <c r="L442" s="6"/>
      <c r="M442" s="6"/>
      <c r="N442" s="6"/>
      <c r="O442" s="6"/>
      <c r="P442" s="6"/>
      <c r="Q442" s="6"/>
      <c r="R442" s="6"/>
      <c r="S442" s="6"/>
      <c r="T442" s="6"/>
      <c r="U442" s="6"/>
      <c r="V442" s="6"/>
      <c r="W442" s="6"/>
      <c r="X442" s="6"/>
      <c r="Y442" s="6"/>
      <c r="Z442" s="6"/>
      <c r="AA442" s="19"/>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row>
    <row r="443">
      <c r="A443" s="6"/>
      <c r="B443" s="6"/>
      <c r="C443" s="18"/>
      <c r="D443" s="6"/>
      <c r="E443" s="6"/>
      <c r="F443" s="6"/>
      <c r="G443" s="6"/>
      <c r="H443" s="6"/>
      <c r="I443" s="6"/>
      <c r="J443" s="6"/>
      <c r="K443" s="6"/>
      <c r="L443" s="6"/>
      <c r="M443" s="6"/>
      <c r="N443" s="6"/>
      <c r="O443" s="6"/>
      <c r="P443" s="6"/>
      <c r="Q443" s="6"/>
      <c r="R443" s="6"/>
      <c r="S443" s="6"/>
      <c r="T443" s="6"/>
      <c r="U443" s="6"/>
      <c r="V443" s="6"/>
      <c r="W443" s="6"/>
      <c r="X443" s="6"/>
      <c r="Y443" s="6"/>
      <c r="Z443" s="6"/>
      <c r="AA443" s="19"/>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row>
    <row r="444">
      <c r="A444" s="6"/>
      <c r="B444" s="6"/>
      <c r="C444" s="18"/>
      <c r="D444" s="6"/>
      <c r="E444" s="6"/>
      <c r="F444" s="6"/>
      <c r="G444" s="6"/>
      <c r="H444" s="6"/>
      <c r="I444" s="6"/>
      <c r="J444" s="6"/>
      <c r="K444" s="6"/>
      <c r="L444" s="6"/>
      <c r="M444" s="6"/>
      <c r="N444" s="6"/>
      <c r="O444" s="6"/>
      <c r="P444" s="6"/>
      <c r="Q444" s="6"/>
      <c r="R444" s="6"/>
      <c r="S444" s="6"/>
      <c r="T444" s="6"/>
      <c r="U444" s="6"/>
      <c r="V444" s="6"/>
      <c r="W444" s="6"/>
      <c r="X444" s="6"/>
      <c r="Y444" s="6"/>
      <c r="Z444" s="6"/>
      <c r="AA444" s="19"/>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row>
    <row r="445">
      <c r="A445" s="6"/>
      <c r="B445" s="6"/>
      <c r="C445" s="18"/>
      <c r="D445" s="6"/>
      <c r="E445" s="6"/>
      <c r="F445" s="6"/>
      <c r="G445" s="6"/>
      <c r="H445" s="6"/>
      <c r="I445" s="6"/>
      <c r="J445" s="6"/>
      <c r="K445" s="6"/>
      <c r="L445" s="6"/>
      <c r="M445" s="6"/>
      <c r="N445" s="6"/>
      <c r="O445" s="6"/>
      <c r="P445" s="6"/>
      <c r="Q445" s="6"/>
      <c r="R445" s="6"/>
      <c r="S445" s="6"/>
      <c r="T445" s="6"/>
      <c r="U445" s="6"/>
      <c r="V445" s="6"/>
      <c r="W445" s="6"/>
      <c r="X445" s="6"/>
      <c r="Y445" s="6"/>
      <c r="Z445" s="6"/>
      <c r="AA445" s="19"/>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row>
    <row r="446">
      <c r="A446" s="6"/>
      <c r="B446" s="6"/>
      <c r="C446" s="18"/>
      <c r="D446" s="6"/>
      <c r="E446" s="6"/>
      <c r="F446" s="6"/>
      <c r="G446" s="6"/>
      <c r="H446" s="6"/>
      <c r="I446" s="6"/>
      <c r="J446" s="6"/>
      <c r="K446" s="6"/>
      <c r="L446" s="6"/>
      <c r="M446" s="6"/>
      <c r="N446" s="6"/>
      <c r="O446" s="6"/>
      <c r="P446" s="6"/>
      <c r="Q446" s="6"/>
      <c r="R446" s="6"/>
      <c r="S446" s="6"/>
      <c r="T446" s="6"/>
      <c r="U446" s="6"/>
      <c r="V446" s="6"/>
      <c r="W446" s="6"/>
      <c r="X446" s="6"/>
      <c r="Y446" s="6"/>
      <c r="Z446" s="6"/>
      <c r="AA446" s="19"/>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row>
    <row r="447">
      <c r="A447" s="6"/>
      <c r="B447" s="6"/>
      <c r="C447" s="18"/>
      <c r="D447" s="6"/>
      <c r="E447" s="6"/>
      <c r="F447" s="6"/>
      <c r="G447" s="6"/>
      <c r="H447" s="6"/>
      <c r="I447" s="6"/>
      <c r="J447" s="6"/>
      <c r="K447" s="6"/>
      <c r="L447" s="6"/>
      <c r="M447" s="6"/>
      <c r="N447" s="6"/>
      <c r="O447" s="6"/>
      <c r="P447" s="6"/>
      <c r="Q447" s="6"/>
      <c r="R447" s="6"/>
      <c r="S447" s="6"/>
      <c r="T447" s="6"/>
      <c r="U447" s="6"/>
      <c r="V447" s="6"/>
      <c r="W447" s="6"/>
      <c r="X447" s="6"/>
      <c r="Y447" s="6"/>
      <c r="Z447" s="6"/>
      <c r="AA447" s="19"/>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row>
    <row r="448">
      <c r="A448" s="6"/>
      <c r="B448" s="6"/>
      <c r="C448" s="18"/>
      <c r="D448" s="6"/>
      <c r="E448" s="6"/>
      <c r="F448" s="6"/>
      <c r="G448" s="6"/>
      <c r="H448" s="6"/>
      <c r="I448" s="6"/>
      <c r="J448" s="6"/>
      <c r="K448" s="6"/>
      <c r="L448" s="6"/>
      <c r="M448" s="6"/>
      <c r="N448" s="6"/>
      <c r="O448" s="6"/>
      <c r="P448" s="6"/>
      <c r="Q448" s="6"/>
      <c r="R448" s="6"/>
      <c r="S448" s="6"/>
      <c r="T448" s="6"/>
      <c r="U448" s="6"/>
      <c r="V448" s="6"/>
      <c r="W448" s="6"/>
      <c r="X448" s="6"/>
      <c r="Y448" s="6"/>
      <c r="Z448" s="6"/>
      <c r="AA448" s="19"/>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row>
    <row r="449">
      <c r="A449" s="6"/>
      <c r="B449" s="6"/>
      <c r="C449" s="18"/>
      <c r="D449" s="6"/>
      <c r="E449" s="6"/>
      <c r="F449" s="6"/>
      <c r="G449" s="6"/>
      <c r="H449" s="6"/>
      <c r="I449" s="6"/>
      <c r="J449" s="6"/>
      <c r="K449" s="6"/>
      <c r="L449" s="6"/>
      <c r="M449" s="6"/>
      <c r="N449" s="6"/>
      <c r="O449" s="6"/>
      <c r="P449" s="6"/>
      <c r="Q449" s="6"/>
      <c r="R449" s="6"/>
      <c r="S449" s="6"/>
      <c r="T449" s="6"/>
      <c r="U449" s="6"/>
      <c r="V449" s="6"/>
      <c r="W449" s="6"/>
      <c r="X449" s="6"/>
      <c r="Y449" s="6"/>
      <c r="Z449" s="6"/>
      <c r="AA449" s="19"/>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row>
    <row r="450">
      <c r="A450" s="6"/>
      <c r="B450" s="6"/>
      <c r="C450" s="18"/>
      <c r="D450" s="6"/>
      <c r="E450" s="6"/>
      <c r="F450" s="6"/>
      <c r="G450" s="6"/>
      <c r="H450" s="6"/>
      <c r="I450" s="6"/>
      <c r="J450" s="6"/>
      <c r="K450" s="6"/>
      <c r="L450" s="6"/>
      <c r="M450" s="6"/>
      <c r="N450" s="6"/>
      <c r="O450" s="6"/>
      <c r="P450" s="6"/>
      <c r="Q450" s="6"/>
      <c r="R450" s="6"/>
      <c r="S450" s="6"/>
      <c r="T450" s="6"/>
      <c r="U450" s="6"/>
      <c r="V450" s="6"/>
      <c r="W450" s="6"/>
      <c r="X450" s="6"/>
      <c r="Y450" s="6"/>
      <c r="Z450" s="6"/>
      <c r="AA450" s="19"/>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row>
    <row r="451">
      <c r="A451" s="6"/>
      <c r="B451" s="6"/>
      <c r="C451" s="18"/>
      <c r="D451" s="6"/>
      <c r="E451" s="6"/>
      <c r="F451" s="6"/>
      <c r="G451" s="6"/>
      <c r="H451" s="6"/>
      <c r="I451" s="6"/>
      <c r="J451" s="6"/>
      <c r="K451" s="6"/>
      <c r="L451" s="6"/>
      <c r="M451" s="6"/>
      <c r="N451" s="6"/>
      <c r="O451" s="6"/>
      <c r="P451" s="6"/>
      <c r="Q451" s="6"/>
      <c r="R451" s="6"/>
      <c r="S451" s="6"/>
      <c r="T451" s="6"/>
      <c r="U451" s="6"/>
      <c r="V451" s="6"/>
      <c r="W451" s="6"/>
      <c r="X451" s="6"/>
      <c r="Y451" s="6"/>
      <c r="Z451" s="6"/>
      <c r="AA451" s="19"/>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row>
    <row r="452">
      <c r="A452" s="6"/>
      <c r="B452" s="6"/>
      <c r="C452" s="18"/>
      <c r="D452" s="6"/>
      <c r="E452" s="6"/>
      <c r="F452" s="6"/>
      <c r="G452" s="6"/>
      <c r="H452" s="6"/>
      <c r="I452" s="6"/>
      <c r="J452" s="6"/>
      <c r="K452" s="6"/>
      <c r="L452" s="6"/>
      <c r="M452" s="6"/>
      <c r="N452" s="6"/>
      <c r="O452" s="6"/>
      <c r="P452" s="6"/>
      <c r="Q452" s="6"/>
      <c r="R452" s="6"/>
      <c r="S452" s="6"/>
      <c r="T452" s="6"/>
      <c r="U452" s="6"/>
      <c r="V452" s="6"/>
      <c r="W452" s="6"/>
      <c r="X452" s="6"/>
      <c r="Y452" s="6"/>
      <c r="Z452" s="6"/>
      <c r="AA452" s="19"/>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row>
    <row r="453">
      <c r="A453" s="6"/>
      <c r="B453" s="6"/>
      <c r="C453" s="18"/>
      <c r="D453" s="6"/>
      <c r="E453" s="6"/>
      <c r="F453" s="6"/>
      <c r="G453" s="6"/>
      <c r="H453" s="6"/>
      <c r="I453" s="6"/>
      <c r="J453" s="6"/>
      <c r="K453" s="6"/>
      <c r="L453" s="6"/>
      <c r="M453" s="6"/>
      <c r="N453" s="6"/>
      <c r="O453" s="6"/>
      <c r="P453" s="6"/>
      <c r="Q453" s="6"/>
      <c r="R453" s="6"/>
      <c r="S453" s="6"/>
      <c r="T453" s="6"/>
      <c r="U453" s="6"/>
      <c r="V453" s="6"/>
      <c r="W453" s="6"/>
      <c r="X453" s="6"/>
      <c r="Y453" s="6"/>
      <c r="Z453" s="6"/>
      <c r="AA453" s="19"/>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row>
    <row r="454">
      <c r="A454" s="6"/>
      <c r="B454" s="6"/>
      <c r="C454" s="18"/>
      <c r="D454" s="6"/>
      <c r="E454" s="6"/>
      <c r="F454" s="6"/>
      <c r="G454" s="6"/>
      <c r="H454" s="6"/>
      <c r="I454" s="6"/>
      <c r="J454" s="6"/>
      <c r="K454" s="6"/>
      <c r="L454" s="6"/>
      <c r="M454" s="6"/>
      <c r="N454" s="6"/>
      <c r="O454" s="6"/>
      <c r="P454" s="6"/>
      <c r="Q454" s="6"/>
      <c r="R454" s="6"/>
      <c r="S454" s="6"/>
      <c r="T454" s="6"/>
      <c r="U454" s="6"/>
      <c r="V454" s="6"/>
      <c r="W454" s="6"/>
      <c r="X454" s="6"/>
      <c r="Y454" s="6"/>
      <c r="Z454" s="6"/>
      <c r="AA454" s="19"/>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row>
    <row r="455">
      <c r="A455" s="6"/>
      <c r="B455" s="6"/>
      <c r="C455" s="18"/>
      <c r="D455" s="6"/>
      <c r="E455" s="6"/>
      <c r="F455" s="6"/>
      <c r="G455" s="6"/>
      <c r="H455" s="6"/>
      <c r="I455" s="6"/>
      <c r="J455" s="6"/>
      <c r="K455" s="6"/>
      <c r="L455" s="6"/>
      <c r="M455" s="6"/>
      <c r="N455" s="6"/>
      <c r="O455" s="6"/>
      <c r="P455" s="6"/>
      <c r="Q455" s="6"/>
      <c r="R455" s="6"/>
      <c r="S455" s="6"/>
      <c r="T455" s="6"/>
      <c r="U455" s="6"/>
      <c r="V455" s="6"/>
      <c r="W455" s="6"/>
      <c r="X455" s="6"/>
      <c r="Y455" s="6"/>
      <c r="Z455" s="6"/>
      <c r="AA455" s="19"/>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row>
    <row r="456">
      <c r="A456" s="6"/>
      <c r="B456" s="6"/>
      <c r="C456" s="18"/>
      <c r="D456" s="6"/>
      <c r="E456" s="6"/>
      <c r="F456" s="6"/>
      <c r="G456" s="6"/>
      <c r="H456" s="6"/>
      <c r="I456" s="6"/>
      <c r="J456" s="6"/>
      <c r="K456" s="6"/>
      <c r="L456" s="6"/>
      <c r="M456" s="6"/>
      <c r="N456" s="6"/>
      <c r="O456" s="6"/>
      <c r="P456" s="6"/>
      <c r="Q456" s="6"/>
      <c r="R456" s="6"/>
      <c r="S456" s="6"/>
      <c r="T456" s="6"/>
      <c r="U456" s="6"/>
      <c r="V456" s="6"/>
      <c r="W456" s="6"/>
      <c r="X456" s="6"/>
      <c r="Y456" s="6"/>
      <c r="Z456" s="6"/>
      <c r="AA456" s="19"/>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row>
    <row r="457">
      <c r="A457" s="6"/>
      <c r="B457" s="6"/>
      <c r="C457" s="18"/>
      <c r="D457" s="6"/>
      <c r="E457" s="6"/>
      <c r="F457" s="6"/>
      <c r="G457" s="6"/>
      <c r="H457" s="6"/>
      <c r="I457" s="6"/>
      <c r="J457" s="6"/>
      <c r="K457" s="6"/>
      <c r="L457" s="6"/>
      <c r="M457" s="6"/>
      <c r="N457" s="6"/>
      <c r="O457" s="6"/>
      <c r="P457" s="6"/>
      <c r="Q457" s="6"/>
      <c r="R457" s="6"/>
      <c r="S457" s="6"/>
      <c r="T457" s="6"/>
      <c r="U457" s="6"/>
      <c r="V457" s="6"/>
      <c r="W457" s="6"/>
      <c r="X457" s="6"/>
      <c r="Y457" s="6"/>
      <c r="Z457" s="6"/>
      <c r="AA457" s="19"/>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row>
    <row r="458">
      <c r="A458" s="6"/>
      <c r="B458" s="6"/>
      <c r="C458" s="18"/>
      <c r="D458" s="6"/>
      <c r="E458" s="6"/>
      <c r="F458" s="6"/>
      <c r="G458" s="6"/>
      <c r="H458" s="6"/>
      <c r="I458" s="6"/>
      <c r="J458" s="6"/>
      <c r="K458" s="6"/>
      <c r="L458" s="6"/>
      <c r="M458" s="6"/>
      <c r="N458" s="6"/>
      <c r="O458" s="6"/>
      <c r="P458" s="6"/>
      <c r="Q458" s="6"/>
      <c r="R458" s="6"/>
      <c r="S458" s="6"/>
      <c r="T458" s="6"/>
      <c r="U458" s="6"/>
      <c r="V458" s="6"/>
      <c r="W458" s="6"/>
      <c r="X458" s="6"/>
      <c r="Y458" s="6"/>
      <c r="Z458" s="6"/>
      <c r="AA458" s="19"/>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row>
    <row r="459">
      <c r="A459" s="6"/>
      <c r="B459" s="6"/>
      <c r="C459" s="18"/>
      <c r="D459" s="6"/>
      <c r="E459" s="6"/>
      <c r="F459" s="6"/>
      <c r="G459" s="6"/>
      <c r="H459" s="6"/>
      <c r="I459" s="6"/>
      <c r="J459" s="6"/>
      <c r="K459" s="6"/>
      <c r="L459" s="6"/>
      <c r="M459" s="6"/>
      <c r="N459" s="6"/>
      <c r="O459" s="6"/>
      <c r="P459" s="6"/>
      <c r="Q459" s="6"/>
      <c r="R459" s="6"/>
      <c r="S459" s="6"/>
      <c r="T459" s="6"/>
      <c r="U459" s="6"/>
      <c r="V459" s="6"/>
      <c r="W459" s="6"/>
      <c r="X459" s="6"/>
      <c r="Y459" s="6"/>
      <c r="Z459" s="6"/>
      <c r="AA459" s="19"/>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row>
    <row r="460">
      <c r="A460" s="6"/>
      <c r="B460" s="6"/>
      <c r="C460" s="18"/>
      <c r="D460" s="6"/>
      <c r="E460" s="6"/>
      <c r="F460" s="6"/>
      <c r="G460" s="6"/>
      <c r="H460" s="6"/>
      <c r="I460" s="6"/>
      <c r="J460" s="6"/>
      <c r="K460" s="6"/>
      <c r="L460" s="6"/>
      <c r="M460" s="6"/>
      <c r="N460" s="6"/>
      <c r="O460" s="6"/>
      <c r="P460" s="6"/>
      <c r="Q460" s="6"/>
      <c r="R460" s="6"/>
      <c r="S460" s="6"/>
      <c r="T460" s="6"/>
      <c r="U460" s="6"/>
      <c r="V460" s="6"/>
      <c r="W460" s="6"/>
      <c r="X460" s="6"/>
      <c r="Y460" s="6"/>
      <c r="Z460" s="6"/>
      <c r="AA460" s="19"/>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row>
    <row r="461">
      <c r="A461" s="6"/>
      <c r="B461" s="6"/>
      <c r="C461" s="18"/>
      <c r="D461" s="6"/>
      <c r="E461" s="6"/>
      <c r="F461" s="6"/>
      <c r="G461" s="6"/>
      <c r="H461" s="6"/>
      <c r="I461" s="6"/>
      <c r="J461" s="6"/>
      <c r="K461" s="6"/>
      <c r="L461" s="6"/>
      <c r="M461" s="6"/>
      <c r="N461" s="6"/>
      <c r="O461" s="6"/>
      <c r="P461" s="6"/>
      <c r="Q461" s="6"/>
      <c r="R461" s="6"/>
      <c r="S461" s="6"/>
      <c r="T461" s="6"/>
      <c r="U461" s="6"/>
      <c r="V461" s="6"/>
      <c r="W461" s="6"/>
      <c r="X461" s="6"/>
      <c r="Y461" s="6"/>
      <c r="Z461" s="6"/>
      <c r="AA461" s="19"/>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row>
    <row r="462">
      <c r="A462" s="6"/>
      <c r="B462" s="6"/>
      <c r="C462" s="18"/>
      <c r="D462" s="6"/>
      <c r="E462" s="6"/>
      <c r="F462" s="6"/>
      <c r="G462" s="6"/>
      <c r="H462" s="6"/>
      <c r="I462" s="6"/>
      <c r="J462" s="6"/>
      <c r="K462" s="6"/>
      <c r="L462" s="6"/>
      <c r="M462" s="6"/>
      <c r="N462" s="6"/>
      <c r="O462" s="6"/>
      <c r="P462" s="6"/>
      <c r="Q462" s="6"/>
      <c r="R462" s="6"/>
      <c r="S462" s="6"/>
      <c r="T462" s="6"/>
      <c r="U462" s="6"/>
      <c r="V462" s="6"/>
      <c r="W462" s="6"/>
      <c r="X462" s="6"/>
      <c r="Y462" s="6"/>
      <c r="Z462" s="6"/>
      <c r="AA462" s="19"/>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row>
    <row r="463">
      <c r="A463" s="6"/>
      <c r="B463" s="6"/>
      <c r="C463" s="18"/>
      <c r="D463" s="6"/>
      <c r="E463" s="6"/>
      <c r="F463" s="6"/>
      <c r="G463" s="6"/>
      <c r="H463" s="6"/>
      <c r="I463" s="6"/>
      <c r="J463" s="6"/>
      <c r="K463" s="6"/>
      <c r="L463" s="6"/>
      <c r="M463" s="6"/>
      <c r="N463" s="6"/>
      <c r="O463" s="6"/>
      <c r="P463" s="6"/>
      <c r="Q463" s="6"/>
      <c r="R463" s="6"/>
      <c r="S463" s="6"/>
      <c r="T463" s="6"/>
      <c r="U463" s="6"/>
      <c r="V463" s="6"/>
      <c r="W463" s="6"/>
      <c r="X463" s="6"/>
      <c r="Y463" s="6"/>
      <c r="Z463" s="6"/>
      <c r="AA463" s="19"/>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row>
    <row r="464">
      <c r="A464" s="6"/>
      <c r="B464" s="6"/>
      <c r="C464" s="18"/>
      <c r="D464" s="6"/>
      <c r="E464" s="6"/>
      <c r="F464" s="6"/>
      <c r="G464" s="6"/>
      <c r="H464" s="6"/>
      <c r="I464" s="6"/>
      <c r="J464" s="6"/>
      <c r="K464" s="6"/>
      <c r="L464" s="6"/>
      <c r="M464" s="6"/>
      <c r="N464" s="6"/>
      <c r="O464" s="6"/>
      <c r="P464" s="6"/>
      <c r="Q464" s="6"/>
      <c r="R464" s="6"/>
      <c r="S464" s="6"/>
      <c r="T464" s="6"/>
      <c r="U464" s="6"/>
      <c r="V464" s="6"/>
      <c r="W464" s="6"/>
      <c r="X464" s="6"/>
      <c r="Y464" s="6"/>
      <c r="Z464" s="6"/>
      <c r="AA464" s="19"/>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row>
    <row r="465">
      <c r="A465" s="6"/>
      <c r="B465" s="6"/>
      <c r="C465" s="18"/>
      <c r="D465" s="6"/>
      <c r="E465" s="6"/>
      <c r="F465" s="6"/>
      <c r="G465" s="6"/>
      <c r="H465" s="6"/>
      <c r="I465" s="6"/>
      <c r="J465" s="6"/>
      <c r="K465" s="6"/>
      <c r="L465" s="6"/>
      <c r="M465" s="6"/>
      <c r="N465" s="6"/>
      <c r="O465" s="6"/>
      <c r="P465" s="6"/>
      <c r="Q465" s="6"/>
      <c r="R465" s="6"/>
      <c r="S465" s="6"/>
      <c r="T465" s="6"/>
      <c r="U465" s="6"/>
      <c r="V465" s="6"/>
      <c r="W465" s="6"/>
      <c r="X465" s="6"/>
      <c r="Y465" s="6"/>
      <c r="Z465" s="6"/>
      <c r="AA465" s="19"/>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row>
    <row r="466">
      <c r="A466" s="6"/>
      <c r="B466" s="6"/>
      <c r="C466" s="18"/>
      <c r="D466" s="6"/>
      <c r="E466" s="6"/>
      <c r="F466" s="6"/>
      <c r="G466" s="6"/>
      <c r="H466" s="6"/>
      <c r="I466" s="6"/>
      <c r="J466" s="6"/>
      <c r="K466" s="6"/>
      <c r="L466" s="6"/>
      <c r="M466" s="6"/>
      <c r="N466" s="6"/>
      <c r="O466" s="6"/>
      <c r="P466" s="6"/>
      <c r="Q466" s="6"/>
      <c r="R466" s="6"/>
      <c r="S466" s="6"/>
      <c r="T466" s="6"/>
      <c r="U466" s="6"/>
      <c r="V466" s="6"/>
      <c r="W466" s="6"/>
      <c r="X466" s="6"/>
      <c r="Y466" s="6"/>
      <c r="Z466" s="6"/>
      <c r="AA466" s="19"/>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row>
    <row r="467">
      <c r="A467" s="6"/>
      <c r="B467" s="6"/>
      <c r="C467" s="18"/>
      <c r="D467" s="6"/>
      <c r="E467" s="6"/>
      <c r="F467" s="6"/>
      <c r="G467" s="6"/>
      <c r="H467" s="6"/>
      <c r="I467" s="6"/>
      <c r="J467" s="6"/>
      <c r="K467" s="6"/>
      <c r="L467" s="6"/>
      <c r="M467" s="6"/>
      <c r="N467" s="6"/>
      <c r="O467" s="6"/>
      <c r="P467" s="6"/>
      <c r="Q467" s="6"/>
      <c r="R467" s="6"/>
      <c r="S467" s="6"/>
      <c r="T467" s="6"/>
      <c r="U467" s="6"/>
      <c r="V467" s="6"/>
      <c r="W467" s="6"/>
      <c r="X467" s="6"/>
      <c r="Y467" s="6"/>
      <c r="Z467" s="6"/>
      <c r="AA467" s="19"/>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row>
    <row r="468">
      <c r="A468" s="6"/>
      <c r="B468" s="6"/>
      <c r="C468" s="18"/>
      <c r="D468" s="6"/>
      <c r="E468" s="6"/>
      <c r="F468" s="6"/>
      <c r="G468" s="6"/>
      <c r="H468" s="6"/>
      <c r="I468" s="6"/>
      <c r="J468" s="6"/>
      <c r="K468" s="6"/>
      <c r="L468" s="6"/>
      <c r="M468" s="6"/>
      <c r="N468" s="6"/>
      <c r="O468" s="6"/>
      <c r="P468" s="6"/>
      <c r="Q468" s="6"/>
      <c r="R468" s="6"/>
      <c r="S468" s="6"/>
      <c r="T468" s="6"/>
      <c r="U468" s="6"/>
      <c r="V468" s="6"/>
      <c r="W468" s="6"/>
      <c r="X468" s="6"/>
      <c r="Y468" s="6"/>
      <c r="Z468" s="6"/>
      <c r="AA468" s="19"/>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row>
    <row r="469">
      <c r="A469" s="6"/>
      <c r="B469" s="6"/>
      <c r="C469" s="18"/>
      <c r="D469" s="6"/>
      <c r="E469" s="6"/>
      <c r="F469" s="6"/>
      <c r="G469" s="6"/>
      <c r="H469" s="6"/>
      <c r="I469" s="6"/>
      <c r="J469" s="6"/>
      <c r="K469" s="6"/>
      <c r="L469" s="6"/>
      <c r="M469" s="6"/>
      <c r="N469" s="6"/>
      <c r="O469" s="6"/>
      <c r="P469" s="6"/>
      <c r="Q469" s="6"/>
      <c r="R469" s="6"/>
      <c r="S469" s="6"/>
      <c r="T469" s="6"/>
      <c r="U469" s="6"/>
      <c r="V469" s="6"/>
      <c r="W469" s="6"/>
      <c r="X469" s="6"/>
      <c r="Y469" s="6"/>
      <c r="Z469" s="6"/>
      <c r="AA469" s="19"/>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row>
    <row r="470">
      <c r="A470" s="6"/>
      <c r="B470" s="6"/>
      <c r="C470" s="18"/>
      <c r="D470" s="6"/>
      <c r="E470" s="6"/>
      <c r="F470" s="6"/>
      <c r="G470" s="6"/>
      <c r="H470" s="6"/>
      <c r="I470" s="6"/>
      <c r="J470" s="6"/>
      <c r="K470" s="6"/>
      <c r="L470" s="6"/>
      <c r="M470" s="6"/>
      <c r="N470" s="6"/>
      <c r="O470" s="6"/>
      <c r="P470" s="6"/>
      <c r="Q470" s="6"/>
      <c r="R470" s="6"/>
      <c r="S470" s="6"/>
      <c r="T470" s="6"/>
      <c r="U470" s="6"/>
      <c r="V470" s="6"/>
      <c r="W470" s="6"/>
      <c r="X470" s="6"/>
      <c r="Y470" s="6"/>
      <c r="Z470" s="6"/>
      <c r="AA470" s="19"/>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row>
    <row r="471">
      <c r="A471" s="6"/>
      <c r="B471" s="6"/>
      <c r="C471" s="18"/>
      <c r="D471" s="6"/>
      <c r="E471" s="6"/>
      <c r="F471" s="6"/>
      <c r="G471" s="6"/>
      <c r="H471" s="6"/>
      <c r="I471" s="6"/>
      <c r="J471" s="6"/>
      <c r="K471" s="6"/>
      <c r="L471" s="6"/>
      <c r="M471" s="6"/>
      <c r="N471" s="6"/>
      <c r="O471" s="6"/>
      <c r="P471" s="6"/>
      <c r="Q471" s="6"/>
      <c r="R471" s="6"/>
      <c r="S471" s="6"/>
      <c r="T471" s="6"/>
      <c r="U471" s="6"/>
      <c r="V471" s="6"/>
      <c r="W471" s="6"/>
      <c r="X471" s="6"/>
      <c r="Y471" s="6"/>
      <c r="Z471" s="6"/>
      <c r="AA471" s="19"/>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row>
    <row r="472">
      <c r="A472" s="6"/>
      <c r="B472" s="6"/>
      <c r="C472" s="18"/>
      <c r="D472" s="6"/>
      <c r="E472" s="6"/>
      <c r="F472" s="6"/>
      <c r="G472" s="6"/>
      <c r="H472" s="6"/>
      <c r="I472" s="6"/>
      <c r="J472" s="6"/>
      <c r="K472" s="6"/>
      <c r="L472" s="6"/>
      <c r="M472" s="6"/>
      <c r="N472" s="6"/>
      <c r="O472" s="6"/>
      <c r="P472" s="6"/>
      <c r="Q472" s="6"/>
      <c r="R472" s="6"/>
      <c r="S472" s="6"/>
      <c r="T472" s="6"/>
      <c r="U472" s="6"/>
      <c r="V472" s="6"/>
      <c r="W472" s="6"/>
      <c r="X472" s="6"/>
      <c r="Y472" s="6"/>
      <c r="Z472" s="6"/>
      <c r="AA472" s="19"/>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row>
    <row r="473">
      <c r="A473" s="6"/>
      <c r="B473" s="6"/>
      <c r="C473" s="18"/>
      <c r="D473" s="6"/>
      <c r="E473" s="6"/>
      <c r="F473" s="6"/>
      <c r="G473" s="6"/>
      <c r="H473" s="6"/>
      <c r="I473" s="6"/>
      <c r="J473" s="6"/>
      <c r="K473" s="6"/>
      <c r="L473" s="6"/>
      <c r="M473" s="6"/>
      <c r="N473" s="6"/>
      <c r="O473" s="6"/>
      <c r="P473" s="6"/>
      <c r="Q473" s="6"/>
      <c r="R473" s="6"/>
      <c r="S473" s="6"/>
      <c r="T473" s="6"/>
      <c r="U473" s="6"/>
      <c r="V473" s="6"/>
      <c r="W473" s="6"/>
      <c r="X473" s="6"/>
      <c r="Y473" s="6"/>
      <c r="Z473" s="6"/>
      <c r="AA473" s="19"/>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row>
    <row r="474">
      <c r="A474" s="6"/>
      <c r="B474" s="6"/>
      <c r="C474" s="18"/>
      <c r="D474" s="6"/>
      <c r="E474" s="6"/>
      <c r="F474" s="6"/>
      <c r="G474" s="6"/>
      <c r="H474" s="6"/>
      <c r="I474" s="6"/>
      <c r="J474" s="6"/>
      <c r="K474" s="6"/>
      <c r="L474" s="6"/>
      <c r="M474" s="6"/>
      <c r="N474" s="6"/>
      <c r="O474" s="6"/>
      <c r="P474" s="6"/>
      <c r="Q474" s="6"/>
      <c r="R474" s="6"/>
      <c r="S474" s="6"/>
      <c r="T474" s="6"/>
      <c r="U474" s="6"/>
      <c r="V474" s="6"/>
      <c r="W474" s="6"/>
      <c r="X474" s="6"/>
      <c r="Y474" s="6"/>
      <c r="Z474" s="6"/>
      <c r="AA474" s="19"/>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row>
    <row r="475">
      <c r="A475" s="6"/>
      <c r="B475" s="6"/>
      <c r="C475" s="18"/>
      <c r="D475" s="6"/>
      <c r="E475" s="6"/>
      <c r="F475" s="6"/>
      <c r="G475" s="6"/>
      <c r="H475" s="6"/>
      <c r="I475" s="6"/>
      <c r="J475" s="6"/>
      <c r="K475" s="6"/>
      <c r="L475" s="6"/>
      <c r="M475" s="6"/>
      <c r="N475" s="6"/>
      <c r="O475" s="6"/>
      <c r="P475" s="6"/>
      <c r="Q475" s="6"/>
      <c r="R475" s="6"/>
      <c r="S475" s="6"/>
      <c r="T475" s="6"/>
      <c r="U475" s="6"/>
      <c r="V475" s="6"/>
      <c r="W475" s="6"/>
      <c r="X475" s="6"/>
      <c r="Y475" s="6"/>
      <c r="Z475" s="6"/>
      <c r="AA475" s="19"/>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row>
    <row r="476">
      <c r="A476" s="6"/>
      <c r="B476" s="6"/>
      <c r="C476" s="18"/>
      <c r="D476" s="6"/>
      <c r="E476" s="6"/>
      <c r="F476" s="6"/>
      <c r="G476" s="6"/>
      <c r="H476" s="6"/>
      <c r="I476" s="6"/>
      <c r="J476" s="6"/>
      <c r="K476" s="6"/>
      <c r="L476" s="6"/>
      <c r="M476" s="6"/>
      <c r="N476" s="6"/>
      <c r="O476" s="6"/>
      <c r="P476" s="6"/>
      <c r="Q476" s="6"/>
      <c r="R476" s="6"/>
      <c r="S476" s="6"/>
      <c r="T476" s="6"/>
      <c r="U476" s="6"/>
      <c r="V476" s="6"/>
      <c r="W476" s="6"/>
      <c r="X476" s="6"/>
      <c r="Y476" s="6"/>
      <c r="Z476" s="6"/>
      <c r="AA476" s="19"/>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row>
    <row r="477">
      <c r="A477" s="6"/>
      <c r="B477" s="6"/>
      <c r="C477" s="18"/>
      <c r="D477" s="6"/>
      <c r="E477" s="6"/>
      <c r="F477" s="6"/>
      <c r="G477" s="6"/>
      <c r="H477" s="6"/>
      <c r="I477" s="6"/>
      <c r="J477" s="6"/>
      <c r="K477" s="6"/>
      <c r="L477" s="6"/>
      <c r="M477" s="6"/>
      <c r="N477" s="6"/>
      <c r="O477" s="6"/>
      <c r="P477" s="6"/>
      <c r="Q477" s="6"/>
      <c r="R477" s="6"/>
      <c r="S477" s="6"/>
      <c r="T477" s="6"/>
      <c r="U477" s="6"/>
      <c r="V477" s="6"/>
      <c r="W477" s="6"/>
      <c r="X477" s="6"/>
      <c r="Y477" s="6"/>
      <c r="Z477" s="6"/>
      <c r="AA477" s="19"/>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row>
    <row r="478">
      <c r="A478" s="6"/>
      <c r="B478" s="6"/>
      <c r="C478" s="18"/>
      <c r="D478" s="6"/>
      <c r="E478" s="6"/>
      <c r="F478" s="6"/>
      <c r="G478" s="6"/>
      <c r="H478" s="6"/>
      <c r="I478" s="6"/>
      <c r="J478" s="6"/>
      <c r="K478" s="6"/>
      <c r="L478" s="6"/>
      <c r="M478" s="6"/>
      <c r="N478" s="6"/>
      <c r="O478" s="6"/>
      <c r="P478" s="6"/>
      <c r="Q478" s="6"/>
      <c r="R478" s="6"/>
      <c r="S478" s="6"/>
      <c r="T478" s="6"/>
      <c r="U478" s="6"/>
      <c r="V478" s="6"/>
      <c r="W478" s="6"/>
      <c r="X478" s="6"/>
      <c r="Y478" s="6"/>
      <c r="Z478" s="6"/>
      <c r="AA478" s="19"/>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row>
    <row r="479">
      <c r="A479" s="6"/>
      <c r="B479" s="6"/>
      <c r="C479" s="18"/>
      <c r="D479" s="6"/>
      <c r="E479" s="6"/>
      <c r="F479" s="6"/>
      <c r="G479" s="6"/>
      <c r="H479" s="6"/>
      <c r="I479" s="6"/>
      <c r="J479" s="6"/>
      <c r="K479" s="6"/>
      <c r="L479" s="6"/>
      <c r="M479" s="6"/>
      <c r="N479" s="6"/>
      <c r="O479" s="6"/>
      <c r="P479" s="6"/>
      <c r="Q479" s="6"/>
      <c r="R479" s="6"/>
      <c r="S479" s="6"/>
      <c r="T479" s="6"/>
      <c r="U479" s="6"/>
      <c r="V479" s="6"/>
      <c r="W479" s="6"/>
      <c r="X479" s="6"/>
      <c r="Y479" s="6"/>
      <c r="Z479" s="6"/>
      <c r="AA479" s="19"/>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row>
    <row r="480">
      <c r="A480" s="6"/>
      <c r="B480" s="6"/>
      <c r="C480" s="18"/>
      <c r="D480" s="6"/>
      <c r="E480" s="6"/>
      <c r="F480" s="6"/>
      <c r="G480" s="6"/>
      <c r="H480" s="6"/>
      <c r="I480" s="6"/>
      <c r="J480" s="6"/>
      <c r="K480" s="6"/>
      <c r="L480" s="6"/>
      <c r="M480" s="6"/>
      <c r="N480" s="6"/>
      <c r="O480" s="6"/>
      <c r="P480" s="6"/>
      <c r="Q480" s="6"/>
      <c r="R480" s="6"/>
      <c r="S480" s="6"/>
      <c r="T480" s="6"/>
      <c r="U480" s="6"/>
      <c r="V480" s="6"/>
      <c r="W480" s="6"/>
      <c r="X480" s="6"/>
      <c r="Y480" s="6"/>
      <c r="Z480" s="6"/>
      <c r="AA480" s="19"/>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row>
    <row r="481">
      <c r="A481" s="6"/>
      <c r="B481" s="6"/>
      <c r="C481" s="18"/>
      <c r="D481" s="6"/>
      <c r="E481" s="6"/>
      <c r="F481" s="6"/>
      <c r="G481" s="6"/>
      <c r="H481" s="6"/>
      <c r="I481" s="6"/>
      <c r="J481" s="6"/>
      <c r="K481" s="6"/>
      <c r="L481" s="6"/>
      <c r="M481" s="6"/>
      <c r="N481" s="6"/>
      <c r="O481" s="6"/>
      <c r="P481" s="6"/>
      <c r="Q481" s="6"/>
      <c r="R481" s="6"/>
      <c r="S481" s="6"/>
      <c r="T481" s="6"/>
      <c r="U481" s="6"/>
      <c r="V481" s="6"/>
      <c r="W481" s="6"/>
      <c r="X481" s="6"/>
      <c r="Y481" s="6"/>
      <c r="Z481" s="6"/>
      <c r="AA481" s="19"/>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row>
    <row r="482">
      <c r="A482" s="6"/>
      <c r="B482" s="6"/>
      <c r="C482" s="18"/>
      <c r="D482" s="6"/>
      <c r="E482" s="6"/>
      <c r="F482" s="6"/>
      <c r="G482" s="6"/>
      <c r="H482" s="6"/>
      <c r="I482" s="6"/>
      <c r="J482" s="6"/>
      <c r="K482" s="6"/>
      <c r="L482" s="6"/>
      <c r="M482" s="6"/>
      <c r="N482" s="6"/>
      <c r="O482" s="6"/>
      <c r="P482" s="6"/>
      <c r="Q482" s="6"/>
      <c r="R482" s="6"/>
      <c r="S482" s="6"/>
      <c r="T482" s="6"/>
      <c r="U482" s="6"/>
      <c r="V482" s="6"/>
      <c r="W482" s="6"/>
      <c r="X482" s="6"/>
      <c r="Y482" s="6"/>
      <c r="Z482" s="6"/>
      <c r="AA482" s="19"/>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row>
    <row r="483">
      <c r="A483" s="6"/>
      <c r="B483" s="6"/>
      <c r="C483" s="18"/>
      <c r="D483" s="6"/>
      <c r="E483" s="6"/>
      <c r="F483" s="6"/>
      <c r="G483" s="6"/>
      <c r="H483" s="6"/>
      <c r="I483" s="6"/>
      <c r="J483" s="6"/>
      <c r="K483" s="6"/>
      <c r="L483" s="6"/>
      <c r="M483" s="6"/>
      <c r="N483" s="6"/>
      <c r="O483" s="6"/>
      <c r="P483" s="6"/>
      <c r="Q483" s="6"/>
      <c r="R483" s="6"/>
      <c r="S483" s="6"/>
      <c r="T483" s="6"/>
      <c r="U483" s="6"/>
      <c r="V483" s="6"/>
      <c r="W483" s="6"/>
      <c r="X483" s="6"/>
      <c r="Y483" s="6"/>
      <c r="Z483" s="6"/>
      <c r="AA483" s="19"/>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row>
    <row r="484">
      <c r="A484" s="6"/>
      <c r="B484" s="6"/>
      <c r="C484" s="18"/>
      <c r="D484" s="6"/>
      <c r="E484" s="6"/>
      <c r="F484" s="6"/>
      <c r="G484" s="6"/>
      <c r="H484" s="6"/>
      <c r="I484" s="6"/>
      <c r="J484" s="6"/>
      <c r="K484" s="6"/>
      <c r="L484" s="6"/>
      <c r="M484" s="6"/>
      <c r="N484" s="6"/>
      <c r="O484" s="6"/>
      <c r="P484" s="6"/>
      <c r="Q484" s="6"/>
      <c r="R484" s="6"/>
      <c r="S484" s="6"/>
      <c r="T484" s="6"/>
      <c r="U484" s="6"/>
      <c r="V484" s="6"/>
      <c r="W484" s="6"/>
      <c r="X484" s="6"/>
      <c r="Y484" s="6"/>
      <c r="Z484" s="6"/>
      <c r="AA484" s="19"/>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row>
    <row r="485">
      <c r="A485" s="6"/>
      <c r="B485" s="6"/>
      <c r="C485" s="18"/>
      <c r="D485" s="6"/>
      <c r="E485" s="6"/>
      <c r="F485" s="6"/>
      <c r="G485" s="6"/>
      <c r="H485" s="6"/>
      <c r="I485" s="6"/>
      <c r="J485" s="6"/>
      <c r="K485" s="6"/>
      <c r="L485" s="6"/>
      <c r="M485" s="6"/>
      <c r="N485" s="6"/>
      <c r="O485" s="6"/>
      <c r="P485" s="6"/>
      <c r="Q485" s="6"/>
      <c r="R485" s="6"/>
      <c r="S485" s="6"/>
      <c r="T485" s="6"/>
      <c r="U485" s="6"/>
      <c r="V485" s="6"/>
      <c r="W485" s="6"/>
      <c r="X485" s="6"/>
      <c r="Y485" s="6"/>
      <c r="Z485" s="6"/>
      <c r="AA485" s="19"/>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row>
    <row r="486">
      <c r="A486" s="6"/>
      <c r="B486" s="6"/>
      <c r="C486" s="18"/>
      <c r="D486" s="6"/>
      <c r="E486" s="6"/>
      <c r="F486" s="6"/>
      <c r="G486" s="6"/>
      <c r="H486" s="6"/>
      <c r="I486" s="6"/>
      <c r="J486" s="6"/>
      <c r="K486" s="6"/>
      <c r="L486" s="6"/>
      <c r="M486" s="6"/>
      <c r="N486" s="6"/>
      <c r="O486" s="6"/>
      <c r="P486" s="6"/>
      <c r="Q486" s="6"/>
      <c r="R486" s="6"/>
      <c r="S486" s="6"/>
      <c r="T486" s="6"/>
      <c r="U486" s="6"/>
      <c r="V486" s="6"/>
      <c r="W486" s="6"/>
      <c r="X486" s="6"/>
      <c r="Y486" s="6"/>
      <c r="Z486" s="6"/>
      <c r="AA486" s="19"/>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row>
    <row r="487">
      <c r="A487" s="6"/>
      <c r="B487" s="6"/>
      <c r="C487" s="18"/>
      <c r="D487" s="6"/>
      <c r="E487" s="6"/>
      <c r="F487" s="6"/>
      <c r="G487" s="6"/>
      <c r="H487" s="6"/>
      <c r="I487" s="6"/>
      <c r="J487" s="6"/>
      <c r="K487" s="6"/>
      <c r="L487" s="6"/>
      <c r="M487" s="6"/>
      <c r="N487" s="6"/>
      <c r="O487" s="6"/>
      <c r="P487" s="6"/>
      <c r="Q487" s="6"/>
      <c r="R487" s="6"/>
      <c r="S487" s="6"/>
      <c r="T487" s="6"/>
      <c r="U487" s="6"/>
      <c r="V487" s="6"/>
      <c r="W487" s="6"/>
      <c r="X487" s="6"/>
      <c r="Y487" s="6"/>
      <c r="Z487" s="6"/>
      <c r="AA487" s="19"/>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row>
    <row r="488">
      <c r="A488" s="6"/>
      <c r="B488" s="6"/>
      <c r="C488" s="18"/>
      <c r="D488" s="6"/>
      <c r="E488" s="6"/>
      <c r="F488" s="6"/>
      <c r="G488" s="6"/>
      <c r="H488" s="6"/>
      <c r="I488" s="6"/>
      <c r="J488" s="6"/>
      <c r="K488" s="6"/>
      <c r="L488" s="6"/>
      <c r="M488" s="6"/>
      <c r="N488" s="6"/>
      <c r="O488" s="6"/>
      <c r="P488" s="6"/>
      <c r="Q488" s="6"/>
      <c r="R488" s="6"/>
      <c r="S488" s="6"/>
      <c r="T488" s="6"/>
      <c r="U488" s="6"/>
      <c r="V488" s="6"/>
      <c r="W488" s="6"/>
      <c r="X488" s="6"/>
      <c r="Y488" s="6"/>
      <c r="Z488" s="6"/>
      <c r="AA488" s="19"/>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row>
    <row r="489">
      <c r="A489" s="6"/>
      <c r="B489" s="6"/>
      <c r="C489" s="18"/>
      <c r="D489" s="6"/>
      <c r="E489" s="6"/>
      <c r="F489" s="6"/>
      <c r="G489" s="6"/>
      <c r="H489" s="6"/>
      <c r="I489" s="6"/>
      <c r="J489" s="6"/>
      <c r="K489" s="6"/>
      <c r="L489" s="6"/>
      <c r="M489" s="6"/>
      <c r="N489" s="6"/>
      <c r="O489" s="6"/>
      <c r="P489" s="6"/>
      <c r="Q489" s="6"/>
      <c r="R489" s="6"/>
      <c r="S489" s="6"/>
      <c r="T489" s="6"/>
      <c r="U489" s="6"/>
      <c r="V489" s="6"/>
      <c r="W489" s="6"/>
      <c r="X489" s="6"/>
      <c r="Y489" s="6"/>
      <c r="Z489" s="6"/>
      <c r="AA489" s="19"/>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row>
    <row r="490">
      <c r="A490" s="6"/>
      <c r="B490" s="6"/>
      <c r="C490" s="18"/>
      <c r="D490" s="6"/>
      <c r="E490" s="6"/>
      <c r="F490" s="6"/>
      <c r="G490" s="6"/>
      <c r="H490" s="6"/>
      <c r="I490" s="6"/>
      <c r="J490" s="6"/>
      <c r="K490" s="6"/>
      <c r="L490" s="6"/>
      <c r="M490" s="6"/>
      <c r="N490" s="6"/>
      <c r="O490" s="6"/>
      <c r="P490" s="6"/>
      <c r="Q490" s="6"/>
      <c r="R490" s="6"/>
      <c r="S490" s="6"/>
      <c r="T490" s="6"/>
      <c r="U490" s="6"/>
      <c r="V490" s="6"/>
      <c r="W490" s="6"/>
      <c r="X490" s="6"/>
      <c r="Y490" s="6"/>
      <c r="Z490" s="6"/>
      <c r="AA490" s="19"/>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row>
    <row r="491">
      <c r="A491" s="6"/>
      <c r="B491" s="6"/>
      <c r="C491" s="18"/>
      <c r="D491" s="6"/>
      <c r="E491" s="6"/>
      <c r="F491" s="6"/>
      <c r="G491" s="6"/>
      <c r="H491" s="6"/>
      <c r="I491" s="6"/>
      <c r="J491" s="6"/>
      <c r="K491" s="6"/>
      <c r="L491" s="6"/>
      <c r="M491" s="6"/>
      <c r="N491" s="6"/>
      <c r="O491" s="6"/>
      <c r="P491" s="6"/>
      <c r="Q491" s="6"/>
      <c r="R491" s="6"/>
      <c r="S491" s="6"/>
      <c r="T491" s="6"/>
      <c r="U491" s="6"/>
      <c r="V491" s="6"/>
      <c r="W491" s="6"/>
      <c r="X491" s="6"/>
      <c r="Y491" s="6"/>
      <c r="Z491" s="6"/>
      <c r="AA491" s="19"/>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row>
    <row r="492">
      <c r="A492" s="6"/>
      <c r="B492" s="6"/>
      <c r="C492" s="18"/>
      <c r="D492" s="6"/>
      <c r="E492" s="6"/>
      <c r="F492" s="6"/>
      <c r="G492" s="6"/>
      <c r="H492" s="6"/>
      <c r="I492" s="6"/>
      <c r="J492" s="6"/>
      <c r="K492" s="6"/>
      <c r="L492" s="6"/>
      <c r="M492" s="6"/>
      <c r="N492" s="6"/>
      <c r="O492" s="6"/>
      <c r="P492" s="6"/>
      <c r="Q492" s="6"/>
      <c r="R492" s="6"/>
      <c r="S492" s="6"/>
      <c r="T492" s="6"/>
      <c r="U492" s="6"/>
      <c r="V492" s="6"/>
      <c r="W492" s="6"/>
      <c r="X492" s="6"/>
      <c r="Y492" s="6"/>
      <c r="Z492" s="6"/>
      <c r="AA492" s="19"/>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row>
    <row r="493">
      <c r="A493" s="6"/>
      <c r="B493" s="6"/>
      <c r="C493" s="18"/>
      <c r="D493" s="6"/>
      <c r="E493" s="6"/>
      <c r="F493" s="6"/>
      <c r="G493" s="6"/>
      <c r="H493" s="6"/>
      <c r="I493" s="6"/>
      <c r="J493" s="6"/>
      <c r="K493" s="6"/>
      <c r="L493" s="6"/>
      <c r="M493" s="6"/>
      <c r="N493" s="6"/>
      <c r="O493" s="6"/>
      <c r="P493" s="6"/>
      <c r="Q493" s="6"/>
      <c r="R493" s="6"/>
      <c r="S493" s="6"/>
      <c r="T493" s="6"/>
      <c r="U493" s="6"/>
      <c r="V493" s="6"/>
      <c r="W493" s="6"/>
      <c r="X493" s="6"/>
      <c r="Y493" s="6"/>
      <c r="Z493" s="6"/>
      <c r="AA493" s="19"/>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row>
    <row r="494">
      <c r="A494" s="6"/>
      <c r="B494" s="6"/>
      <c r="C494" s="18"/>
      <c r="D494" s="6"/>
      <c r="E494" s="6"/>
      <c r="F494" s="6"/>
      <c r="G494" s="6"/>
      <c r="H494" s="6"/>
      <c r="I494" s="6"/>
      <c r="J494" s="6"/>
      <c r="K494" s="6"/>
      <c r="L494" s="6"/>
      <c r="M494" s="6"/>
      <c r="N494" s="6"/>
      <c r="O494" s="6"/>
      <c r="P494" s="6"/>
      <c r="Q494" s="6"/>
      <c r="R494" s="6"/>
      <c r="S494" s="6"/>
      <c r="T494" s="6"/>
      <c r="U494" s="6"/>
      <c r="V494" s="6"/>
      <c r="W494" s="6"/>
      <c r="X494" s="6"/>
      <c r="Y494" s="6"/>
      <c r="Z494" s="6"/>
      <c r="AA494" s="19"/>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row>
    <row r="495">
      <c r="A495" s="6"/>
      <c r="B495" s="6"/>
      <c r="C495" s="18"/>
      <c r="D495" s="6"/>
      <c r="E495" s="6"/>
      <c r="F495" s="6"/>
      <c r="G495" s="6"/>
      <c r="H495" s="6"/>
      <c r="I495" s="6"/>
      <c r="J495" s="6"/>
      <c r="K495" s="6"/>
      <c r="L495" s="6"/>
      <c r="M495" s="6"/>
      <c r="N495" s="6"/>
      <c r="O495" s="6"/>
      <c r="P495" s="6"/>
      <c r="Q495" s="6"/>
      <c r="R495" s="6"/>
      <c r="S495" s="6"/>
      <c r="T495" s="6"/>
      <c r="U495" s="6"/>
      <c r="V495" s="6"/>
      <c r="W495" s="6"/>
      <c r="X495" s="6"/>
      <c r="Y495" s="6"/>
      <c r="Z495" s="6"/>
      <c r="AA495" s="19"/>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row>
    <row r="496">
      <c r="A496" s="6"/>
      <c r="B496" s="6"/>
      <c r="C496" s="18"/>
      <c r="D496" s="6"/>
      <c r="E496" s="6"/>
      <c r="F496" s="6"/>
      <c r="G496" s="6"/>
      <c r="H496" s="6"/>
      <c r="I496" s="6"/>
      <c r="J496" s="6"/>
      <c r="K496" s="6"/>
      <c r="L496" s="6"/>
      <c r="M496" s="6"/>
      <c r="N496" s="6"/>
      <c r="O496" s="6"/>
      <c r="P496" s="6"/>
      <c r="Q496" s="6"/>
      <c r="R496" s="6"/>
      <c r="S496" s="6"/>
      <c r="T496" s="6"/>
      <c r="U496" s="6"/>
      <c r="V496" s="6"/>
      <c r="W496" s="6"/>
      <c r="X496" s="6"/>
      <c r="Y496" s="6"/>
      <c r="Z496" s="6"/>
      <c r="AA496" s="19"/>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row>
    <row r="497">
      <c r="A497" s="6"/>
      <c r="B497" s="6"/>
      <c r="C497" s="18"/>
      <c r="D497" s="6"/>
      <c r="E497" s="6"/>
      <c r="F497" s="6"/>
      <c r="G497" s="6"/>
      <c r="H497" s="6"/>
      <c r="I497" s="6"/>
      <c r="J497" s="6"/>
      <c r="K497" s="6"/>
      <c r="L497" s="6"/>
      <c r="M497" s="6"/>
      <c r="N497" s="6"/>
      <c r="O497" s="6"/>
      <c r="P497" s="6"/>
      <c r="Q497" s="6"/>
      <c r="R497" s="6"/>
      <c r="S497" s="6"/>
      <c r="T497" s="6"/>
      <c r="U497" s="6"/>
      <c r="V497" s="6"/>
      <c r="W497" s="6"/>
      <c r="X497" s="6"/>
      <c r="Y497" s="6"/>
      <c r="Z497" s="6"/>
      <c r="AA497" s="19"/>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row>
    <row r="498">
      <c r="A498" s="6"/>
      <c r="B498" s="6"/>
      <c r="C498" s="18"/>
      <c r="D498" s="6"/>
      <c r="E498" s="6"/>
      <c r="F498" s="6"/>
      <c r="G498" s="6"/>
      <c r="H498" s="6"/>
      <c r="I498" s="6"/>
      <c r="J498" s="6"/>
      <c r="K498" s="6"/>
      <c r="L498" s="6"/>
      <c r="M498" s="6"/>
      <c r="N498" s="6"/>
      <c r="O498" s="6"/>
      <c r="P498" s="6"/>
      <c r="Q498" s="6"/>
      <c r="R498" s="6"/>
      <c r="S498" s="6"/>
      <c r="T498" s="6"/>
      <c r="U498" s="6"/>
      <c r="V498" s="6"/>
      <c r="W498" s="6"/>
      <c r="X498" s="6"/>
      <c r="Y498" s="6"/>
      <c r="Z498" s="6"/>
      <c r="AA498" s="19"/>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row>
    <row r="499">
      <c r="A499" s="6"/>
      <c r="B499" s="6"/>
      <c r="C499" s="18"/>
      <c r="D499" s="6"/>
      <c r="E499" s="6"/>
      <c r="F499" s="6"/>
      <c r="G499" s="6"/>
      <c r="H499" s="6"/>
      <c r="I499" s="6"/>
      <c r="J499" s="6"/>
      <c r="K499" s="6"/>
      <c r="L499" s="6"/>
      <c r="M499" s="6"/>
      <c r="N499" s="6"/>
      <c r="O499" s="6"/>
      <c r="P499" s="6"/>
      <c r="Q499" s="6"/>
      <c r="R499" s="6"/>
      <c r="S499" s="6"/>
      <c r="T499" s="6"/>
      <c r="U499" s="6"/>
      <c r="V499" s="6"/>
      <c r="W499" s="6"/>
      <c r="X499" s="6"/>
      <c r="Y499" s="6"/>
      <c r="Z499" s="6"/>
      <c r="AA499" s="19"/>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row>
    <row r="500">
      <c r="A500" s="6"/>
      <c r="B500" s="6"/>
      <c r="C500" s="18"/>
      <c r="D500" s="6"/>
      <c r="E500" s="6"/>
      <c r="F500" s="6"/>
      <c r="G500" s="6"/>
      <c r="H500" s="6"/>
      <c r="I500" s="6"/>
      <c r="J500" s="6"/>
      <c r="K500" s="6"/>
      <c r="L500" s="6"/>
      <c r="M500" s="6"/>
      <c r="N500" s="6"/>
      <c r="O500" s="6"/>
      <c r="P500" s="6"/>
      <c r="Q500" s="6"/>
      <c r="R500" s="6"/>
      <c r="S500" s="6"/>
      <c r="T500" s="6"/>
      <c r="U500" s="6"/>
      <c r="V500" s="6"/>
      <c r="W500" s="6"/>
      <c r="X500" s="6"/>
      <c r="Y500" s="6"/>
      <c r="Z500" s="6"/>
      <c r="AA500" s="19"/>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row>
    <row r="501">
      <c r="A501" s="6"/>
      <c r="B501" s="6"/>
      <c r="C501" s="18"/>
      <c r="D501" s="6"/>
      <c r="E501" s="6"/>
      <c r="F501" s="6"/>
      <c r="G501" s="6"/>
      <c r="H501" s="6"/>
      <c r="I501" s="6"/>
      <c r="J501" s="6"/>
      <c r="K501" s="6"/>
      <c r="L501" s="6"/>
      <c r="M501" s="6"/>
      <c r="N501" s="6"/>
      <c r="O501" s="6"/>
      <c r="P501" s="6"/>
      <c r="Q501" s="6"/>
      <c r="R501" s="6"/>
      <c r="S501" s="6"/>
      <c r="T501" s="6"/>
      <c r="U501" s="6"/>
      <c r="V501" s="6"/>
      <c r="W501" s="6"/>
      <c r="X501" s="6"/>
      <c r="Y501" s="6"/>
      <c r="Z501" s="6"/>
      <c r="AA501" s="19"/>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row>
    <row r="502">
      <c r="A502" s="6"/>
      <c r="B502" s="6"/>
      <c r="C502" s="18"/>
      <c r="D502" s="6"/>
      <c r="E502" s="6"/>
      <c r="F502" s="6"/>
      <c r="G502" s="6"/>
      <c r="H502" s="6"/>
      <c r="I502" s="6"/>
      <c r="J502" s="6"/>
      <c r="K502" s="6"/>
      <c r="L502" s="6"/>
      <c r="M502" s="6"/>
      <c r="N502" s="6"/>
      <c r="O502" s="6"/>
      <c r="P502" s="6"/>
      <c r="Q502" s="6"/>
      <c r="R502" s="6"/>
      <c r="S502" s="6"/>
      <c r="T502" s="6"/>
      <c r="U502" s="6"/>
      <c r="V502" s="6"/>
      <c r="W502" s="6"/>
      <c r="X502" s="6"/>
      <c r="Y502" s="6"/>
      <c r="Z502" s="6"/>
      <c r="AA502" s="19"/>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row>
    <row r="503">
      <c r="A503" s="6"/>
      <c r="B503" s="6"/>
      <c r="C503" s="18"/>
      <c r="D503" s="6"/>
      <c r="E503" s="6"/>
      <c r="F503" s="6"/>
      <c r="G503" s="6"/>
      <c r="H503" s="6"/>
      <c r="I503" s="6"/>
      <c r="J503" s="6"/>
      <c r="K503" s="6"/>
      <c r="L503" s="6"/>
      <c r="M503" s="6"/>
      <c r="N503" s="6"/>
      <c r="O503" s="6"/>
      <c r="P503" s="6"/>
      <c r="Q503" s="6"/>
      <c r="R503" s="6"/>
      <c r="S503" s="6"/>
      <c r="T503" s="6"/>
      <c r="U503" s="6"/>
      <c r="V503" s="6"/>
      <c r="W503" s="6"/>
      <c r="X503" s="6"/>
      <c r="Y503" s="6"/>
      <c r="Z503" s="6"/>
      <c r="AA503" s="19"/>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row>
    <row r="504">
      <c r="A504" s="6"/>
      <c r="B504" s="6"/>
      <c r="C504" s="18"/>
      <c r="D504" s="6"/>
      <c r="E504" s="6"/>
      <c r="F504" s="6"/>
      <c r="G504" s="6"/>
      <c r="H504" s="6"/>
      <c r="I504" s="6"/>
      <c r="J504" s="6"/>
      <c r="K504" s="6"/>
      <c r="L504" s="6"/>
      <c r="M504" s="6"/>
      <c r="N504" s="6"/>
      <c r="O504" s="6"/>
      <c r="P504" s="6"/>
      <c r="Q504" s="6"/>
      <c r="R504" s="6"/>
      <c r="S504" s="6"/>
      <c r="T504" s="6"/>
      <c r="U504" s="6"/>
      <c r="V504" s="6"/>
      <c r="W504" s="6"/>
      <c r="X504" s="6"/>
      <c r="Y504" s="6"/>
      <c r="Z504" s="6"/>
      <c r="AA504" s="19"/>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row>
    <row r="505">
      <c r="A505" s="6"/>
      <c r="B505" s="6"/>
      <c r="C505" s="18"/>
      <c r="D505" s="6"/>
      <c r="E505" s="6"/>
      <c r="F505" s="6"/>
      <c r="G505" s="6"/>
      <c r="H505" s="6"/>
      <c r="I505" s="6"/>
      <c r="J505" s="6"/>
      <c r="K505" s="6"/>
      <c r="L505" s="6"/>
      <c r="M505" s="6"/>
      <c r="N505" s="6"/>
      <c r="O505" s="6"/>
      <c r="P505" s="6"/>
      <c r="Q505" s="6"/>
      <c r="R505" s="6"/>
      <c r="S505" s="6"/>
      <c r="T505" s="6"/>
      <c r="U505" s="6"/>
      <c r="V505" s="6"/>
      <c r="W505" s="6"/>
      <c r="X505" s="6"/>
      <c r="Y505" s="6"/>
      <c r="Z505" s="6"/>
      <c r="AA505" s="19"/>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row>
    <row r="506">
      <c r="A506" s="6"/>
      <c r="B506" s="6"/>
      <c r="C506" s="18"/>
      <c r="D506" s="6"/>
      <c r="E506" s="6"/>
      <c r="F506" s="6"/>
      <c r="G506" s="6"/>
      <c r="H506" s="6"/>
      <c r="I506" s="6"/>
      <c r="J506" s="6"/>
      <c r="K506" s="6"/>
      <c r="L506" s="6"/>
      <c r="M506" s="6"/>
      <c r="N506" s="6"/>
      <c r="O506" s="6"/>
      <c r="P506" s="6"/>
      <c r="Q506" s="6"/>
      <c r="R506" s="6"/>
      <c r="S506" s="6"/>
      <c r="T506" s="6"/>
      <c r="U506" s="6"/>
      <c r="V506" s="6"/>
      <c r="W506" s="6"/>
      <c r="X506" s="6"/>
      <c r="Y506" s="6"/>
      <c r="Z506" s="6"/>
      <c r="AA506" s="19"/>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row>
    <row r="507">
      <c r="A507" s="6"/>
      <c r="B507" s="6"/>
      <c r="C507" s="18"/>
      <c r="D507" s="6"/>
      <c r="E507" s="6"/>
      <c r="F507" s="6"/>
      <c r="G507" s="6"/>
      <c r="H507" s="6"/>
      <c r="I507" s="6"/>
      <c r="J507" s="6"/>
      <c r="K507" s="6"/>
      <c r="L507" s="6"/>
      <c r="M507" s="6"/>
      <c r="N507" s="6"/>
      <c r="O507" s="6"/>
      <c r="P507" s="6"/>
      <c r="Q507" s="6"/>
      <c r="R507" s="6"/>
      <c r="S507" s="6"/>
      <c r="T507" s="6"/>
      <c r="U507" s="6"/>
      <c r="V507" s="6"/>
      <c r="W507" s="6"/>
      <c r="X507" s="6"/>
      <c r="Y507" s="6"/>
      <c r="Z507" s="6"/>
      <c r="AA507" s="19"/>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row>
    <row r="508">
      <c r="A508" s="6"/>
      <c r="B508" s="6"/>
      <c r="C508" s="18"/>
      <c r="D508" s="6"/>
      <c r="E508" s="6"/>
      <c r="F508" s="6"/>
      <c r="G508" s="6"/>
      <c r="H508" s="6"/>
      <c r="I508" s="6"/>
      <c r="J508" s="6"/>
      <c r="K508" s="6"/>
      <c r="L508" s="6"/>
      <c r="M508" s="6"/>
      <c r="N508" s="6"/>
      <c r="O508" s="6"/>
      <c r="P508" s="6"/>
      <c r="Q508" s="6"/>
      <c r="R508" s="6"/>
      <c r="S508" s="6"/>
      <c r="T508" s="6"/>
      <c r="U508" s="6"/>
      <c r="V508" s="6"/>
      <c r="W508" s="6"/>
      <c r="X508" s="6"/>
      <c r="Y508" s="6"/>
      <c r="Z508" s="6"/>
      <c r="AA508" s="19"/>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row>
    <row r="509">
      <c r="A509" s="6"/>
      <c r="B509" s="6"/>
      <c r="C509" s="18"/>
      <c r="D509" s="6"/>
      <c r="E509" s="6"/>
      <c r="F509" s="6"/>
      <c r="G509" s="6"/>
      <c r="H509" s="6"/>
      <c r="I509" s="6"/>
      <c r="J509" s="6"/>
      <c r="K509" s="6"/>
      <c r="L509" s="6"/>
      <c r="M509" s="6"/>
      <c r="N509" s="6"/>
      <c r="O509" s="6"/>
      <c r="P509" s="6"/>
      <c r="Q509" s="6"/>
      <c r="R509" s="6"/>
      <c r="S509" s="6"/>
      <c r="T509" s="6"/>
      <c r="U509" s="6"/>
      <c r="V509" s="6"/>
      <c r="W509" s="6"/>
      <c r="X509" s="6"/>
      <c r="Y509" s="6"/>
      <c r="Z509" s="6"/>
      <c r="AA509" s="19"/>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row>
    <row r="510">
      <c r="A510" s="6"/>
      <c r="B510" s="6"/>
      <c r="C510" s="18"/>
      <c r="D510" s="6"/>
      <c r="E510" s="6"/>
      <c r="F510" s="6"/>
      <c r="G510" s="6"/>
      <c r="H510" s="6"/>
      <c r="I510" s="6"/>
      <c r="J510" s="6"/>
      <c r="K510" s="6"/>
      <c r="L510" s="6"/>
      <c r="M510" s="6"/>
      <c r="N510" s="6"/>
      <c r="O510" s="6"/>
      <c r="P510" s="6"/>
      <c r="Q510" s="6"/>
      <c r="R510" s="6"/>
      <c r="S510" s="6"/>
      <c r="T510" s="6"/>
      <c r="U510" s="6"/>
      <c r="V510" s="6"/>
      <c r="W510" s="6"/>
      <c r="X510" s="6"/>
      <c r="Y510" s="6"/>
      <c r="Z510" s="6"/>
      <c r="AA510" s="19"/>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row>
    <row r="511">
      <c r="A511" s="6"/>
      <c r="B511" s="6"/>
      <c r="C511" s="18"/>
      <c r="D511" s="6"/>
      <c r="E511" s="6"/>
      <c r="F511" s="6"/>
      <c r="G511" s="6"/>
      <c r="H511" s="6"/>
      <c r="I511" s="6"/>
      <c r="J511" s="6"/>
      <c r="K511" s="6"/>
      <c r="L511" s="6"/>
      <c r="M511" s="6"/>
      <c r="N511" s="6"/>
      <c r="O511" s="6"/>
      <c r="P511" s="6"/>
      <c r="Q511" s="6"/>
      <c r="R511" s="6"/>
      <c r="S511" s="6"/>
      <c r="T511" s="6"/>
      <c r="U511" s="6"/>
      <c r="V511" s="6"/>
      <c r="W511" s="6"/>
      <c r="X511" s="6"/>
      <c r="Y511" s="6"/>
      <c r="Z511" s="6"/>
      <c r="AA511" s="19"/>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row>
    <row r="512">
      <c r="A512" s="6"/>
      <c r="B512" s="6"/>
      <c r="C512" s="18"/>
      <c r="D512" s="6"/>
      <c r="E512" s="6"/>
      <c r="F512" s="6"/>
      <c r="G512" s="6"/>
      <c r="H512" s="6"/>
      <c r="I512" s="6"/>
      <c r="J512" s="6"/>
      <c r="K512" s="6"/>
      <c r="L512" s="6"/>
      <c r="M512" s="6"/>
      <c r="N512" s="6"/>
      <c r="O512" s="6"/>
      <c r="P512" s="6"/>
      <c r="Q512" s="6"/>
      <c r="R512" s="6"/>
      <c r="S512" s="6"/>
      <c r="T512" s="6"/>
      <c r="U512" s="6"/>
      <c r="V512" s="6"/>
      <c r="W512" s="6"/>
      <c r="X512" s="6"/>
      <c r="Y512" s="6"/>
      <c r="Z512" s="6"/>
      <c r="AA512" s="19"/>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row>
    <row r="513">
      <c r="A513" s="6"/>
      <c r="B513" s="6"/>
      <c r="C513" s="18"/>
      <c r="D513" s="6"/>
      <c r="E513" s="6"/>
      <c r="F513" s="6"/>
      <c r="G513" s="6"/>
      <c r="H513" s="6"/>
      <c r="I513" s="6"/>
      <c r="J513" s="6"/>
      <c r="K513" s="6"/>
      <c r="L513" s="6"/>
      <c r="M513" s="6"/>
      <c r="N513" s="6"/>
      <c r="O513" s="6"/>
      <c r="P513" s="6"/>
      <c r="Q513" s="6"/>
      <c r="R513" s="6"/>
      <c r="S513" s="6"/>
      <c r="T513" s="6"/>
      <c r="U513" s="6"/>
      <c r="V513" s="6"/>
      <c r="W513" s="6"/>
      <c r="X513" s="6"/>
      <c r="Y513" s="6"/>
      <c r="Z513" s="6"/>
      <c r="AA513" s="19"/>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row>
    <row r="514">
      <c r="A514" s="6"/>
      <c r="B514" s="6"/>
      <c r="C514" s="18"/>
      <c r="D514" s="6"/>
      <c r="E514" s="6"/>
      <c r="F514" s="6"/>
      <c r="G514" s="6"/>
      <c r="H514" s="6"/>
      <c r="I514" s="6"/>
      <c r="J514" s="6"/>
      <c r="K514" s="6"/>
      <c r="L514" s="6"/>
      <c r="M514" s="6"/>
      <c r="N514" s="6"/>
      <c r="O514" s="6"/>
      <c r="P514" s="6"/>
      <c r="Q514" s="6"/>
      <c r="R514" s="6"/>
      <c r="S514" s="6"/>
      <c r="T514" s="6"/>
      <c r="U514" s="6"/>
      <c r="V514" s="6"/>
      <c r="W514" s="6"/>
      <c r="X514" s="6"/>
      <c r="Y514" s="6"/>
      <c r="Z514" s="6"/>
      <c r="AA514" s="19"/>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row>
    <row r="515">
      <c r="A515" s="6"/>
      <c r="B515" s="6"/>
      <c r="C515" s="18"/>
      <c r="D515" s="6"/>
      <c r="E515" s="6"/>
      <c r="F515" s="6"/>
      <c r="G515" s="6"/>
      <c r="H515" s="6"/>
      <c r="I515" s="6"/>
      <c r="J515" s="6"/>
      <c r="K515" s="6"/>
      <c r="L515" s="6"/>
      <c r="M515" s="6"/>
      <c r="N515" s="6"/>
      <c r="O515" s="6"/>
      <c r="P515" s="6"/>
      <c r="Q515" s="6"/>
      <c r="R515" s="6"/>
      <c r="S515" s="6"/>
      <c r="T515" s="6"/>
      <c r="U515" s="6"/>
      <c r="V515" s="6"/>
      <c r="W515" s="6"/>
      <c r="X515" s="6"/>
      <c r="Y515" s="6"/>
      <c r="Z515" s="6"/>
      <c r="AA515" s="19"/>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row>
    <row r="516">
      <c r="A516" s="6"/>
      <c r="B516" s="6"/>
      <c r="C516" s="18"/>
      <c r="D516" s="6"/>
      <c r="E516" s="6"/>
      <c r="F516" s="6"/>
      <c r="G516" s="6"/>
      <c r="H516" s="6"/>
      <c r="I516" s="6"/>
      <c r="J516" s="6"/>
      <c r="K516" s="6"/>
      <c r="L516" s="6"/>
      <c r="M516" s="6"/>
      <c r="N516" s="6"/>
      <c r="O516" s="6"/>
      <c r="P516" s="6"/>
      <c r="Q516" s="6"/>
      <c r="R516" s="6"/>
      <c r="S516" s="6"/>
      <c r="T516" s="6"/>
      <c r="U516" s="6"/>
      <c r="V516" s="6"/>
      <c r="W516" s="6"/>
      <c r="X516" s="6"/>
      <c r="Y516" s="6"/>
      <c r="Z516" s="6"/>
      <c r="AA516" s="19"/>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row>
    <row r="517">
      <c r="A517" s="6"/>
      <c r="B517" s="6"/>
      <c r="C517" s="18"/>
      <c r="D517" s="6"/>
      <c r="E517" s="6"/>
      <c r="F517" s="6"/>
      <c r="G517" s="6"/>
      <c r="H517" s="6"/>
      <c r="I517" s="6"/>
      <c r="J517" s="6"/>
      <c r="K517" s="6"/>
      <c r="L517" s="6"/>
      <c r="M517" s="6"/>
      <c r="N517" s="6"/>
      <c r="O517" s="6"/>
      <c r="P517" s="6"/>
      <c r="Q517" s="6"/>
      <c r="R517" s="6"/>
      <c r="S517" s="6"/>
      <c r="T517" s="6"/>
      <c r="U517" s="6"/>
      <c r="V517" s="6"/>
      <c r="W517" s="6"/>
      <c r="X517" s="6"/>
      <c r="Y517" s="6"/>
      <c r="Z517" s="6"/>
      <c r="AA517" s="19"/>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row>
    <row r="518">
      <c r="A518" s="6"/>
      <c r="B518" s="6"/>
      <c r="C518" s="18"/>
      <c r="D518" s="6"/>
      <c r="E518" s="6"/>
      <c r="F518" s="6"/>
      <c r="G518" s="6"/>
      <c r="H518" s="6"/>
      <c r="I518" s="6"/>
      <c r="J518" s="6"/>
      <c r="K518" s="6"/>
      <c r="L518" s="6"/>
      <c r="M518" s="6"/>
      <c r="N518" s="6"/>
      <c r="O518" s="6"/>
      <c r="P518" s="6"/>
      <c r="Q518" s="6"/>
      <c r="R518" s="6"/>
      <c r="S518" s="6"/>
      <c r="T518" s="6"/>
      <c r="U518" s="6"/>
      <c r="V518" s="6"/>
      <c r="W518" s="6"/>
      <c r="X518" s="6"/>
      <c r="Y518" s="6"/>
      <c r="Z518" s="6"/>
      <c r="AA518" s="19"/>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row>
    <row r="519">
      <c r="A519" s="6"/>
      <c r="B519" s="6"/>
      <c r="C519" s="18"/>
      <c r="D519" s="6"/>
      <c r="E519" s="6"/>
      <c r="F519" s="6"/>
      <c r="G519" s="6"/>
      <c r="H519" s="6"/>
      <c r="I519" s="6"/>
      <c r="J519" s="6"/>
      <c r="K519" s="6"/>
      <c r="L519" s="6"/>
      <c r="M519" s="6"/>
      <c r="N519" s="6"/>
      <c r="O519" s="6"/>
      <c r="P519" s="6"/>
      <c r="Q519" s="6"/>
      <c r="R519" s="6"/>
      <c r="S519" s="6"/>
      <c r="T519" s="6"/>
      <c r="U519" s="6"/>
      <c r="V519" s="6"/>
      <c r="W519" s="6"/>
      <c r="X519" s="6"/>
      <c r="Y519" s="6"/>
      <c r="Z519" s="6"/>
      <c r="AA519" s="19"/>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row>
    <row r="520">
      <c r="A520" s="6"/>
      <c r="B520" s="6"/>
      <c r="C520" s="18"/>
      <c r="D520" s="6"/>
      <c r="E520" s="6"/>
      <c r="F520" s="6"/>
      <c r="G520" s="6"/>
      <c r="H520" s="6"/>
      <c r="I520" s="6"/>
      <c r="J520" s="6"/>
      <c r="K520" s="6"/>
      <c r="L520" s="6"/>
      <c r="M520" s="6"/>
      <c r="N520" s="6"/>
      <c r="O520" s="6"/>
      <c r="P520" s="6"/>
      <c r="Q520" s="6"/>
      <c r="R520" s="6"/>
      <c r="S520" s="6"/>
      <c r="T520" s="6"/>
      <c r="U520" s="6"/>
      <c r="V520" s="6"/>
      <c r="W520" s="6"/>
      <c r="X520" s="6"/>
      <c r="Y520" s="6"/>
      <c r="Z520" s="6"/>
      <c r="AA520" s="19"/>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row>
    <row r="521">
      <c r="A521" s="6"/>
      <c r="B521" s="6"/>
      <c r="C521" s="18"/>
      <c r="D521" s="6"/>
      <c r="E521" s="6"/>
      <c r="F521" s="6"/>
      <c r="G521" s="6"/>
      <c r="H521" s="6"/>
      <c r="I521" s="6"/>
      <c r="J521" s="6"/>
      <c r="K521" s="6"/>
      <c r="L521" s="6"/>
      <c r="M521" s="6"/>
      <c r="N521" s="6"/>
      <c r="O521" s="6"/>
      <c r="P521" s="6"/>
      <c r="Q521" s="6"/>
      <c r="R521" s="6"/>
      <c r="S521" s="6"/>
      <c r="T521" s="6"/>
      <c r="U521" s="6"/>
      <c r="V521" s="6"/>
      <c r="W521" s="6"/>
      <c r="X521" s="6"/>
      <c r="Y521" s="6"/>
      <c r="Z521" s="6"/>
      <c r="AA521" s="19"/>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row>
    <row r="522">
      <c r="A522" s="6"/>
      <c r="B522" s="6"/>
      <c r="C522" s="18"/>
      <c r="D522" s="6"/>
      <c r="E522" s="6"/>
      <c r="F522" s="6"/>
      <c r="G522" s="6"/>
      <c r="H522" s="6"/>
      <c r="I522" s="6"/>
      <c r="J522" s="6"/>
      <c r="K522" s="6"/>
      <c r="L522" s="6"/>
      <c r="M522" s="6"/>
      <c r="N522" s="6"/>
      <c r="O522" s="6"/>
      <c r="P522" s="6"/>
      <c r="Q522" s="6"/>
      <c r="R522" s="6"/>
      <c r="S522" s="6"/>
      <c r="T522" s="6"/>
      <c r="U522" s="6"/>
      <c r="V522" s="6"/>
      <c r="W522" s="6"/>
      <c r="X522" s="6"/>
      <c r="Y522" s="6"/>
      <c r="Z522" s="6"/>
      <c r="AA522" s="19"/>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row>
    <row r="523">
      <c r="A523" s="6"/>
      <c r="B523" s="6"/>
      <c r="C523" s="18"/>
      <c r="D523" s="6"/>
      <c r="E523" s="6"/>
      <c r="F523" s="6"/>
      <c r="G523" s="6"/>
      <c r="H523" s="6"/>
      <c r="I523" s="6"/>
      <c r="J523" s="6"/>
      <c r="K523" s="6"/>
      <c r="L523" s="6"/>
      <c r="M523" s="6"/>
      <c r="N523" s="6"/>
      <c r="O523" s="6"/>
      <c r="P523" s="6"/>
      <c r="Q523" s="6"/>
      <c r="R523" s="6"/>
      <c r="S523" s="6"/>
      <c r="T523" s="6"/>
      <c r="U523" s="6"/>
      <c r="V523" s="6"/>
      <c r="W523" s="6"/>
      <c r="X523" s="6"/>
      <c r="Y523" s="6"/>
      <c r="Z523" s="6"/>
      <c r="AA523" s="19"/>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row>
    <row r="524">
      <c r="A524" s="6"/>
      <c r="B524" s="6"/>
      <c r="C524" s="18"/>
      <c r="D524" s="6"/>
      <c r="E524" s="6"/>
      <c r="F524" s="6"/>
      <c r="G524" s="6"/>
      <c r="H524" s="6"/>
      <c r="I524" s="6"/>
      <c r="J524" s="6"/>
      <c r="K524" s="6"/>
      <c r="L524" s="6"/>
      <c r="M524" s="6"/>
      <c r="N524" s="6"/>
      <c r="O524" s="6"/>
      <c r="P524" s="6"/>
      <c r="Q524" s="6"/>
      <c r="R524" s="6"/>
      <c r="S524" s="6"/>
      <c r="T524" s="6"/>
      <c r="U524" s="6"/>
      <c r="V524" s="6"/>
      <c r="W524" s="6"/>
      <c r="X524" s="6"/>
      <c r="Y524" s="6"/>
      <c r="Z524" s="6"/>
      <c r="AA524" s="19"/>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row>
    <row r="525">
      <c r="A525" s="6"/>
      <c r="B525" s="6"/>
      <c r="C525" s="18"/>
      <c r="D525" s="6"/>
      <c r="E525" s="6"/>
      <c r="F525" s="6"/>
      <c r="G525" s="6"/>
      <c r="H525" s="6"/>
      <c r="I525" s="6"/>
      <c r="J525" s="6"/>
      <c r="K525" s="6"/>
      <c r="L525" s="6"/>
      <c r="M525" s="6"/>
      <c r="N525" s="6"/>
      <c r="O525" s="6"/>
      <c r="P525" s="6"/>
      <c r="Q525" s="6"/>
      <c r="R525" s="6"/>
      <c r="S525" s="6"/>
      <c r="T525" s="6"/>
      <c r="U525" s="6"/>
      <c r="V525" s="6"/>
      <c r="W525" s="6"/>
      <c r="X525" s="6"/>
      <c r="Y525" s="6"/>
      <c r="Z525" s="6"/>
      <c r="AA525" s="19"/>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row>
    <row r="526">
      <c r="A526" s="6"/>
      <c r="B526" s="6"/>
      <c r="C526" s="18"/>
      <c r="D526" s="6"/>
      <c r="E526" s="6"/>
      <c r="F526" s="6"/>
      <c r="G526" s="6"/>
      <c r="H526" s="6"/>
      <c r="I526" s="6"/>
      <c r="J526" s="6"/>
      <c r="K526" s="6"/>
      <c r="L526" s="6"/>
      <c r="M526" s="6"/>
      <c r="N526" s="6"/>
      <c r="O526" s="6"/>
      <c r="P526" s="6"/>
      <c r="Q526" s="6"/>
      <c r="R526" s="6"/>
      <c r="S526" s="6"/>
      <c r="T526" s="6"/>
      <c r="U526" s="6"/>
      <c r="V526" s="6"/>
      <c r="W526" s="6"/>
      <c r="X526" s="6"/>
      <c r="Y526" s="6"/>
      <c r="Z526" s="6"/>
      <c r="AA526" s="19"/>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row>
    <row r="527">
      <c r="A527" s="6"/>
      <c r="B527" s="6"/>
      <c r="C527" s="18"/>
      <c r="D527" s="6"/>
      <c r="E527" s="6"/>
      <c r="F527" s="6"/>
      <c r="G527" s="6"/>
      <c r="H527" s="6"/>
      <c r="I527" s="6"/>
      <c r="J527" s="6"/>
      <c r="K527" s="6"/>
      <c r="L527" s="6"/>
      <c r="M527" s="6"/>
      <c r="N527" s="6"/>
      <c r="O527" s="6"/>
      <c r="P527" s="6"/>
      <c r="Q527" s="6"/>
      <c r="R527" s="6"/>
      <c r="S527" s="6"/>
      <c r="T527" s="6"/>
      <c r="U527" s="6"/>
      <c r="V527" s="6"/>
      <c r="W527" s="6"/>
      <c r="X527" s="6"/>
      <c r="Y527" s="6"/>
      <c r="Z527" s="6"/>
      <c r="AA527" s="19"/>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row>
    <row r="528">
      <c r="A528" s="6"/>
      <c r="B528" s="6"/>
      <c r="C528" s="18"/>
      <c r="D528" s="6"/>
      <c r="E528" s="6"/>
      <c r="F528" s="6"/>
      <c r="G528" s="6"/>
      <c r="H528" s="6"/>
      <c r="I528" s="6"/>
      <c r="J528" s="6"/>
      <c r="K528" s="6"/>
      <c r="L528" s="6"/>
      <c r="M528" s="6"/>
      <c r="N528" s="6"/>
      <c r="O528" s="6"/>
      <c r="P528" s="6"/>
      <c r="Q528" s="6"/>
      <c r="R528" s="6"/>
      <c r="S528" s="6"/>
      <c r="T528" s="6"/>
      <c r="U528" s="6"/>
      <c r="V528" s="6"/>
      <c r="W528" s="6"/>
      <c r="X528" s="6"/>
      <c r="Y528" s="6"/>
      <c r="Z528" s="6"/>
      <c r="AA528" s="19"/>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row>
    <row r="529">
      <c r="A529" s="6"/>
      <c r="B529" s="6"/>
      <c r="C529" s="18"/>
      <c r="D529" s="6"/>
      <c r="E529" s="6"/>
      <c r="F529" s="6"/>
      <c r="G529" s="6"/>
      <c r="H529" s="6"/>
      <c r="I529" s="6"/>
      <c r="J529" s="6"/>
      <c r="K529" s="6"/>
      <c r="L529" s="6"/>
      <c r="M529" s="6"/>
      <c r="N529" s="6"/>
      <c r="O529" s="6"/>
      <c r="P529" s="6"/>
      <c r="Q529" s="6"/>
      <c r="R529" s="6"/>
      <c r="S529" s="6"/>
      <c r="T529" s="6"/>
      <c r="U529" s="6"/>
      <c r="V529" s="6"/>
      <c r="W529" s="6"/>
      <c r="X529" s="6"/>
      <c r="Y529" s="6"/>
      <c r="Z529" s="6"/>
      <c r="AA529" s="19"/>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row>
    <row r="530">
      <c r="A530" s="6"/>
      <c r="B530" s="6"/>
      <c r="C530" s="18"/>
      <c r="D530" s="6"/>
      <c r="E530" s="6"/>
      <c r="F530" s="6"/>
      <c r="G530" s="6"/>
      <c r="H530" s="6"/>
      <c r="I530" s="6"/>
      <c r="J530" s="6"/>
      <c r="K530" s="6"/>
      <c r="L530" s="6"/>
      <c r="M530" s="6"/>
      <c r="N530" s="6"/>
      <c r="O530" s="6"/>
      <c r="P530" s="6"/>
      <c r="Q530" s="6"/>
      <c r="R530" s="6"/>
      <c r="S530" s="6"/>
      <c r="T530" s="6"/>
      <c r="U530" s="6"/>
      <c r="V530" s="6"/>
      <c r="W530" s="6"/>
      <c r="X530" s="6"/>
      <c r="Y530" s="6"/>
      <c r="Z530" s="6"/>
      <c r="AA530" s="19"/>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row>
    <row r="531">
      <c r="A531" s="6"/>
      <c r="B531" s="6"/>
      <c r="C531" s="18"/>
      <c r="D531" s="6"/>
      <c r="E531" s="6"/>
      <c r="F531" s="6"/>
      <c r="G531" s="6"/>
      <c r="H531" s="6"/>
      <c r="I531" s="6"/>
      <c r="J531" s="6"/>
      <c r="K531" s="6"/>
      <c r="L531" s="6"/>
      <c r="M531" s="6"/>
      <c r="N531" s="6"/>
      <c r="O531" s="6"/>
      <c r="P531" s="6"/>
      <c r="Q531" s="6"/>
      <c r="R531" s="6"/>
      <c r="S531" s="6"/>
      <c r="T531" s="6"/>
      <c r="U531" s="6"/>
      <c r="V531" s="6"/>
      <c r="W531" s="6"/>
      <c r="X531" s="6"/>
      <c r="Y531" s="6"/>
      <c r="Z531" s="6"/>
      <c r="AA531" s="19"/>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row>
    <row r="532">
      <c r="A532" s="6"/>
      <c r="B532" s="6"/>
      <c r="C532" s="18"/>
      <c r="D532" s="6"/>
      <c r="E532" s="6"/>
      <c r="F532" s="6"/>
      <c r="G532" s="6"/>
      <c r="H532" s="6"/>
      <c r="I532" s="6"/>
      <c r="J532" s="6"/>
      <c r="K532" s="6"/>
      <c r="L532" s="6"/>
      <c r="M532" s="6"/>
      <c r="N532" s="6"/>
      <c r="O532" s="6"/>
      <c r="P532" s="6"/>
      <c r="Q532" s="6"/>
      <c r="R532" s="6"/>
      <c r="S532" s="6"/>
      <c r="T532" s="6"/>
      <c r="U532" s="6"/>
      <c r="V532" s="6"/>
      <c r="W532" s="6"/>
      <c r="X532" s="6"/>
      <c r="Y532" s="6"/>
      <c r="Z532" s="6"/>
      <c r="AA532" s="19"/>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row>
    <row r="533">
      <c r="A533" s="6"/>
      <c r="B533" s="6"/>
      <c r="C533" s="18"/>
      <c r="D533" s="6"/>
      <c r="E533" s="6"/>
      <c r="F533" s="6"/>
      <c r="G533" s="6"/>
      <c r="H533" s="6"/>
      <c r="I533" s="6"/>
      <c r="J533" s="6"/>
      <c r="K533" s="6"/>
      <c r="L533" s="6"/>
      <c r="M533" s="6"/>
      <c r="N533" s="6"/>
      <c r="O533" s="6"/>
      <c r="P533" s="6"/>
      <c r="Q533" s="6"/>
      <c r="R533" s="6"/>
      <c r="S533" s="6"/>
      <c r="T533" s="6"/>
      <c r="U533" s="6"/>
      <c r="V533" s="6"/>
      <c r="W533" s="6"/>
      <c r="X533" s="6"/>
      <c r="Y533" s="6"/>
      <c r="Z533" s="6"/>
      <c r="AA533" s="19"/>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row>
    <row r="534">
      <c r="A534" s="6"/>
      <c r="B534" s="6"/>
      <c r="C534" s="18"/>
      <c r="D534" s="6"/>
      <c r="E534" s="6"/>
      <c r="F534" s="6"/>
      <c r="G534" s="6"/>
      <c r="H534" s="6"/>
      <c r="I534" s="6"/>
      <c r="J534" s="6"/>
      <c r="K534" s="6"/>
      <c r="L534" s="6"/>
      <c r="M534" s="6"/>
      <c r="N534" s="6"/>
      <c r="O534" s="6"/>
      <c r="P534" s="6"/>
      <c r="Q534" s="6"/>
      <c r="R534" s="6"/>
      <c r="S534" s="6"/>
      <c r="T534" s="6"/>
      <c r="U534" s="6"/>
      <c r="V534" s="6"/>
      <c r="W534" s="6"/>
      <c r="X534" s="6"/>
      <c r="Y534" s="6"/>
      <c r="Z534" s="6"/>
      <c r="AA534" s="19"/>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row>
    <row r="535">
      <c r="A535" s="6"/>
      <c r="B535" s="6"/>
      <c r="C535" s="18"/>
      <c r="D535" s="6"/>
      <c r="E535" s="6"/>
      <c r="F535" s="6"/>
      <c r="G535" s="6"/>
      <c r="H535" s="6"/>
      <c r="I535" s="6"/>
      <c r="J535" s="6"/>
      <c r="K535" s="6"/>
      <c r="L535" s="6"/>
      <c r="M535" s="6"/>
      <c r="N535" s="6"/>
      <c r="O535" s="6"/>
      <c r="P535" s="6"/>
      <c r="Q535" s="6"/>
      <c r="R535" s="6"/>
      <c r="S535" s="6"/>
      <c r="T535" s="6"/>
      <c r="U535" s="6"/>
      <c r="V535" s="6"/>
      <c r="W535" s="6"/>
      <c r="X535" s="6"/>
      <c r="Y535" s="6"/>
      <c r="Z535" s="6"/>
      <c r="AA535" s="19"/>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row>
    <row r="536">
      <c r="A536" s="6"/>
      <c r="B536" s="6"/>
      <c r="C536" s="18"/>
      <c r="D536" s="6"/>
      <c r="E536" s="6"/>
      <c r="F536" s="6"/>
      <c r="G536" s="6"/>
      <c r="H536" s="6"/>
      <c r="I536" s="6"/>
      <c r="J536" s="6"/>
      <c r="K536" s="6"/>
      <c r="L536" s="6"/>
      <c r="M536" s="6"/>
      <c r="N536" s="6"/>
      <c r="O536" s="6"/>
      <c r="P536" s="6"/>
      <c r="Q536" s="6"/>
      <c r="R536" s="6"/>
      <c r="S536" s="6"/>
      <c r="T536" s="6"/>
      <c r="U536" s="6"/>
      <c r="V536" s="6"/>
      <c r="W536" s="6"/>
      <c r="X536" s="6"/>
      <c r="Y536" s="6"/>
      <c r="Z536" s="6"/>
      <c r="AA536" s="19"/>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row>
    <row r="537">
      <c r="A537" s="6"/>
      <c r="B537" s="6"/>
      <c r="C537" s="18"/>
      <c r="D537" s="6"/>
      <c r="E537" s="6"/>
      <c r="F537" s="6"/>
      <c r="G537" s="6"/>
      <c r="H537" s="6"/>
      <c r="I537" s="6"/>
      <c r="J537" s="6"/>
      <c r="K537" s="6"/>
      <c r="L537" s="6"/>
      <c r="M537" s="6"/>
      <c r="N537" s="6"/>
      <c r="O537" s="6"/>
      <c r="P537" s="6"/>
      <c r="Q537" s="6"/>
      <c r="R537" s="6"/>
      <c r="S537" s="6"/>
      <c r="T537" s="6"/>
      <c r="U537" s="6"/>
      <c r="V537" s="6"/>
      <c r="W537" s="6"/>
      <c r="X537" s="6"/>
      <c r="Y537" s="6"/>
      <c r="Z537" s="6"/>
      <c r="AA537" s="19"/>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row>
    <row r="538">
      <c r="A538" s="6"/>
      <c r="B538" s="6"/>
      <c r="C538" s="18"/>
      <c r="D538" s="6"/>
      <c r="E538" s="6"/>
      <c r="F538" s="6"/>
      <c r="G538" s="6"/>
      <c r="H538" s="6"/>
      <c r="I538" s="6"/>
      <c r="J538" s="6"/>
      <c r="K538" s="6"/>
      <c r="L538" s="6"/>
      <c r="M538" s="6"/>
      <c r="N538" s="6"/>
      <c r="O538" s="6"/>
      <c r="P538" s="6"/>
      <c r="Q538" s="6"/>
      <c r="R538" s="6"/>
      <c r="S538" s="6"/>
      <c r="T538" s="6"/>
      <c r="U538" s="6"/>
      <c r="V538" s="6"/>
      <c r="W538" s="6"/>
      <c r="X538" s="6"/>
      <c r="Y538" s="6"/>
      <c r="Z538" s="6"/>
      <c r="AA538" s="19"/>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row>
    <row r="539">
      <c r="A539" s="6"/>
      <c r="B539" s="6"/>
      <c r="C539" s="18"/>
      <c r="D539" s="6"/>
      <c r="E539" s="6"/>
      <c r="F539" s="6"/>
      <c r="G539" s="6"/>
      <c r="H539" s="6"/>
      <c r="I539" s="6"/>
      <c r="J539" s="6"/>
      <c r="K539" s="6"/>
      <c r="L539" s="6"/>
      <c r="M539" s="6"/>
      <c r="N539" s="6"/>
      <c r="O539" s="6"/>
      <c r="P539" s="6"/>
      <c r="Q539" s="6"/>
      <c r="R539" s="6"/>
      <c r="S539" s="6"/>
      <c r="T539" s="6"/>
      <c r="U539" s="6"/>
      <c r="V539" s="6"/>
      <c r="W539" s="6"/>
      <c r="X539" s="6"/>
      <c r="Y539" s="6"/>
      <c r="Z539" s="6"/>
      <c r="AA539" s="19"/>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row>
    <row r="540">
      <c r="A540" s="6"/>
      <c r="B540" s="6"/>
      <c r="C540" s="18"/>
      <c r="D540" s="6"/>
      <c r="E540" s="6"/>
      <c r="F540" s="6"/>
      <c r="G540" s="6"/>
      <c r="H540" s="6"/>
      <c r="I540" s="6"/>
      <c r="J540" s="6"/>
      <c r="K540" s="6"/>
      <c r="L540" s="6"/>
      <c r="M540" s="6"/>
      <c r="N540" s="6"/>
      <c r="O540" s="6"/>
      <c r="P540" s="6"/>
      <c r="Q540" s="6"/>
      <c r="R540" s="6"/>
      <c r="S540" s="6"/>
      <c r="T540" s="6"/>
      <c r="U540" s="6"/>
      <c r="V540" s="6"/>
      <c r="W540" s="6"/>
      <c r="X540" s="6"/>
      <c r="Y540" s="6"/>
      <c r="Z540" s="6"/>
      <c r="AA540" s="19"/>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row>
    <row r="541">
      <c r="A541" s="6"/>
      <c r="B541" s="6"/>
      <c r="C541" s="18"/>
      <c r="D541" s="6"/>
      <c r="E541" s="6"/>
      <c r="F541" s="6"/>
      <c r="G541" s="6"/>
      <c r="H541" s="6"/>
      <c r="I541" s="6"/>
      <c r="J541" s="6"/>
      <c r="K541" s="6"/>
      <c r="L541" s="6"/>
      <c r="M541" s="6"/>
      <c r="N541" s="6"/>
      <c r="O541" s="6"/>
      <c r="P541" s="6"/>
      <c r="Q541" s="6"/>
      <c r="R541" s="6"/>
      <c r="S541" s="6"/>
      <c r="T541" s="6"/>
      <c r="U541" s="6"/>
      <c r="V541" s="6"/>
      <c r="W541" s="6"/>
      <c r="X541" s="6"/>
      <c r="Y541" s="6"/>
      <c r="Z541" s="6"/>
      <c r="AA541" s="19"/>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row>
    <row r="542">
      <c r="A542" s="6"/>
      <c r="B542" s="6"/>
      <c r="C542" s="18"/>
      <c r="D542" s="6"/>
      <c r="E542" s="6"/>
      <c r="F542" s="6"/>
      <c r="G542" s="6"/>
      <c r="H542" s="6"/>
      <c r="I542" s="6"/>
      <c r="J542" s="6"/>
      <c r="K542" s="6"/>
      <c r="L542" s="6"/>
      <c r="M542" s="6"/>
      <c r="N542" s="6"/>
      <c r="O542" s="6"/>
      <c r="P542" s="6"/>
      <c r="Q542" s="6"/>
      <c r="R542" s="6"/>
      <c r="S542" s="6"/>
      <c r="T542" s="6"/>
      <c r="U542" s="6"/>
      <c r="V542" s="6"/>
      <c r="W542" s="6"/>
      <c r="X542" s="6"/>
      <c r="Y542" s="6"/>
      <c r="Z542" s="6"/>
      <c r="AA542" s="19"/>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row>
    <row r="543">
      <c r="A543" s="6"/>
      <c r="B543" s="6"/>
      <c r="C543" s="18"/>
      <c r="D543" s="6"/>
      <c r="E543" s="6"/>
      <c r="F543" s="6"/>
      <c r="G543" s="6"/>
      <c r="H543" s="6"/>
      <c r="I543" s="6"/>
      <c r="J543" s="6"/>
      <c r="K543" s="6"/>
      <c r="L543" s="6"/>
      <c r="M543" s="6"/>
      <c r="N543" s="6"/>
      <c r="O543" s="6"/>
      <c r="P543" s="6"/>
      <c r="Q543" s="6"/>
      <c r="R543" s="6"/>
      <c r="S543" s="6"/>
      <c r="T543" s="6"/>
      <c r="U543" s="6"/>
      <c r="V543" s="6"/>
      <c r="W543" s="6"/>
      <c r="X543" s="6"/>
      <c r="Y543" s="6"/>
      <c r="Z543" s="6"/>
      <c r="AA543" s="19"/>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row>
    <row r="544">
      <c r="A544" s="6"/>
      <c r="B544" s="6"/>
      <c r="C544" s="18"/>
      <c r="D544" s="6"/>
      <c r="E544" s="6"/>
      <c r="F544" s="6"/>
      <c r="G544" s="6"/>
      <c r="H544" s="6"/>
      <c r="I544" s="6"/>
      <c r="J544" s="6"/>
      <c r="K544" s="6"/>
      <c r="L544" s="6"/>
      <c r="M544" s="6"/>
      <c r="N544" s="6"/>
      <c r="O544" s="6"/>
      <c r="P544" s="6"/>
      <c r="Q544" s="6"/>
      <c r="R544" s="6"/>
      <c r="S544" s="6"/>
      <c r="T544" s="6"/>
      <c r="U544" s="6"/>
      <c r="V544" s="6"/>
      <c r="W544" s="6"/>
      <c r="X544" s="6"/>
      <c r="Y544" s="6"/>
      <c r="Z544" s="6"/>
      <c r="AA544" s="19"/>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row>
    <row r="545">
      <c r="A545" s="6"/>
      <c r="B545" s="6"/>
      <c r="C545" s="18"/>
      <c r="D545" s="6"/>
      <c r="E545" s="6"/>
      <c r="F545" s="6"/>
      <c r="G545" s="6"/>
      <c r="H545" s="6"/>
      <c r="I545" s="6"/>
      <c r="J545" s="6"/>
      <c r="K545" s="6"/>
      <c r="L545" s="6"/>
      <c r="M545" s="6"/>
      <c r="N545" s="6"/>
      <c r="O545" s="6"/>
      <c r="P545" s="6"/>
      <c r="Q545" s="6"/>
      <c r="R545" s="6"/>
      <c r="S545" s="6"/>
      <c r="T545" s="6"/>
      <c r="U545" s="6"/>
      <c r="V545" s="6"/>
      <c r="W545" s="6"/>
      <c r="X545" s="6"/>
      <c r="Y545" s="6"/>
      <c r="Z545" s="6"/>
      <c r="AA545" s="19"/>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row>
    <row r="546">
      <c r="A546" s="6"/>
      <c r="B546" s="6"/>
      <c r="C546" s="18"/>
      <c r="D546" s="6"/>
      <c r="E546" s="6"/>
      <c r="F546" s="6"/>
      <c r="G546" s="6"/>
      <c r="H546" s="6"/>
      <c r="I546" s="6"/>
      <c r="J546" s="6"/>
      <c r="K546" s="6"/>
      <c r="L546" s="6"/>
      <c r="M546" s="6"/>
      <c r="N546" s="6"/>
      <c r="O546" s="6"/>
      <c r="P546" s="6"/>
      <c r="Q546" s="6"/>
      <c r="R546" s="6"/>
      <c r="S546" s="6"/>
      <c r="T546" s="6"/>
      <c r="U546" s="6"/>
      <c r="V546" s="6"/>
      <c r="W546" s="6"/>
      <c r="X546" s="6"/>
      <c r="Y546" s="6"/>
      <c r="Z546" s="6"/>
      <c r="AA546" s="19"/>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row>
    <row r="547">
      <c r="A547" s="6"/>
      <c r="B547" s="6"/>
      <c r="C547" s="18"/>
      <c r="D547" s="6"/>
      <c r="E547" s="6"/>
      <c r="F547" s="6"/>
      <c r="G547" s="6"/>
      <c r="H547" s="6"/>
      <c r="I547" s="6"/>
      <c r="J547" s="6"/>
      <c r="K547" s="6"/>
      <c r="L547" s="6"/>
      <c r="M547" s="6"/>
      <c r="N547" s="6"/>
      <c r="O547" s="6"/>
      <c r="P547" s="6"/>
      <c r="Q547" s="6"/>
      <c r="R547" s="6"/>
      <c r="S547" s="6"/>
      <c r="T547" s="6"/>
      <c r="U547" s="6"/>
      <c r="V547" s="6"/>
      <c r="W547" s="6"/>
      <c r="X547" s="6"/>
      <c r="Y547" s="6"/>
      <c r="Z547" s="6"/>
      <c r="AA547" s="19"/>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row>
    <row r="548">
      <c r="A548" s="6"/>
      <c r="B548" s="6"/>
      <c r="C548" s="18"/>
      <c r="D548" s="6"/>
      <c r="E548" s="6"/>
      <c r="F548" s="6"/>
      <c r="G548" s="6"/>
      <c r="H548" s="6"/>
      <c r="I548" s="6"/>
      <c r="J548" s="6"/>
      <c r="K548" s="6"/>
      <c r="L548" s="6"/>
      <c r="M548" s="6"/>
      <c r="N548" s="6"/>
      <c r="O548" s="6"/>
      <c r="P548" s="6"/>
      <c r="Q548" s="6"/>
      <c r="R548" s="6"/>
      <c r="S548" s="6"/>
      <c r="T548" s="6"/>
      <c r="U548" s="6"/>
      <c r="V548" s="6"/>
      <c r="W548" s="6"/>
      <c r="X548" s="6"/>
      <c r="Y548" s="6"/>
      <c r="Z548" s="6"/>
      <c r="AA548" s="19"/>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row>
    <row r="549">
      <c r="A549" s="6"/>
      <c r="B549" s="6"/>
      <c r="C549" s="18"/>
      <c r="D549" s="6"/>
      <c r="E549" s="6"/>
      <c r="F549" s="6"/>
      <c r="G549" s="6"/>
      <c r="H549" s="6"/>
      <c r="I549" s="6"/>
      <c r="J549" s="6"/>
      <c r="K549" s="6"/>
      <c r="L549" s="6"/>
      <c r="M549" s="6"/>
      <c r="N549" s="6"/>
      <c r="O549" s="6"/>
      <c r="P549" s="6"/>
      <c r="Q549" s="6"/>
      <c r="R549" s="6"/>
      <c r="S549" s="6"/>
      <c r="T549" s="6"/>
      <c r="U549" s="6"/>
      <c r="V549" s="6"/>
      <c r="W549" s="6"/>
      <c r="X549" s="6"/>
      <c r="Y549" s="6"/>
      <c r="Z549" s="6"/>
      <c r="AA549" s="19"/>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row>
    <row r="550">
      <c r="A550" s="6"/>
      <c r="B550" s="6"/>
      <c r="C550" s="18"/>
      <c r="D550" s="6"/>
      <c r="E550" s="6"/>
      <c r="F550" s="6"/>
      <c r="G550" s="6"/>
      <c r="H550" s="6"/>
      <c r="I550" s="6"/>
      <c r="J550" s="6"/>
      <c r="K550" s="6"/>
      <c r="L550" s="6"/>
      <c r="M550" s="6"/>
      <c r="N550" s="6"/>
      <c r="O550" s="6"/>
      <c r="P550" s="6"/>
      <c r="Q550" s="6"/>
      <c r="R550" s="6"/>
      <c r="S550" s="6"/>
      <c r="T550" s="6"/>
      <c r="U550" s="6"/>
      <c r="V550" s="6"/>
      <c r="W550" s="6"/>
      <c r="X550" s="6"/>
      <c r="Y550" s="6"/>
      <c r="Z550" s="6"/>
      <c r="AA550" s="19"/>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row>
    <row r="551">
      <c r="A551" s="6"/>
      <c r="B551" s="6"/>
      <c r="C551" s="18"/>
      <c r="D551" s="6"/>
      <c r="E551" s="6"/>
      <c r="F551" s="6"/>
      <c r="G551" s="6"/>
      <c r="H551" s="6"/>
      <c r="I551" s="6"/>
      <c r="J551" s="6"/>
      <c r="K551" s="6"/>
      <c r="L551" s="6"/>
      <c r="M551" s="6"/>
      <c r="N551" s="6"/>
      <c r="O551" s="6"/>
      <c r="P551" s="6"/>
      <c r="Q551" s="6"/>
      <c r="R551" s="6"/>
      <c r="S551" s="6"/>
      <c r="T551" s="6"/>
      <c r="U551" s="6"/>
      <c r="V551" s="6"/>
      <c r="W551" s="6"/>
      <c r="X551" s="6"/>
      <c r="Y551" s="6"/>
      <c r="Z551" s="6"/>
      <c r="AA551" s="19"/>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row>
    <row r="552">
      <c r="A552" s="6"/>
      <c r="B552" s="6"/>
      <c r="C552" s="18"/>
      <c r="D552" s="6"/>
      <c r="E552" s="6"/>
      <c r="F552" s="6"/>
      <c r="G552" s="6"/>
      <c r="H552" s="6"/>
      <c r="I552" s="6"/>
      <c r="J552" s="6"/>
      <c r="K552" s="6"/>
      <c r="L552" s="6"/>
      <c r="M552" s="6"/>
      <c r="N552" s="6"/>
      <c r="O552" s="6"/>
      <c r="P552" s="6"/>
      <c r="Q552" s="6"/>
      <c r="R552" s="6"/>
      <c r="S552" s="6"/>
      <c r="T552" s="6"/>
      <c r="U552" s="6"/>
      <c r="V552" s="6"/>
      <c r="W552" s="6"/>
      <c r="X552" s="6"/>
      <c r="Y552" s="6"/>
      <c r="Z552" s="6"/>
      <c r="AA552" s="19"/>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row>
    <row r="553">
      <c r="A553" s="6"/>
      <c r="B553" s="6"/>
      <c r="C553" s="18"/>
      <c r="D553" s="6"/>
      <c r="E553" s="6"/>
      <c r="F553" s="6"/>
      <c r="G553" s="6"/>
      <c r="H553" s="6"/>
      <c r="I553" s="6"/>
      <c r="J553" s="6"/>
      <c r="K553" s="6"/>
      <c r="L553" s="6"/>
      <c r="M553" s="6"/>
      <c r="N553" s="6"/>
      <c r="O553" s="6"/>
      <c r="P553" s="6"/>
      <c r="Q553" s="6"/>
      <c r="R553" s="6"/>
      <c r="S553" s="6"/>
      <c r="T553" s="6"/>
      <c r="U553" s="6"/>
      <c r="V553" s="6"/>
      <c r="W553" s="6"/>
      <c r="X553" s="6"/>
      <c r="Y553" s="6"/>
      <c r="Z553" s="6"/>
      <c r="AA553" s="19"/>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row>
    <row r="554">
      <c r="A554" s="6"/>
      <c r="B554" s="6"/>
      <c r="C554" s="18"/>
      <c r="D554" s="6"/>
      <c r="E554" s="6"/>
      <c r="F554" s="6"/>
      <c r="G554" s="6"/>
      <c r="H554" s="6"/>
      <c r="I554" s="6"/>
      <c r="J554" s="6"/>
      <c r="K554" s="6"/>
      <c r="L554" s="6"/>
      <c r="M554" s="6"/>
      <c r="N554" s="6"/>
      <c r="O554" s="6"/>
      <c r="P554" s="6"/>
      <c r="Q554" s="6"/>
      <c r="R554" s="6"/>
      <c r="S554" s="6"/>
      <c r="T554" s="6"/>
      <c r="U554" s="6"/>
      <c r="V554" s="6"/>
      <c r="W554" s="6"/>
      <c r="X554" s="6"/>
      <c r="Y554" s="6"/>
      <c r="Z554" s="6"/>
      <c r="AA554" s="19"/>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row>
    <row r="555">
      <c r="A555" s="6"/>
      <c r="B555" s="6"/>
      <c r="C555" s="18"/>
      <c r="D555" s="6"/>
      <c r="E555" s="6"/>
      <c r="F555" s="6"/>
      <c r="G555" s="6"/>
      <c r="H555" s="6"/>
      <c r="I555" s="6"/>
      <c r="J555" s="6"/>
      <c r="K555" s="6"/>
      <c r="L555" s="6"/>
      <c r="M555" s="6"/>
      <c r="N555" s="6"/>
      <c r="O555" s="6"/>
      <c r="P555" s="6"/>
      <c r="Q555" s="6"/>
      <c r="R555" s="6"/>
      <c r="S555" s="6"/>
      <c r="T555" s="6"/>
      <c r="U555" s="6"/>
      <c r="V555" s="6"/>
      <c r="W555" s="6"/>
      <c r="X555" s="6"/>
      <c r="Y555" s="6"/>
      <c r="Z555" s="6"/>
      <c r="AA555" s="19"/>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row>
    <row r="556">
      <c r="A556" s="6"/>
      <c r="B556" s="6"/>
      <c r="C556" s="18"/>
      <c r="D556" s="6"/>
      <c r="E556" s="6"/>
      <c r="F556" s="6"/>
      <c r="G556" s="6"/>
      <c r="H556" s="6"/>
      <c r="I556" s="6"/>
      <c r="J556" s="6"/>
      <c r="K556" s="6"/>
      <c r="L556" s="6"/>
      <c r="M556" s="6"/>
      <c r="N556" s="6"/>
      <c r="O556" s="6"/>
      <c r="P556" s="6"/>
      <c r="Q556" s="6"/>
      <c r="R556" s="6"/>
      <c r="S556" s="6"/>
      <c r="T556" s="6"/>
      <c r="U556" s="6"/>
      <c r="V556" s="6"/>
      <c r="W556" s="6"/>
      <c r="X556" s="6"/>
      <c r="Y556" s="6"/>
      <c r="Z556" s="6"/>
      <c r="AA556" s="19"/>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row>
    <row r="557">
      <c r="A557" s="6"/>
      <c r="B557" s="6"/>
      <c r="C557" s="18"/>
      <c r="D557" s="6"/>
      <c r="E557" s="6"/>
      <c r="F557" s="6"/>
      <c r="G557" s="6"/>
      <c r="H557" s="6"/>
      <c r="I557" s="6"/>
      <c r="J557" s="6"/>
      <c r="K557" s="6"/>
      <c r="L557" s="6"/>
      <c r="M557" s="6"/>
      <c r="N557" s="6"/>
      <c r="O557" s="6"/>
      <c r="P557" s="6"/>
      <c r="Q557" s="6"/>
      <c r="R557" s="6"/>
      <c r="S557" s="6"/>
      <c r="T557" s="6"/>
      <c r="U557" s="6"/>
      <c r="V557" s="6"/>
      <c r="W557" s="6"/>
      <c r="X557" s="6"/>
      <c r="Y557" s="6"/>
      <c r="Z557" s="6"/>
      <c r="AA557" s="19"/>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row>
    <row r="558">
      <c r="A558" s="6"/>
      <c r="B558" s="6"/>
      <c r="C558" s="18"/>
      <c r="D558" s="6"/>
      <c r="E558" s="6"/>
      <c r="F558" s="6"/>
      <c r="G558" s="6"/>
      <c r="H558" s="6"/>
      <c r="I558" s="6"/>
      <c r="J558" s="6"/>
      <c r="K558" s="6"/>
      <c r="L558" s="6"/>
      <c r="M558" s="6"/>
      <c r="N558" s="6"/>
      <c r="O558" s="6"/>
      <c r="P558" s="6"/>
      <c r="Q558" s="6"/>
      <c r="R558" s="6"/>
      <c r="S558" s="6"/>
      <c r="T558" s="6"/>
      <c r="U558" s="6"/>
      <c r="V558" s="6"/>
      <c r="W558" s="6"/>
      <c r="X558" s="6"/>
      <c r="Y558" s="6"/>
      <c r="Z558" s="6"/>
      <c r="AA558" s="19"/>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row>
    <row r="559">
      <c r="A559" s="6"/>
      <c r="B559" s="6"/>
      <c r="C559" s="18"/>
      <c r="D559" s="6"/>
      <c r="E559" s="6"/>
      <c r="F559" s="6"/>
      <c r="G559" s="6"/>
      <c r="H559" s="6"/>
      <c r="I559" s="6"/>
      <c r="J559" s="6"/>
      <c r="K559" s="6"/>
      <c r="L559" s="6"/>
      <c r="M559" s="6"/>
      <c r="N559" s="6"/>
      <c r="O559" s="6"/>
      <c r="P559" s="6"/>
      <c r="Q559" s="6"/>
      <c r="R559" s="6"/>
      <c r="S559" s="6"/>
      <c r="T559" s="6"/>
      <c r="U559" s="6"/>
      <c r="V559" s="6"/>
      <c r="W559" s="6"/>
      <c r="X559" s="6"/>
      <c r="Y559" s="6"/>
      <c r="Z559" s="6"/>
      <c r="AA559" s="19"/>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row>
    <row r="560">
      <c r="A560" s="6"/>
      <c r="B560" s="6"/>
      <c r="C560" s="18"/>
      <c r="D560" s="6"/>
      <c r="E560" s="6"/>
      <c r="F560" s="6"/>
      <c r="G560" s="6"/>
      <c r="H560" s="6"/>
      <c r="I560" s="6"/>
      <c r="J560" s="6"/>
      <c r="K560" s="6"/>
      <c r="L560" s="6"/>
      <c r="M560" s="6"/>
      <c r="N560" s="6"/>
      <c r="O560" s="6"/>
      <c r="P560" s="6"/>
      <c r="Q560" s="6"/>
      <c r="R560" s="6"/>
      <c r="S560" s="6"/>
      <c r="T560" s="6"/>
      <c r="U560" s="6"/>
      <c r="V560" s="6"/>
      <c r="W560" s="6"/>
      <c r="X560" s="6"/>
      <c r="Y560" s="6"/>
      <c r="Z560" s="6"/>
      <c r="AA560" s="19"/>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row>
    <row r="561">
      <c r="A561" s="6"/>
      <c r="B561" s="6"/>
      <c r="C561" s="18"/>
      <c r="D561" s="6"/>
      <c r="E561" s="6"/>
      <c r="F561" s="6"/>
      <c r="G561" s="6"/>
      <c r="H561" s="6"/>
      <c r="I561" s="6"/>
      <c r="J561" s="6"/>
      <c r="K561" s="6"/>
      <c r="L561" s="6"/>
      <c r="M561" s="6"/>
      <c r="N561" s="6"/>
      <c r="O561" s="6"/>
      <c r="P561" s="6"/>
      <c r="Q561" s="6"/>
      <c r="R561" s="6"/>
      <c r="S561" s="6"/>
      <c r="T561" s="6"/>
      <c r="U561" s="6"/>
      <c r="V561" s="6"/>
      <c r="W561" s="6"/>
      <c r="X561" s="6"/>
      <c r="Y561" s="6"/>
      <c r="Z561" s="6"/>
      <c r="AA561" s="19"/>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row>
    <row r="562">
      <c r="A562" s="6"/>
      <c r="B562" s="6"/>
      <c r="C562" s="18"/>
      <c r="D562" s="6"/>
      <c r="E562" s="6"/>
      <c r="F562" s="6"/>
      <c r="G562" s="6"/>
      <c r="H562" s="6"/>
      <c r="I562" s="6"/>
      <c r="J562" s="6"/>
      <c r="K562" s="6"/>
      <c r="L562" s="6"/>
      <c r="M562" s="6"/>
      <c r="N562" s="6"/>
      <c r="O562" s="6"/>
      <c r="P562" s="6"/>
      <c r="Q562" s="6"/>
      <c r="R562" s="6"/>
      <c r="S562" s="6"/>
      <c r="T562" s="6"/>
      <c r="U562" s="6"/>
      <c r="V562" s="6"/>
      <c r="W562" s="6"/>
      <c r="X562" s="6"/>
      <c r="Y562" s="6"/>
      <c r="Z562" s="6"/>
      <c r="AA562" s="19"/>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row>
    <row r="563">
      <c r="A563" s="6"/>
      <c r="B563" s="6"/>
      <c r="C563" s="18"/>
      <c r="D563" s="6"/>
      <c r="E563" s="6"/>
      <c r="F563" s="6"/>
      <c r="G563" s="6"/>
      <c r="H563" s="6"/>
      <c r="I563" s="6"/>
      <c r="J563" s="6"/>
      <c r="K563" s="6"/>
      <c r="L563" s="6"/>
      <c r="M563" s="6"/>
      <c r="N563" s="6"/>
      <c r="O563" s="6"/>
      <c r="P563" s="6"/>
      <c r="Q563" s="6"/>
      <c r="R563" s="6"/>
      <c r="S563" s="6"/>
      <c r="T563" s="6"/>
      <c r="U563" s="6"/>
      <c r="V563" s="6"/>
      <c r="W563" s="6"/>
      <c r="X563" s="6"/>
      <c r="Y563" s="6"/>
      <c r="Z563" s="6"/>
      <c r="AA563" s="19"/>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row>
    <row r="564">
      <c r="A564" s="6"/>
      <c r="B564" s="6"/>
      <c r="C564" s="18"/>
      <c r="D564" s="6"/>
      <c r="E564" s="6"/>
      <c r="F564" s="6"/>
      <c r="G564" s="6"/>
      <c r="H564" s="6"/>
      <c r="I564" s="6"/>
      <c r="J564" s="6"/>
      <c r="K564" s="6"/>
      <c r="L564" s="6"/>
      <c r="M564" s="6"/>
      <c r="N564" s="6"/>
      <c r="O564" s="6"/>
      <c r="P564" s="6"/>
      <c r="Q564" s="6"/>
      <c r="R564" s="6"/>
      <c r="S564" s="6"/>
      <c r="T564" s="6"/>
      <c r="U564" s="6"/>
      <c r="V564" s="6"/>
      <c r="W564" s="6"/>
      <c r="X564" s="6"/>
      <c r="Y564" s="6"/>
      <c r="Z564" s="6"/>
      <c r="AA564" s="19"/>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row>
    <row r="565">
      <c r="A565" s="6"/>
      <c r="B565" s="6"/>
      <c r="C565" s="18"/>
      <c r="D565" s="6"/>
      <c r="E565" s="6"/>
      <c r="F565" s="6"/>
      <c r="G565" s="6"/>
      <c r="H565" s="6"/>
      <c r="I565" s="6"/>
      <c r="J565" s="6"/>
      <c r="K565" s="6"/>
      <c r="L565" s="6"/>
      <c r="M565" s="6"/>
      <c r="N565" s="6"/>
      <c r="O565" s="6"/>
      <c r="P565" s="6"/>
      <c r="Q565" s="6"/>
      <c r="R565" s="6"/>
      <c r="S565" s="6"/>
      <c r="T565" s="6"/>
      <c r="U565" s="6"/>
      <c r="V565" s="6"/>
      <c r="W565" s="6"/>
      <c r="X565" s="6"/>
      <c r="Y565" s="6"/>
      <c r="Z565" s="6"/>
      <c r="AA565" s="19"/>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row>
    <row r="566">
      <c r="A566" s="6"/>
      <c r="B566" s="6"/>
      <c r="C566" s="18"/>
      <c r="D566" s="6"/>
      <c r="E566" s="6"/>
      <c r="F566" s="6"/>
      <c r="G566" s="6"/>
      <c r="H566" s="6"/>
      <c r="I566" s="6"/>
      <c r="J566" s="6"/>
      <c r="K566" s="6"/>
      <c r="L566" s="6"/>
      <c r="M566" s="6"/>
      <c r="N566" s="6"/>
      <c r="O566" s="6"/>
      <c r="P566" s="6"/>
      <c r="Q566" s="6"/>
      <c r="R566" s="6"/>
      <c r="S566" s="6"/>
      <c r="T566" s="6"/>
      <c r="U566" s="6"/>
      <c r="V566" s="6"/>
      <c r="W566" s="6"/>
      <c r="X566" s="6"/>
      <c r="Y566" s="6"/>
      <c r="Z566" s="6"/>
      <c r="AA566" s="19"/>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row>
    <row r="567">
      <c r="A567" s="6"/>
      <c r="B567" s="6"/>
      <c r="C567" s="18"/>
      <c r="D567" s="6"/>
      <c r="E567" s="6"/>
      <c r="F567" s="6"/>
      <c r="G567" s="6"/>
      <c r="H567" s="6"/>
      <c r="I567" s="6"/>
      <c r="J567" s="6"/>
      <c r="K567" s="6"/>
      <c r="L567" s="6"/>
      <c r="M567" s="6"/>
      <c r="N567" s="6"/>
      <c r="O567" s="6"/>
      <c r="P567" s="6"/>
      <c r="Q567" s="6"/>
      <c r="R567" s="6"/>
      <c r="S567" s="6"/>
      <c r="T567" s="6"/>
      <c r="U567" s="6"/>
      <c r="V567" s="6"/>
      <c r="W567" s="6"/>
      <c r="X567" s="6"/>
      <c r="Y567" s="6"/>
      <c r="Z567" s="6"/>
      <c r="AA567" s="19"/>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row>
    <row r="568">
      <c r="A568" s="6"/>
      <c r="B568" s="6"/>
      <c r="C568" s="18"/>
      <c r="D568" s="6"/>
      <c r="E568" s="6"/>
      <c r="F568" s="6"/>
      <c r="G568" s="6"/>
      <c r="H568" s="6"/>
      <c r="I568" s="6"/>
      <c r="J568" s="6"/>
      <c r="K568" s="6"/>
      <c r="L568" s="6"/>
      <c r="M568" s="6"/>
      <c r="N568" s="6"/>
      <c r="O568" s="6"/>
      <c r="P568" s="6"/>
      <c r="Q568" s="6"/>
      <c r="R568" s="6"/>
      <c r="S568" s="6"/>
      <c r="T568" s="6"/>
      <c r="U568" s="6"/>
      <c r="V568" s="6"/>
      <c r="W568" s="6"/>
      <c r="X568" s="6"/>
      <c r="Y568" s="6"/>
      <c r="Z568" s="6"/>
      <c r="AA568" s="19"/>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row>
    <row r="569">
      <c r="A569" s="6"/>
      <c r="B569" s="6"/>
      <c r="C569" s="18"/>
      <c r="D569" s="6"/>
      <c r="E569" s="6"/>
      <c r="F569" s="6"/>
      <c r="G569" s="6"/>
      <c r="H569" s="6"/>
      <c r="I569" s="6"/>
      <c r="J569" s="6"/>
      <c r="K569" s="6"/>
      <c r="L569" s="6"/>
      <c r="M569" s="6"/>
      <c r="N569" s="6"/>
      <c r="O569" s="6"/>
      <c r="P569" s="6"/>
      <c r="Q569" s="6"/>
      <c r="R569" s="6"/>
      <c r="S569" s="6"/>
      <c r="T569" s="6"/>
      <c r="U569" s="6"/>
      <c r="V569" s="6"/>
      <c r="W569" s="6"/>
      <c r="X569" s="6"/>
      <c r="Y569" s="6"/>
      <c r="Z569" s="6"/>
      <c r="AA569" s="19"/>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row>
    <row r="570">
      <c r="A570" s="6"/>
      <c r="B570" s="6"/>
      <c r="C570" s="18"/>
      <c r="D570" s="6"/>
      <c r="E570" s="6"/>
      <c r="F570" s="6"/>
      <c r="G570" s="6"/>
      <c r="H570" s="6"/>
      <c r="I570" s="6"/>
      <c r="J570" s="6"/>
      <c r="K570" s="6"/>
      <c r="L570" s="6"/>
      <c r="M570" s="6"/>
      <c r="N570" s="6"/>
      <c r="O570" s="6"/>
      <c r="P570" s="6"/>
      <c r="Q570" s="6"/>
      <c r="R570" s="6"/>
      <c r="S570" s="6"/>
      <c r="T570" s="6"/>
      <c r="U570" s="6"/>
      <c r="V570" s="6"/>
      <c r="W570" s="6"/>
      <c r="X570" s="6"/>
      <c r="Y570" s="6"/>
      <c r="Z570" s="6"/>
      <c r="AA570" s="19"/>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row>
    <row r="571">
      <c r="A571" s="6"/>
      <c r="B571" s="6"/>
      <c r="C571" s="18"/>
      <c r="D571" s="6"/>
      <c r="E571" s="6"/>
      <c r="F571" s="6"/>
      <c r="G571" s="6"/>
      <c r="H571" s="6"/>
      <c r="I571" s="6"/>
      <c r="J571" s="6"/>
      <c r="K571" s="6"/>
      <c r="L571" s="6"/>
      <c r="M571" s="6"/>
      <c r="N571" s="6"/>
      <c r="O571" s="6"/>
      <c r="P571" s="6"/>
      <c r="Q571" s="6"/>
      <c r="R571" s="6"/>
      <c r="S571" s="6"/>
      <c r="T571" s="6"/>
      <c r="U571" s="6"/>
      <c r="V571" s="6"/>
      <c r="W571" s="6"/>
      <c r="X571" s="6"/>
      <c r="Y571" s="6"/>
      <c r="Z571" s="6"/>
      <c r="AA571" s="19"/>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row>
    <row r="572">
      <c r="A572" s="6"/>
      <c r="B572" s="6"/>
      <c r="C572" s="18"/>
      <c r="D572" s="6"/>
      <c r="E572" s="6"/>
      <c r="F572" s="6"/>
      <c r="G572" s="6"/>
      <c r="H572" s="6"/>
      <c r="I572" s="6"/>
      <c r="J572" s="6"/>
      <c r="K572" s="6"/>
      <c r="L572" s="6"/>
      <c r="M572" s="6"/>
      <c r="N572" s="6"/>
      <c r="O572" s="6"/>
      <c r="P572" s="6"/>
      <c r="Q572" s="6"/>
      <c r="R572" s="6"/>
      <c r="S572" s="6"/>
      <c r="T572" s="6"/>
      <c r="U572" s="6"/>
      <c r="V572" s="6"/>
      <c r="W572" s="6"/>
      <c r="X572" s="6"/>
      <c r="Y572" s="6"/>
      <c r="Z572" s="6"/>
      <c r="AA572" s="19"/>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row>
    <row r="573">
      <c r="A573" s="6"/>
      <c r="B573" s="6"/>
      <c r="C573" s="18"/>
      <c r="D573" s="6"/>
      <c r="E573" s="6"/>
      <c r="F573" s="6"/>
      <c r="G573" s="6"/>
      <c r="H573" s="6"/>
      <c r="I573" s="6"/>
      <c r="J573" s="6"/>
      <c r="K573" s="6"/>
      <c r="L573" s="6"/>
      <c r="M573" s="6"/>
      <c r="N573" s="6"/>
      <c r="O573" s="6"/>
      <c r="P573" s="6"/>
      <c r="Q573" s="6"/>
      <c r="R573" s="6"/>
      <c r="S573" s="6"/>
      <c r="T573" s="6"/>
      <c r="U573" s="6"/>
      <c r="V573" s="6"/>
      <c r="W573" s="6"/>
      <c r="X573" s="6"/>
      <c r="Y573" s="6"/>
      <c r="Z573" s="6"/>
      <c r="AA573" s="19"/>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row>
    <row r="574">
      <c r="A574" s="6"/>
      <c r="B574" s="6"/>
      <c r="C574" s="18"/>
      <c r="D574" s="6"/>
      <c r="E574" s="6"/>
      <c r="F574" s="6"/>
      <c r="G574" s="6"/>
      <c r="H574" s="6"/>
      <c r="I574" s="6"/>
      <c r="J574" s="6"/>
      <c r="K574" s="6"/>
      <c r="L574" s="6"/>
      <c r="M574" s="6"/>
      <c r="N574" s="6"/>
      <c r="O574" s="6"/>
      <c r="P574" s="6"/>
      <c r="Q574" s="6"/>
      <c r="R574" s="6"/>
      <c r="S574" s="6"/>
      <c r="T574" s="6"/>
      <c r="U574" s="6"/>
      <c r="V574" s="6"/>
      <c r="W574" s="6"/>
      <c r="X574" s="6"/>
      <c r="Y574" s="6"/>
      <c r="Z574" s="6"/>
      <c r="AA574" s="19"/>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row>
    <row r="575">
      <c r="A575" s="6"/>
      <c r="B575" s="6"/>
      <c r="C575" s="18"/>
      <c r="D575" s="6"/>
      <c r="E575" s="6"/>
      <c r="F575" s="6"/>
      <c r="G575" s="6"/>
      <c r="H575" s="6"/>
      <c r="I575" s="6"/>
      <c r="J575" s="6"/>
      <c r="K575" s="6"/>
      <c r="L575" s="6"/>
      <c r="M575" s="6"/>
      <c r="N575" s="6"/>
      <c r="O575" s="6"/>
      <c r="P575" s="6"/>
      <c r="Q575" s="6"/>
      <c r="R575" s="6"/>
      <c r="S575" s="6"/>
      <c r="T575" s="6"/>
      <c r="U575" s="6"/>
      <c r="V575" s="6"/>
      <c r="W575" s="6"/>
      <c r="X575" s="6"/>
      <c r="Y575" s="6"/>
      <c r="Z575" s="6"/>
      <c r="AA575" s="19"/>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row>
    <row r="576">
      <c r="A576" s="6"/>
      <c r="B576" s="6"/>
      <c r="C576" s="18"/>
      <c r="D576" s="6"/>
      <c r="E576" s="6"/>
      <c r="F576" s="6"/>
      <c r="G576" s="6"/>
      <c r="H576" s="6"/>
      <c r="I576" s="6"/>
      <c r="J576" s="6"/>
      <c r="K576" s="6"/>
      <c r="L576" s="6"/>
      <c r="M576" s="6"/>
      <c r="N576" s="6"/>
      <c r="O576" s="6"/>
      <c r="P576" s="6"/>
      <c r="Q576" s="6"/>
      <c r="R576" s="6"/>
      <c r="S576" s="6"/>
      <c r="T576" s="6"/>
      <c r="U576" s="6"/>
      <c r="V576" s="6"/>
      <c r="W576" s="6"/>
      <c r="X576" s="6"/>
      <c r="Y576" s="6"/>
      <c r="Z576" s="6"/>
      <c r="AA576" s="19"/>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row>
    <row r="577">
      <c r="A577" s="6"/>
      <c r="B577" s="6"/>
      <c r="C577" s="18"/>
      <c r="D577" s="6"/>
      <c r="E577" s="6"/>
      <c r="F577" s="6"/>
      <c r="G577" s="6"/>
      <c r="H577" s="6"/>
      <c r="I577" s="6"/>
      <c r="J577" s="6"/>
      <c r="K577" s="6"/>
      <c r="L577" s="6"/>
      <c r="M577" s="6"/>
      <c r="N577" s="6"/>
      <c r="O577" s="6"/>
      <c r="P577" s="6"/>
      <c r="Q577" s="6"/>
      <c r="R577" s="6"/>
      <c r="S577" s="6"/>
      <c r="T577" s="6"/>
      <c r="U577" s="6"/>
      <c r="V577" s="6"/>
      <c r="W577" s="6"/>
      <c r="X577" s="6"/>
      <c r="Y577" s="6"/>
      <c r="Z577" s="6"/>
      <c r="AA577" s="19"/>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row>
    <row r="578">
      <c r="A578" s="6"/>
      <c r="B578" s="6"/>
      <c r="C578" s="18"/>
      <c r="D578" s="6"/>
      <c r="E578" s="6"/>
      <c r="F578" s="6"/>
      <c r="G578" s="6"/>
      <c r="H578" s="6"/>
      <c r="I578" s="6"/>
      <c r="J578" s="6"/>
      <c r="K578" s="6"/>
      <c r="L578" s="6"/>
      <c r="M578" s="6"/>
      <c r="N578" s="6"/>
      <c r="O578" s="6"/>
      <c r="P578" s="6"/>
      <c r="Q578" s="6"/>
      <c r="R578" s="6"/>
      <c r="S578" s="6"/>
      <c r="T578" s="6"/>
      <c r="U578" s="6"/>
      <c r="V578" s="6"/>
      <c r="W578" s="6"/>
      <c r="X578" s="6"/>
      <c r="Y578" s="6"/>
      <c r="Z578" s="6"/>
      <c r="AA578" s="19"/>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row>
    <row r="579">
      <c r="A579" s="6"/>
      <c r="B579" s="6"/>
      <c r="C579" s="18"/>
      <c r="D579" s="6"/>
      <c r="E579" s="6"/>
      <c r="F579" s="6"/>
      <c r="G579" s="6"/>
      <c r="H579" s="6"/>
      <c r="I579" s="6"/>
      <c r="J579" s="6"/>
      <c r="K579" s="6"/>
      <c r="L579" s="6"/>
      <c r="M579" s="6"/>
      <c r="N579" s="6"/>
      <c r="O579" s="6"/>
      <c r="P579" s="6"/>
      <c r="Q579" s="6"/>
      <c r="R579" s="6"/>
      <c r="S579" s="6"/>
      <c r="T579" s="6"/>
      <c r="U579" s="6"/>
      <c r="V579" s="6"/>
      <c r="W579" s="6"/>
      <c r="X579" s="6"/>
      <c r="Y579" s="6"/>
      <c r="Z579" s="6"/>
      <c r="AA579" s="19"/>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row>
    <row r="580">
      <c r="A580" s="6"/>
      <c r="B580" s="6"/>
      <c r="C580" s="18"/>
      <c r="D580" s="6"/>
      <c r="E580" s="6"/>
      <c r="F580" s="6"/>
      <c r="G580" s="6"/>
      <c r="H580" s="6"/>
      <c r="I580" s="6"/>
      <c r="J580" s="6"/>
      <c r="K580" s="6"/>
      <c r="L580" s="6"/>
      <c r="M580" s="6"/>
      <c r="N580" s="6"/>
      <c r="O580" s="6"/>
      <c r="P580" s="6"/>
      <c r="Q580" s="6"/>
      <c r="R580" s="6"/>
      <c r="S580" s="6"/>
      <c r="T580" s="6"/>
      <c r="U580" s="6"/>
      <c r="V580" s="6"/>
      <c r="W580" s="6"/>
      <c r="X580" s="6"/>
      <c r="Y580" s="6"/>
      <c r="Z580" s="6"/>
      <c r="AA580" s="19"/>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row>
    <row r="581">
      <c r="A581" s="6"/>
      <c r="B581" s="6"/>
      <c r="C581" s="18"/>
      <c r="D581" s="6"/>
      <c r="E581" s="6"/>
      <c r="F581" s="6"/>
      <c r="G581" s="6"/>
      <c r="H581" s="6"/>
      <c r="I581" s="6"/>
      <c r="J581" s="6"/>
      <c r="K581" s="6"/>
      <c r="L581" s="6"/>
      <c r="M581" s="6"/>
      <c r="N581" s="6"/>
      <c r="O581" s="6"/>
      <c r="P581" s="6"/>
      <c r="Q581" s="6"/>
      <c r="R581" s="6"/>
      <c r="S581" s="6"/>
      <c r="T581" s="6"/>
      <c r="U581" s="6"/>
      <c r="V581" s="6"/>
      <c r="W581" s="6"/>
      <c r="X581" s="6"/>
      <c r="Y581" s="6"/>
      <c r="Z581" s="6"/>
      <c r="AA581" s="19"/>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row>
    <row r="582">
      <c r="A582" s="6"/>
      <c r="B582" s="6"/>
      <c r="C582" s="18"/>
      <c r="D582" s="6"/>
      <c r="E582" s="6"/>
      <c r="F582" s="6"/>
      <c r="G582" s="6"/>
      <c r="H582" s="6"/>
      <c r="I582" s="6"/>
      <c r="J582" s="6"/>
      <c r="K582" s="6"/>
      <c r="L582" s="6"/>
      <c r="M582" s="6"/>
      <c r="N582" s="6"/>
      <c r="O582" s="6"/>
      <c r="P582" s="6"/>
      <c r="Q582" s="6"/>
      <c r="R582" s="6"/>
      <c r="S582" s="6"/>
      <c r="T582" s="6"/>
      <c r="U582" s="6"/>
      <c r="V582" s="6"/>
      <c r="W582" s="6"/>
      <c r="X582" s="6"/>
      <c r="Y582" s="6"/>
      <c r="Z582" s="6"/>
      <c r="AA582" s="19"/>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row>
    <row r="583">
      <c r="A583" s="6"/>
      <c r="B583" s="6"/>
      <c r="C583" s="18"/>
      <c r="D583" s="6"/>
      <c r="E583" s="6"/>
      <c r="F583" s="6"/>
      <c r="G583" s="6"/>
      <c r="H583" s="6"/>
      <c r="I583" s="6"/>
      <c r="J583" s="6"/>
      <c r="K583" s="6"/>
      <c r="L583" s="6"/>
      <c r="M583" s="6"/>
      <c r="N583" s="6"/>
      <c r="O583" s="6"/>
      <c r="P583" s="6"/>
      <c r="Q583" s="6"/>
      <c r="R583" s="6"/>
      <c r="S583" s="6"/>
      <c r="T583" s="6"/>
      <c r="U583" s="6"/>
      <c r="V583" s="6"/>
      <c r="W583" s="6"/>
      <c r="X583" s="6"/>
      <c r="Y583" s="6"/>
      <c r="Z583" s="6"/>
      <c r="AA583" s="19"/>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row>
    <row r="584">
      <c r="A584" s="6"/>
      <c r="B584" s="6"/>
      <c r="C584" s="18"/>
      <c r="D584" s="6"/>
      <c r="E584" s="6"/>
      <c r="F584" s="6"/>
      <c r="G584" s="6"/>
      <c r="H584" s="6"/>
      <c r="I584" s="6"/>
      <c r="J584" s="6"/>
      <c r="K584" s="6"/>
      <c r="L584" s="6"/>
      <c r="M584" s="6"/>
      <c r="N584" s="6"/>
      <c r="O584" s="6"/>
      <c r="P584" s="6"/>
      <c r="Q584" s="6"/>
      <c r="R584" s="6"/>
      <c r="S584" s="6"/>
      <c r="T584" s="6"/>
      <c r="U584" s="6"/>
      <c r="V584" s="6"/>
      <c r="W584" s="6"/>
      <c r="X584" s="6"/>
      <c r="Y584" s="6"/>
      <c r="Z584" s="6"/>
      <c r="AA584" s="19"/>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row>
    <row r="585">
      <c r="A585" s="6"/>
      <c r="B585" s="6"/>
      <c r="C585" s="18"/>
      <c r="D585" s="6"/>
      <c r="E585" s="6"/>
      <c r="F585" s="6"/>
      <c r="G585" s="6"/>
      <c r="H585" s="6"/>
      <c r="I585" s="6"/>
      <c r="J585" s="6"/>
      <c r="K585" s="6"/>
      <c r="L585" s="6"/>
      <c r="M585" s="6"/>
      <c r="N585" s="6"/>
      <c r="O585" s="6"/>
      <c r="P585" s="6"/>
      <c r="Q585" s="6"/>
      <c r="R585" s="6"/>
      <c r="S585" s="6"/>
      <c r="T585" s="6"/>
      <c r="U585" s="6"/>
      <c r="V585" s="6"/>
      <c r="W585" s="6"/>
      <c r="X585" s="6"/>
      <c r="Y585" s="6"/>
      <c r="Z585" s="6"/>
      <c r="AA585" s="19"/>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row>
    <row r="586">
      <c r="A586" s="6"/>
      <c r="B586" s="6"/>
      <c r="C586" s="18"/>
      <c r="D586" s="6"/>
      <c r="E586" s="6"/>
      <c r="F586" s="6"/>
      <c r="G586" s="6"/>
      <c r="H586" s="6"/>
      <c r="I586" s="6"/>
      <c r="J586" s="6"/>
      <c r="K586" s="6"/>
      <c r="L586" s="6"/>
      <c r="M586" s="6"/>
      <c r="N586" s="6"/>
      <c r="O586" s="6"/>
      <c r="P586" s="6"/>
      <c r="Q586" s="6"/>
      <c r="R586" s="6"/>
      <c r="S586" s="6"/>
      <c r="T586" s="6"/>
      <c r="U586" s="6"/>
      <c r="V586" s="6"/>
      <c r="W586" s="6"/>
      <c r="X586" s="6"/>
      <c r="Y586" s="6"/>
      <c r="Z586" s="6"/>
      <c r="AA586" s="19"/>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row>
    <row r="587">
      <c r="A587" s="6"/>
      <c r="B587" s="6"/>
      <c r="C587" s="18"/>
      <c r="D587" s="6"/>
      <c r="E587" s="6"/>
      <c r="F587" s="6"/>
      <c r="G587" s="6"/>
      <c r="H587" s="6"/>
      <c r="I587" s="6"/>
      <c r="J587" s="6"/>
      <c r="K587" s="6"/>
      <c r="L587" s="6"/>
      <c r="M587" s="6"/>
      <c r="N587" s="6"/>
      <c r="O587" s="6"/>
      <c r="P587" s="6"/>
      <c r="Q587" s="6"/>
      <c r="R587" s="6"/>
      <c r="S587" s="6"/>
      <c r="T587" s="6"/>
      <c r="U587" s="6"/>
      <c r="V587" s="6"/>
      <c r="W587" s="6"/>
      <c r="X587" s="6"/>
      <c r="Y587" s="6"/>
      <c r="Z587" s="6"/>
      <c r="AA587" s="19"/>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row>
    <row r="588">
      <c r="A588" s="6"/>
      <c r="B588" s="6"/>
      <c r="C588" s="18"/>
      <c r="D588" s="6"/>
      <c r="E588" s="6"/>
      <c r="F588" s="6"/>
      <c r="G588" s="6"/>
      <c r="H588" s="6"/>
      <c r="I588" s="6"/>
      <c r="J588" s="6"/>
      <c r="K588" s="6"/>
      <c r="L588" s="6"/>
      <c r="M588" s="6"/>
      <c r="N588" s="6"/>
      <c r="O588" s="6"/>
      <c r="P588" s="6"/>
      <c r="Q588" s="6"/>
      <c r="R588" s="6"/>
      <c r="S588" s="6"/>
      <c r="T588" s="6"/>
      <c r="U588" s="6"/>
      <c r="V588" s="6"/>
      <c r="W588" s="6"/>
      <c r="X588" s="6"/>
      <c r="Y588" s="6"/>
      <c r="Z588" s="6"/>
      <c r="AA588" s="19"/>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row>
    <row r="589">
      <c r="A589" s="6"/>
      <c r="B589" s="6"/>
      <c r="C589" s="18"/>
      <c r="D589" s="6"/>
      <c r="E589" s="6"/>
      <c r="F589" s="6"/>
      <c r="G589" s="6"/>
      <c r="H589" s="6"/>
      <c r="I589" s="6"/>
      <c r="J589" s="6"/>
      <c r="K589" s="6"/>
      <c r="L589" s="6"/>
      <c r="M589" s="6"/>
      <c r="N589" s="6"/>
      <c r="O589" s="6"/>
      <c r="P589" s="6"/>
      <c r="Q589" s="6"/>
      <c r="R589" s="6"/>
      <c r="S589" s="6"/>
      <c r="T589" s="6"/>
      <c r="U589" s="6"/>
      <c r="V589" s="6"/>
      <c r="W589" s="6"/>
      <c r="X589" s="6"/>
      <c r="Y589" s="6"/>
      <c r="Z589" s="6"/>
      <c r="AA589" s="19"/>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row>
    <row r="590">
      <c r="A590" s="6"/>
      <c r="B590" s="6"/>
      <c r="C590" s="18"/>
      <c r="D590" s="6"/>
      <c r="E590" s="6"/>
      <c r="F590" s="6"/>
      <c r="G590" s="6"/>
      <c r="H590" s="6"/>
      <c r="I590" s="6"/>
      <c r="J590" s="6"/>
      <c r="K590" s="6"/>
      <c r="L590" s="6"/>
      <c r="M590" s="6"/>
      <c r="N590" s="6"/>
      <c r="O590" s="6"/>
      <c r="P590" s="6"/>
      <c r="Q590" s="6"/>
      <c r="R590" s="6"/>
      <c r="S590" s="6"/>
      <c r="T590" s="6"/>
      <c r="U590" s="6"/>
      <c r="V590" s="6"/>
      <c r="W590" s="6"/>
      <c r="X590" s="6"/>
      <c r="Y590" s="6"/>
      <c r="Z590" s="6"/>
      <c r="AA590" s="19"/>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row>
    <row r="591">
      <c r="A591" s="6"/>
      <c r="B591" s="6"/>
      <c r="C591" s="18"/>
      <c r="D591" s="6"/>
      <c r="E591" s="6"/>
      <c r="F591" s="6"/>
      <c r="G591" s="6"/>
      <c r="H591" s="6"/>
      <c r="I591" s="6"/>
      <c r="J591" s="6"/>
      <c r="K591" s="6"/>
      <c r="L591" s="6"/>
      <c r="M591" s="6"/>
      <c r="N591" s="6"/>
      <c r="O591" s="6"/>
      <c r="P591" s="6"/>
      <c r="Q591" s="6"/>
      <c r="R591" s="6"/>
      <c r="S591" s="6"/>
      <c r="T591" s="6"/>
      <c r="U591" s="6"/>
      <c r="V591" s="6"/>
      <c r="W591" s="6"/>
      <c r="X591" s="6"/>
      <c r="Y591" s="6"/>
      <c r="Z591" s="6"/>
      <c r="AA591" s="19"/>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row>
    <row r="592">
      <c r="A592" s="6"/>
      <c r="B592" s="6"/>
      <c r="C592" s="18"/>
      <c r="D592" s="6"/>
      <c r="E592" s="6"/>
      <c r="F592" s="6"/>
      <c r="G592" s="6"/>
      <c r="H592" s="6"/>
      <c r="I592" s="6"/>
      <c r="J592" s="6"/>
      <c r="K592" s="6"/>
      <c r="L592" s="6"/>
      <c r="M592" s="6"/>
      <c r="N592" s="6"/>
      <c r="O592" s="6"/>
      <c r="P592" s="6"/>
      <c r="Q592" s="6"/>
      <c r="R592" s="6"/>
      <c r="S592" s="6"/>
      <c r="T592" s="6"/>
      <c r="U592" s="6"/>
      <c r="V592" s="6"/>
      <c r="W592" s="6"/>
      <c r="X592" s="6"/>
      <c r="Y592" s="6"/>
      <c r="Z592" s="6"/>
      <c r="AA592" s="19"/>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row>
    <row r="593">
      <c r="A593" s="6"/>
      <c r="B593" s="6"/>
      <c r="C593" s="18"/>
      <c r="D593" s="6"/>
      <c r="E593" s="6"/>
      <c r="F593" s="6"/>
      <c r="G593" s="6"/>
      <c r="H593" s="6"/>
      <c r="I593" s="6"/>
      <c r="J593" s="6"/>
      <c r="K593" s="6"/>
      <c r="L593" s="6"/>
      <c r="M593" s="6"/>
      <c r="N593" s="6"/>
      <c r="O593" s="6"/>
      <c r="P593" s="6"/>
      <c r="Q593" s="6"/>
      <c r="R593" s="6"/>
      <c r="S593" s="6"/>
      <c r="T593" s="6"/>
      <c r="U593" s="6"/>
      <c r="V593" s="6"/>
      <c r="W593" s="6"/>
      <c r="X593" s="6"/>
      <c r="Y593" s="6"/>
      <c r="Z593" s="6"/>
      <c r="AA593" s="19"/>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row>
    <row r="594">
      <c r="A594" s="6"/>
      <c r="B594" s="6"/>
      <c r="C594" s="18"/>
      <c r="D594" s="6"/>
      <c r="E594" s="6"/>
      <c r="F594" s="6"/>
      <c r="G594" s="6"/>
      <c r="H594" s="6"/>
      <c r="I594" s="6"/>
      <c r="J594" s="6"/>
      <c r="K594" s="6"/>
      <c r="L594" s="6"/>
      <c r="M594" s="6"/>
      <c r="N594" s="6"/>
      <c r="O594" s="6"/>
      <c r="P594" s="6"/>
      <c r="Q594" s="6"/>
      <c r="R594" s="6"/>
      <c r="S594" s="6"/>
      <c r="T594" s="6"/>
      <c r="U594" s="6"/>
      <c r="V594" s="6"/>
      <c r="W594" s="6"/>
      <c r="X594" s="6"/>
      <c r="Y594" s="6"/>
      <c r="Z594" s="6"/>
      <c r="AA594" s="19"/>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row>
    <row r="595">
      <c r="A595" s="6"/>
      <c r="B595" s="6"/>
      <c r="C595" s="18"/>
      <c r="D595" s="6"/>
      <c r="E595" s="6"/>
      <c r="F595" s="6"/>
      <c r="G595" s="6"/>
      <c r="H595" s="6"/>
      <c r="I595" s="6"/>
      <c r="J595" s="6"/>
      <c r="K595" s="6"/>
      <c r="L595" s="6"/>
      <c r="M595" s="6"/>
      <c r="N595" s="6"/>
      <c r="O595" s="6"/>
      <c r="P595" s="6"/>
      <c r="Q595" s="6"/>
      <c r="R595" s="6"/>
      <c r="S595" s="6"/>
      <c r="T595" s="6"/>
      <c r="U595" s="6"/>
      <c r="V595" s="6"/>
      <c r="W595" s="6"/>
      <c r="X595" s="6"/>
      <c r="Y595" s="6"/>
      <c r="Z595" s="6"/>
      <c r="AA595" s="19"/>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row>
    <row r="596">
      <c r="A596" s="6"/>
      <c r="B596" s="6"/>
      <c r="C596" s="18"/>
      <c r="D596" s="6"/>
      <c r="E596" s="6"/>
      <c r="F596" s="6"/>
      <c r="G596" s="6"/>
      <c r="H596" s="6"/>
      <c r="I596" s="6"/>
      <c r="J596" s="6"/>
      <c r="K596" s="6"/>
      <c r="L596" s="6"/>
      <c r="M596" s="6"/>
      <c r="N596" s="6"/>
      <c r="O596" s="6"/>
      <c r="P596" s="6"/>
      <c r="Q596" s="6"/>
      <c r="R596" s="6"/>
      <c r="S596" s="6"/>
      <c r="T596" s="6"/>
      <c r="U596" s="6"/>
      <c r="V596" s="6"/>
      <c r="W596" s="6"/>
      <c r="X596" s="6"/>
      <c r="Y596" s="6"/>
      <c r="Z596" s="6"/>
      <c r="AA596" s="19"/>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row>
    <row r="597">
      <c r="A597" s="6"/>
      <c r="B597" s="6"/>
      <c r="C597" s="18"/>
      <c r="D597" s="6"/>
      <c r="E597" s="6"/>
      <c r="F597" s="6"/>
      <c r="G597" s="6"/>
      <c r="H597" s="6"/>
      <c r="I597" s="6"/>
      <c r="J597" s="6"/>
      <c r="K597" s="6"/>
      <c r="L597" s="6"/>
      <c r="M597" s="6"/>
      <c r="N597" s="6"/>
      <c r="O597" s="6"/>
      <c r="P597" s="6"/>
      <c r="Q597" s="6"/>
      <c r="R597" s="6"/>
      <c r="S597" s="6"/>
      <c r="T597" s="6"/>
      <c r="U597" s="6"/>
      <c r="V597" s="6"/>
      <c r="W597" s="6"/>
      <c r="X597" s="6"/>
      <c r="Y597" s="6"/>
      <c r="Z597" s="6"/>
      <c r="AA597" s="19"/>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row>
    <row r="598">
      <c r="A598" s="6"/>
      <c r="B598" s="6"/>
      <c r="C598" s="18"/>
      <c r="D598" s="6"/>
      <c r="E598" s="6"/>
      <c r="F598" s="6"/>
      <c r="G598" s="6"/>
      <c r="H598" s="6"/>
      <c r="I598" s="6"/>
      <c r="J598" s="6"/>
      <c r="K598" s="6"/>
      <c r="L598" s="6"/>
      <c r="M598" s="6"/>
      <c r="N598" s="6"/>
      <c r="O598" s="6"/>
      <c r="P598" s="6"/>
      <c r="Q598" s="6"/>
      <c r="R598" s="6"/>
      <c r="S598" s="6"/>
      <c r="T598" s="6"/>
      <c r="U598" s="6"/>
      <c r="V598" s="6"/>
      <c r="W598" s="6"/>
      <c r="X598" s="6"/>
      <c r="Y598" s="6"/>
      <c r="Z598" s="6"/>
      <c r="AA598" s="19"/>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row>
    <row r="599">
      <c r="A599" s="6"/>
      <c r="B599" s="6"/>
      <c r="C599" s="18"/>
      <c r="D599" s="6"/>
      <c r="E599" s="6"/>
      <c r="F599" s="6"/>
      <c r="G599" s="6"/>
      <c r="H599" s="6"/>
      <c r="I599" s="6"/>
      <c r="J599" s="6"/>
      <c r="K599" s="6"/>
      <c r="L599" s="6"/>
      <c r="M599" s="6"/>
      <c r="N599" s="6"/>
      <c r="O599" s="6"/>
      <c r="P599" s="6"/>
      <c r="Q599" s="6"/>
      <c r="R599" s="6"/>
      <c r="S599" s="6"/>
      <c r="T599" s="6"/>
      <c r="U599" s="6"/>
      <c r="V599" s="6"/>
      <c r="W599" s="6"/>
      <c r="X599" s="6"/>
      <c r="Y599" s="6"/>
      <c r="Z599" s="6"/>
      <c r="AA599" s="19"/>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row>
    <row r="600">
      <c r="A600" s="6"/>
      <c r="B600" s="6"/>
      <c r="C600" s="18"/>
      <c r="D600" s="6"/>
      <c r="E600" s="6"/>
      <c r="F600" s="6"/>
      <c r="G600" s="6"/>
      <c r="H600" s="6"/>
      <c r="I600" s="6"/>
      <c r="J600" s="6"/>
      <c r="K600" s="6"/>
      <c r="L600" s="6"/>
      <c r="M600" s="6"/>
      <c r="N600" s="6"/>
      <c r="O600" s="6"/>
      <c r="P600" s="6"/>
      <c r="Q600" s="6"/>
      <c r="R600" s="6"/>
      <c r="S600" s="6"/>
      <c r="T600" s="6"/>
      <c r="U600" s="6"/>
      <c r="V600" s="6"/>
      <c r="W600" s="6"/>
      <c r="X600" s="6"/>
      <c r="Y600" s="6"/>
      <c r="Z600" s="6"/>
      <c r="AA600" s="19"/>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row>
    <row r="601">
      <c r="A601" s="6"/>
      <c r="B601" s="6"/>
      <c r="C601" s="18"/>
      <c r="D601" s="6"/>
      <c r="E601" s="6"/>
      <c r="F601" s="6"/>
      <c r="G601" s="6"/>
      <c r="H601" s="6"/>
      <c r="I601" s="6"/>
      <c r="J601" s="6"/>
      <c r="K601" s="6"/>
      <c r="L601" s="6"/>
      <c r="M601" s="6"/>
      <c r="N601" s="6"/>
      <c r="O601" s="6"/>
      <c r="P601" s="6"/>
      <c r="Q601" s="6"/>
      <c r="R601" s="6"/>
      <c r="S601" s="6"/>
      <c r="T601" s="6"/>
      <c r="U601" s="6"/>
      <c r="V601" s="6"/>
      <c r="W601" s="6"/>
      <c r="X601" s="6"/>
      <c r="Y601" s="6"/>
      <c r="Z601" s="6"/>
      <c r="AA601" s="19"/>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row>
    <row r="602">
      <c r="A602" s="6"/>
      <c r="B602" s="6"/>
      <c r="C602" s="18"/>
      <c r="D602" s="6"/>
      <c r="E602" s="6"/>
      <c r="F602" s="6"/>
      <c r="G602" s="6"/>
      <c r="H602" s="6"/>
      <c r="I602" s="6"/>
      <c r="J602" s="6"/>
      <c r="K602" s="6"/>
      <c r="L602" s="6"/>
      <c r="M602" s="6"/>
      <c r="N602" s="6"/>
      <c r="O602" s="6"/>
      <c r="P602" s="6"/>
      <c r="Q602" s="6"/>
      <c r="R602" s="6"/>
      <c r="S602" s="6"/>
      <c r="T602" s="6"/>
      <c r="U602" s="6"/>
      <c r="V602" s="6"/>
      <c r="W602" s="6"/>
      <c r="X602" s="6"/>
      <c r="Y602" s="6"/>
      <c r="Z602" s="6"/>
      <c r="AA602" s="19"/>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row>
    <row r="603">
      <c r="A603" s="6"/>
      <c r="B603" s="6"/>
      <c r="C603" s="18"/>
      <c r="D603" s="6"/>
      <c r="E603" s="6"/>
      <c r="F603" s="6"/>
      <c r="G603" s="6"/>
      <c r="H603" s="6"/>
      <c r="I603" s="6"/>
      <c r="J603" s="6"/>
      <c r="K603" s="6"/>
      <c r="L603" s="6"/>
      <c r="M603" s="6"/>
      <c r="N603" s="6"/>
      <c r="O603" s="6"/>
      <c r="P603" s="6"/>
      <c r="Q603" s="6"/>
      <c r="R603" s="6"/>
      <c r="S603" s="6"/>
      <c r="T603" s="6"/>
      <c r="U603" s="6"/>
      <c r="V603" s="6"/>
      <c r="W603" s="6"/>
      <c r="X603" s="6"/>
      <c r="Y603" s="6"/>
      <c r="Z603" s="6"/>
      <c r="AA603" s="19"/>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row>
    <row r="604">
      <c r="A604" s="6"/>
      <c r="B604" s="6"/>
      <c r="C604" s="18"/>
      <c r="D604" s="6"/>
      <c r="E604" s="6"/>
      <c r="F604" s="6"/>
      <c r="G604" s="6"/>
      <c r="H604" s="6"/>
      <c r="I604" s="6"/>
      <c r="J604" s="6"/>
      <c r="K604" s="6"/>
      <c r="L604" s="6"/>
      <c r="M604" s="6"/>
      <c r="N604" s="6"/>
      <c r="O604" s="6"/>
      <c r="P604" s="6"/>
      <c r="Q604" s="6"/>
      <c r="R604" s="6"/>
      <c r="S604" s="6"/>
      <c r="T604" s="6"/>
      <c r="U604" s="6"/>
      <c r="V604" s="6"/>
      <c r="W604" s="6"/>
      <c r="X604" s="6"/>
      <c r="Y604" s="6"/>
      <c r="Z604" s="6"/>
      <c r="AA604" s="19"/>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row>
    <row r="605">
      <c r="A605" s="6"/>
      <c r="B605" s="6"/>
      <c r="C605" s="18"/>
      <c r="D605" s="6"/>
      <c r="E605" s="6"/>
      <c r="F605" s="6"/>
      <c r="G605" s="6"/>
      <c r="H605" s="6"/>
      <c r="I605" s="6"/>
      <c r="J605" s="6"/>
      <c r="K605" s="6"/>
      <c r="L605" s="6"/>
      <c r="M605" s="6"/>
      <c r="N605" s="6"/>
      <c r="O605" s="6"/>
      <c r="P605" s="6"/>
      <c r="Q605" s="6"/>
      <c r="R605" s="6"/>
      <c r="S605" s="6"/>
      <c r="T605" s="6"/>
      <c r="U605" s="6"/>
      <c r="V605" s="6"/>
      <c r="W605" s="6"/>
      <c r="X605" s="6"/>
      <c r="Y605" s="6"/>
      <c r="Z605" s="6"/>
      <c r="AA605" s="19"/>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row>
    <row r="606">
      <c r="A606" s="6"/>
      <c r="B606" s="6"/>
      <c r="C606" s="18"/>
      <c r="D606" s="6"/>
      <c r="E606" s="6"/>
      <c r="F606" s="6"/>
      <c r="G606" s="6"/>
      <c r="H606" s="6"/>
      <c r="I606" s="6"/>
      <c r="J606" s="6"/>
      <c r="K606" s="6"/>
      <c r="L606" s="6"/>
      <c r="M606" s="6"/>
      <c r="N606" s="6"/>
      <c r="O606" s="6"/>
      <c r="P606" s="6"/>
      <c r="Q606" s="6"/>
      <c r="R606" s="6"/>
      <c r="S606" s="6"/>
      <c r="T606" s="6"/>
      <c r="U606" s="6"/>
      <c r="V606" s="6"/>
      <c r="W606" s="6"/>
      <c r="X606" s="6"/>
      <c r="Y606" s="6"/>
      <c r="Z606" s="6"/>
      <c r="AA606" s="19"/>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row>
    <row r="607">
      <c r="A607" s="6"/>
      <c r="B607" s="6"/>
      <c r="C607" s="18"/>
      <c r="D607" s="6"/>
      <c r="E607" s="6"/>
      <c r="F607" s="6"/>
      <c r="G607" s="6"/>
      <c r="H607" s="6"/>
      <c r="I607" s="6"/>
      <c r="J607" s="6"/>
      <c r="K607" s="6"/>
      <c r="L607" s="6"/>
      <c r="M607" s="6"/>
      <c r="N607" s="6"/>
      <c r="O607" s="6"/>
      <c r="P607" s="6"/>
      <c r="Q607" s="6"/>
      <c r="R607" s="6"/>
      <c r="S607" s="6"/>
      <c r="T607" s="6"/>
      <c r="U607" s="6"/>
      <c r="V607" s="6"/>
      <c r="W607" s="6"/>
      <c r="X607" s="6"/>
      <c r="Y607" s="6"/>
      <c r="Z607" s="6"/>
      <c r="AA607" s="19"/>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row>
    <row r="608">
      <c r="A608" s="6"/>
      <c r="B608" s="6"/>
      <c r="C608" s="18"/>
      <c r="D608" s="6"/>
      <c r="E608" s="6"/>
      <c r="F608" s="6"/>
      <c r="G608" s="6"/>
      <c r="H608" s="6"/>
      <c r="I608" s="6"/>
      <c r="J608" s="6"/>
      <c r="K608" s="6"/>
      <c r="L608" s="6"/>
      <c r="M608" s="6"/>
      <c r="N608" s="6"/>
      <c r="O608" s="6"/>
      <c r="P608" s="6"/>
      <c r="Q608" s="6"/>
      <c r="R608" s="6"/>
      <c r="S608" s="6"/>
      <c r="T608" s="6"/>
      <c r="U608" s="6"/>
      <c r="V608" s="6"/>
      <c r="W608" s="6"/>
      <c r="X608" s="6"/>
      <c r="Y608" s="6"/>
      <c r="Z608" s="6"/>
      <c r="AA608" s="19"/>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row>
    <row r="609">
      <c r="A609" s="6"/>
      <c r="B609" s="6"/>
      <c r="C609" s="18"/>
      <c r="D609" s="6"/>
      <c r="E609" s="6"/>
      <c r="F609" s="6"/>
      <c r="G609" s="6"/>
      <c r="H609" s="6"/>
      <c r="I609" s="6"/>
      <c r="J609" s="6"/>
      <c r="K609" s="6"/>
      <c r="L609" s="6"/>
      <c r="M609" s="6"/>
      <c r="N609" s="6"/>
      <c r="O609" s="6"/>
      <c r="P609" s="6"/>
      <c r="Q609" s="6"/>
      <c r="R609" s="6"/>
      <c r="S609" s="6"/>
      <c r="T609" s="6"/>
      <c r="U609" s="6"/>
      <c r="V609" s="6"/>
      <c r="W609" s="6"/>
      <c r="X609" s="6"/>
      <c r="Y609" s="6"/>
      <c r="Z609" s="6"/>
      <c r="AA609" s="19"/>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row>
    <row r="610">
      <c r="A610" s="6"/>
      <c r="B610" s="6"/>
      <c r="C610" s="18"/>
      <c r="D610" s="6"/>
      <c r="E610" s="6"/>
      <c r="F610" s="6"/>
      <c r="G610" s="6"/>
      <c r="H610" s="6"/>
      <c r="I610" s="6"/>
      <c r="J610" s="6"/>
      <c r="K610" s="6"/>
      <c r="L610" s="6"/>
      <c r="M610" s="6"/>
      <c r="N610" s="6"/>
      <c r="O610" s="6"/>
      <c r="P610" s="6"/>
      <c r="Q610" s="6"/>
      <c r="R610" s="6"/>
      <c r="S610" s="6"/>
      <c r="T610" s="6"/>
      <c r="U610" s="6"/>
      <c r="V610" s="6"/>
      <c r="W610" s="6"/>
      <c r="X610" s="6"/>
      <c r="Y610" s="6"/>
      <c r="Z610" s="6"/>
      <c r="AA610" s="19"/>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row>
    <row r="611">
      <c r="A611" s="6"/>
      <c r="B611" s="6"/>
      <c r="C611" s="18"/>
      <c r="D611" s="6"/>
      <c r="E611" s="6"/>
      <c r="F611" s="6"/>
      <c r="G611" s="6"/>
      <c r="H611" s="6"/>
      <c r="I611" s="6"/>
      <c r="J611" s="6"/>
      <c r="K611" s="6"/>
      <c r="L611" s="6"/>
      <c r="M611" s="6"/>
      <c r="N611" s="6"/>
      <c r="O611" s="6"/>
      <c r="P611" s="6"/>
      <c r="Q611" s="6"/>
      <c r="R611" s="6"/>
      <c r="S611" s="6"/>
      <c r="T611" s="6"/>
      <c r="U611" s="6"/>
      <c r="V611" s="6"/>
      <c r="W611" s="6"/>
      <c r="X611" s="6"/>
      <c r="Y611" s="6"/>
      <c r="Z611" s="6"/>
      <c r="AA611" s="19"/>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row>
    <row r="612">
      <c r="A612" s="6"/>
      <c r="B612" s="6"/>
      <c r="C612" s="18"/>
      <c r="D612" s="6"/>
      <c r="E612" s="6"/>
      <c r="F612" s="6"/>
      <c r="G612" s="6"/>
      <c r="H612" s="6"/>
      <c r="I612" s="6"/>
      <c r="J612" s="6"/>
      <c r="K612" s="6"/>
      <c r="L612" s="6"/>
      <c r="M612" s="6"/>
      <c r="N612" s="6"/>
      <c r="O612" s="6"/>
      <c r="P612" s="6"/>
      <c r="Q612" s="6"/>
      <c r="R612" s="6"/>
      <c r="S612" s="6"/>
      <c r="T612" s="6"/>
      <c r="U612" s="6"/>
      <c r="V612" s="6"/>
      <c r="W612" s="6"/>
      <c r="X612" s="6"/>
      <c r="Y612" s="6"/>
      <c r="Z612" s="6"/>
      <c r="AA612" s="19"/>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row>
    <row r="613">
      <c r="A613" s="6"/>
      <c r="B613" s="6"/>
      <c r="C613" s="18"/>
      <c r="D613" s="6"/>
      <c r="E613" s="6"/>
      <c r="F613" s="6"/>
      <c r="G613" s="6"/>
      <c r="H613" s="6"/>
      <c r="I613" s="6"/>
      <c r="J613" s="6"/>
      <c r="K613" s="6"/>
      <c r="L613" s="6"/>
      <c r="M613" s="6"/>
      <c r="N613" s="6"/>
      <c r="O613" s="6"/>
      <c r="P613" s="6"/>
      <c r="Q613" s="6"/>
      <c r="R613" s="6"/>
      <c r="S613" s="6"/>
      <c r="T613" s="6"/>
      <c r="U613" s="6"/>
      <c r="V613" s="6"/>
      <c r="W613" s="6"/>
      <c r="X613" s="6"/>
      <c r="Y613" s="6"/>
      <c r="Z613" s="6"/>
      <c r="AA613" s="19"/>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row>
    <row r="614">
      <c r="A614" s="6"/>
      <c r="B614" s="6"/>
      <c r="C614" s="18"/>
      <c r="D614" s="6"/>
      <c r="E614" s="6"/>
      <c r="F614" s="6"/>
      <c r="G614" s="6"/>
      <c r="H614" s="6"/>
      <c r="I614" s="6"/>
      <c r="J614" s="6"/>
      <c r="K614" s="6"/>
      <c r="L614" s="6"/>
      <c r="M614" s="6"/>
      <c r="N614" s="6"/>
      <c r="O614" s="6"/>
      <c r="P614" s="6"/>
      <c r="Q614" s="6"/>
      <c r="R614" s="6"/>
      <c r="S614" s="6"/>
      <c r="T614" s="6"/>
      <c r="U614" s="6"/>
      <c r="V614" s="6"/>
      <c r="W614" s="6"/>
      <c r="X614" s="6"/>
      <c r="Y614" s="6"/>
      <c r="Z614" s="6"/>
      <c r="AA614" s="19"/>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row>
    <row r="615">
      <c r="A615" s="6"/>
      <c r="B615" s="6"/>
      <c r="C615" s="18"/>
      <c r="D615" s="6"/>
      <c r="E615" s="6"/>
      <c r="F615" s="6"/>
      <c r="G615" s="6"/>
      <c r="H615" s="6"/>
      <c r="I615" s="6"/>
      <c r="J615" s="6"/>
      <c r="K615" s="6"/>
      <c r="L615" s="6"/>
      <c r="M615" s="6"/>
      <c r="N615" s="6"/>
      <c r="O615" s="6"/>
      <c r="P615" s="6"/>
      <c r="Q615" s="6"/>
      <c r="R615" s="6"/>
      <c r="S615" s="6"/>
      <c r="T615" s="6"/>
      <c r="U615" s="6"/>
      <c r="V615" s="6"/>
      <c r="W615" s="6"/>
      <c r="X615" s="6"/>
      <c r="Y615" s="6"/>
      <c r="Z615" s="6"/>
      <c r="AA615" s="19"/>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row>
    <row r="616">
      <c r="A616" s="6"/>
      <c r="B616" s="6"/>
      <c r="C616" s="18"/>
      <c r="D616" s="6"/>
      <c r="E616" s="6"/>
      <c r="F616" s="6"/>
      <c r="G616" s="6"/>
      <c r="H616" s="6"/>
      <c r="I616" s="6"/>
      <c r="J616" s="6"/>
      <c r="K616" s="6"/>
      <c r="L616" s="6"/>
      <c r="M616" s="6"/>
      <c r="N616" s="6"/>
      <c r="O616" s="6"/>
      <c r="P616" s="6"/>
      <c r="Q616" s="6"/>
      <c r="R616" s="6"/>
      <c r="S616" s="6"/>
      <c r="T616" s="6"/>
      <c r="U616" s="6"/>
      <c r="V616" s="6"/>
      <c r="W616" s="6"/>
      <c r="X616" s="6"/>
      <c r="Y616" s="6"/>
      <c r="Z616" s="6"/>
      <c r="AA616" s="19"/>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row>
    <row r="617">
      <c r="A617" s="6"/>
      <c r="B617" s="6"/>
      <c r="C617" s="18"/>
      <c r="D617" s="6"/>
      <c r="E617" s="6"/>
      <c r="F617" s="6"/>
      <c r="G617" s="6"/>
      <c r="H617" s="6"/>
      <c r="I617" s="6"/>
      <c r="J617" s="6"/>
      <c r="K617" s="6"/>
      <c r="L617" s="6"/>
      <c r="M617" s="6"/>
      <c r="N617" s="6"/>
      <c r="O617" s="6"/>
      <c r="P617" s="6"/>
      <c r="Q617" s="6"/>
      <c r="R617" s="6"/>
      <c r="S617" s="6"/>
      <c r="T617" s="6"/>
      <c r="U617" s="6"/>
      <c r="V617" s="6"/>
      <c r="W617" s="6"/>
      <c r="X617" s="6"/>
      <c r="Y617" s="6"/>
      <c r="Z617" s="6"/>
      <c r="AA617" s="19"/>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row>
    <row r="618">
      <c r="A618" s="6"/>
      <c r="B618" s="6"/>
      <c r="C618" s="18"/>
      <c r="D618" s="6"/>
      <c r="E618" s="6"/>
      <c r="F618" s="6"/>
      <c r="G618" s="6"/>
      <c r="H618" s="6"/>
      <c r="I618" s="6"/>
      <c r="J618" s="6"/>
      <c r="K618" s="6"/>
      <c r="L618" s="6"/>
      <c r="M618" s="6"/>
      <c r="N618" s="6"/>
      <c r="O618" s="6"/>
      <c r="P618" s="6"/>
      <c r="Q618" s="6"/>
      <c r="R618" s="6"/>
      <c r="S618" s="6"/>
      <c r="T618" s="6"/>
      <c r="U618" s="6"/>
      <c r="V618" s="6"/>
      <c r="W618" s="6"/>
      <c r="X618" s="6"/>
      <c r="Y618" s="6"/>
      <c r="Z618" s="6"/>
      <c r="AA618" s="19"/>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row>
    <row r="619">
      <c r="A619" s="6"/>
      <c r="B619" s="6"/>
      <c r="C619" s="18"/>
      <c r="D619" s="6"/>
      <c r="E619" s="6"/>
      <c r="F619" s="6"/>
      <c r="G619" s="6"/>
      <c r="H619" s="6"/>
      <c r="I619" s="6"/>
      <c r="J619" s="6"/>
      <c r="K619" s="6"/>
      <c r="L619" s="6"/>
      <c r="M619" s="6"/>
      <c r="N619" s="6"/>
      <c r="O619" s="6"/>
      <c r="P619" s="6"/>
      <c r="Q619" s="6"/>
      <c r="R619" s="6"/>
      <c r="S619" s="6"/>
      <c r="T619" s="6"/>
      <c r="U619" s="6"/>
      <c r="V619" s="6"/>
      <c r="W619" s="6"/>
      <c r="X619" s="6"/>
      <c r="Y619" s="6"/>
      <c r="Z619" s="6"/>
      <c r="AA619" s="19"/>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row>
    <row r="620">
      <c r="A620" s="6"/>
      <c r="B620" s="6"/>
      <c r="C620" s="18"/>
      <c r="D620" s="6"/>
      <c r="E620" s="6"/>
      <c r="F620" s="6"/>
      <c r="G620" s="6"/>
      <c r="H620" s="6"/>
      <c r="I620" s="6"/>
      <c r="J620" s="6"/>
      <c r="K620" s="6"/>
      <c r="L620" s="6"/>
      <c r="M620" s="6"/>
      <c r="N620" s="6"/>
      <c r="O620" s="6"/>
      <c r="P620" s="6"/>
      <c r="Q620" s="6"/>
      <c r="R620" s="6"/>
      <c r="S620" s="6"/>
      <c r="T620" s="6"/>
      <c r="U620" s="6"/>
      <c r="V620" s="6"/>
      <c r="W620" s="6"/>
      <c r="X620" s="6"/>
      <c r="Y620" s="6"/>
      <c r="Z620" s="6"/>
      <c r="AA620" s="19"/>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row>
    <row r="621">
      <c r="A621" s="6"/>
      <c r="B621" s="6"/>
      <c r="C621" s="18"/>
      <c r="D621" s="6"/>
      <c r="E621" s="6"/>
      <c r="F621" s="6"/>
      <c r="G621" s="6"/>
      <c r="H621" s="6"/>
      <c r="I621" s="6"/>
      <c r="J621" s="6"/>
      <c r="K621" s="6"/>
      <c r="L621" s="6"/>
      <c r="M621" s="6"/>
      <c r="N621" s="6"/>
      <c r="O621" s="6"/>
      <c r="P621" s="6"/>
      <c r="Q621" s="6"/>
      <c r="R621" s="6"/>
      <c r="S621" s="6"/>
      <c r="T621" s="6"/>
      <c r="U621" s="6"/>
      <c r="V621" s="6"/>
      <c r="W621" s="6"/>
      <c r="X621" s="6"/>
      <c r="Y621" s="6"/>
      <c r="Z621" s="6"/>
      <c r="AA621" s="19"/>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row>
    <row r="622">
      <c r="A622" s="6"/>
      <c r="B622" s="6"/>
      <c r="C622" s="18"/>
      <c r="D622" s="6"/>
      <c r="E622" s="6"/>
      <c r="F622" s="6"/>
      <c r="G622" s="6"/>
      <c r="H622" s="6"/>
      <c r="I622" s="6"/>
      <c r="J622" s="6"/>
      <c r="K622" s="6"/>
      <c r="L622" s="6"/>
      <c r="M622" s="6"/>
      <c r="N622" s="6"/>
      <c r="O622" s="6"/>
      <c r="P622" s="6"/>
      <c r="Q622" s="6"/>
      <c r="R622" s="6"/>
      <c r="S622" s="6"/>
      <c r="T622" s="6"/>
      <c r="U622" s="6"/>
      <c r="V622" s="6"/>
      <c r="W622" s="6"/>
      <c r="X622" s="6"/>
      <c r="Y622" s="6"/>
      <c r="Z622" s="6"/>
      <c r="AA622" s="19"/>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row>
    <row r="623">
      <c r="A623" s="6"/>
      <c r="B623" s="6"/>
      <c r="C623" s="18"/>
      <c r="D623" s="6"/>
      <c r="E623" s="6"/>
      <c r="F623" s="6"/>
      <c r="G623" s="6"/>
      <c r="H623" s="6"/>
      <c r="I623" s="6"/>
      <c r="J623" s="6"/>
      <c r="K623" s="6"/>
      <c r="L623" s="6"/>
      <c r="M623" s="6"/>
      <c r="N623" s="6"/>
      <c r="O623" s="6"/>
      <c r="P623" s="6"/>
      <c r="Q623" s="6"/>
      <c r="R623" s="6"/>
      <c r="S623" s="6"/>
      <c r="T623" s="6"/>
      <c r="U623" s="6"/>
      <c r="V623" s="6"/>
      <c r="W623" s="6"/>
      <c r="X623" s="6"/>
      <c r="Y623" s="6"/>
      <c r="Z623" s="6"/>
      <c r="AA623" s="19"/>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row>
    <row r="624">
      <c r="A624" s="6"/>
      <c r="B624" s="6"/>
      <c r="C624" s="18"/>
      <c r="D624" s="6"/>
      <c r="E624" s="6"/>
      <c r="F624" s="6"/>
      <c r="G624" s="6"/>
      <c r="H624" s="6"/>
      <c r="I624" s="6"/>
      <c r="J624" s="6"/>
      <c r="K624" s="6"/>
      <c r="L624" s="6"/>
      <c r="M624" s="6"/>
      <c r="N624" s="6"/>
      <c r="O624" s="6"/>
      <c r="P624" s="6"/>
      <c r="Q624" s="6"/>
      <c r="R624" s="6"/>
      <c r="S624" s="6"/>
      <c r="T624" s="6"/>
      <c r="U624" s="6"/>
      <c r="V624" s="6"/>
      <c r="W624" s="6"/>
      <c r="X624" s="6"/>
      <c r="Y624" s="6"/>
      <c r="Z624" s="6"/>
      <c r="AA624" s="19"/>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row>
    <row r="625">
      <c r="A625" s="6"/>
      <c r="B625" s="6"/>
      <c r="C625" s="18"/>
      <c r="D625" s="6"/>
      <c r="E625" s="6"/>
      <c r="F625" s="6"/>
      <c r="G625" s="6"/>
      <c r="H625" s="6"/>
      <c r="I625" s="6"/>
      <c r="J625" s="6"/>
      <c r="K625" s="6"/>
      <c r="L625" s="6"/>
      <c r="M625" s="6"/>
      <c r="N625" s="6"/>
      <c r="O625" s="6"/>
      <c r="P625" s="6"/>
      <c r="Q625" s="6"/>
      <c r="R625" s="6"/>
      <c r="S625" s="6"/>
      <c r="T625" s="6"/>
      <c r="U625" s="6"/>
      <c r="V625" s="6"/>
      <c r="W625" s="6"/>
      <c r="X625" s="6"/>
      <c r="Y625" s="6"/>
      <c r="Z625" s="6"/>
      <c r="AA625" s="19"/>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row>
    <row r="626">
      <c r="A626" s="6"/>
      <c r="B626" s="6"/>
      <c r="C626" s="18"/>
      <c r="D626" s="6"/>
      <c r="E626" s="6"/>
      <c r="F626" s="6"/>
      <c r="G626" s="6"/>
      <c r="H626" s="6"/>
      <c r="I626" s="6"/>
      <c r="J626" s="6"/>
      <c r="K626" s="6"/>
      <c r="L626" s="6"/>
      <c r="M626" s="6"/>
      <c r="N626" s="6"/>
      <c r="O626" s="6"/>
      <c r="P626" s="6"/>
      <c r="Q626" s="6"/>
      <c r="R626" s="6"/>
      <c r="S626" s="6"/>
      <c r="T626" s="6"/>
      <c r="U626" s="6"/>
      <c r="V626" s="6"/>
      <c r="W626" s="6"/>
      <c r="X626" s="6"/>
      <c r="Y626" s="6"/>
      <c r="Z626" s="6"/>
      <c r="AA626" s="19"/>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row>
    <row r="627">
      <c r="A627" s="6"/>
      <c r="B627" s="6"/>
      <c r="C627" s="18"/>
      <c r="D627" s="6"/>
      <c r="E627" s="6"/>
      <c r="F627" s="6"/>
      <c r="G627" s="6"/>
      <c r="H627" s="6"/>
      <c r="I627" s="6"/>
      <c r="J627" s="6"/>
      <c r="K627" s="6"/>
      <c r="L627" s="6"/>
      <c r="M627" s="6"/>
      <c r="N627" s="6"/>
      <c r="O627" s="6"/>
      <c r="P627" s="6"/>
      <c r="Q627" s="6"/>
      <c r="R627" s="6"/>
      <c r="S627" s="6"/>
      <c r="T627" s="6"/>
      <c r="U627" s="6"/>
      <c r="V627" s="6"/>
      <c r="W627" s="6"/>
      <c r="X627" s="6"/>
      <c r="Y627" s="6"/>
      <c r="Z627" s="6"/>
      <c r="AA627" s="19"/>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row>
    <row r="628">
      <c r="A628" s="6"/>
      <c r="B628" s="6"/>
      <c r="C628" s="18"/>
      <c r="D628" s="6"/>
      <c r="E628" s="6"/>
      <c r="F628" s="6"/>
      <c r="G628" s="6"/>
      <c r="H628" s="6"/>
      <c r="I628" s="6"/>
      <c r="J628" s="6"/>
      <c r="K628" s="6"/>
      <c r="L628" s="6"/>
      <c r="M628" s="6"/>
      <c r="N628" s="6"/>
      <c r="O628" s="6"/>
      <c r="P628" s="6"/>
      <c r="Q628" s="6"/>
      <c r="R628" s="6"/>
      <c r="S628" s="6"/>
      <c r="T628" s="6"/>
      <c r="U628" s="6"/>
      <c r="V628" s="6"/>
      <c r="W628" s="6"/>
      <c r="X628" s="6"/>
      <c r="Y628" s="6"/>
      <c r="Z628" s="6"/>
      <c r="AA628" s="19"/>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row>
    <row r="629">
      <c r="A629" s="6"/>
      <c r="B629" s="6"/>
      <c r="C629" s="18"/>
      <c r="D629" s="6"/>
      <c r="E629" s="6"/>
      <c r="F629" s="6"/>
      <c r="G629" s="6"/>
      <c r="H629" s="6"/>
      <c r="I629" s="6"/>
      <c r="J629" s="6"/>
      <c r="K629" s="6"/>
      <c r="L629" s="6"/>
      <c r="M629" s="6"/>
      <c r="N629" s="6"/>
      <c r="O629" s="6"/>
      <c r="P629" s="6"/>
      <c r="Q629" s="6"/>
      <c r="R629" s="6"/>
      <c r="S629" s="6"/>
      <c r="T629" s="6"/>
      <c r="U629" s="6"/>
      <c r="V629" s="6"/>
      <c r="W629" s="6"/>
      <c r="X629" s="6"/>
      <c r="Y629" s="6"/>
      <c r="Z629" s="6"/>
      <c r="AA629" s="19"/>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row>
    <row r="630">
      <c r="A630" s="6"/>
      <c r="B630" s="6"/>
      <c r="C630" s="18"/>
      <c r="D630" s="6"/>
      <c r="E630" s="6"/>
      <c r="F630" s="6"/>
      <c r="G630" s="6"/>
      <c r="H630" s="6"/>
      <c r="I630" s="6"/>
      <c r="J630" s="6"/>
      <c r="K630" s="6"/>
      <c r="L630" s="6"/>
      <c r="M630" s="6"/>
      <c r="N630" s="6"/>
      <c r="O630" s="6"/>
      <c r="P630" s="6"/>
      <c r="Q630" s="6"/>
      <c r="R630" s="6"/>
      <c r="S630" s="6"/>
      <c r="T630" s="6"/>
      <c r="U630" s="6"/>
      <c r="V630" s="6"/>
      <c r="W630" s="6"/>
      <c r="X630" s="6"/>
      <c r="Y630" s="6"/>
      <c r="Z630" s="6"/>
      <c r="AA630" s="19"/>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row>
    <row r="631">
      <c r="A631" s="6"/>
      <c r="B631" s="6"/>
      <c r="C631" s="18"/>
      <c r="D631" s="6"/>
      <c r="E631" s="6"/>
      <c r="F631" s="6"/>
      <c r="G631" s="6"/>
      <c r="H631" s="6"/>
      <c r="I631" s="6"/>
      <c r="J631" s="6"/>
      <c r="K631" s="6"/>
      <c r="L631" s="6"/>
      <c r="M631" s="6"/>
      <c r="N631" s="6"/>
      <c r="O631" s="6"/>
      <c r="P631" s="6"/>
      <c r="Q631" s="6"/>
      <c r="R631" s="6"/>
      <c r="S631" s="6"/>
      <c r="T631" s="6"/>
      <c r="U631" s="6"/>
      <c r="V631" s="6"/>
      <c r="W631" s="6"/>
      <c r="X631" s="6"/>
      <c r="Y631" s="6"/>
      <c r="Z631" s="6"/>
      <c r="AA631" s="19"/>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row>
    <row r="632">
      <c r="A632" s="6"/>
      <c r="B632" s="6"/>
      <c r="C632" s="18"/>
      <c r="D632" s="6"/>
      <c r="E632" s="6"/>
      <c r="F632" s="6"/>
      <c r="G632" s="6"/>
      <c r="H632" s="6"/>
      <c r="I632" s="6"/>
      <c r="J632" s="6"/>
      <c r="K632" s="6"/>
      <c r="L632" s="6"/>
      <c r="M632" s="6"/>
      <c r="N632" s="6"/>
      <c r="O632" s="6"/>
      <c r="P632" s="6"/>
      <c r="Q632" s="6"/>
      <c r="R632" s="6"/>
      <c r="S632" s="6"/>
      <c r="T632" s="6"/>
      <c r="U632" s="6"/>
      <c r="V632" s="6"/>
      <c r="W632" s="6"/>
      <c r="X632" s="6"/>
      <c r="Y632" s="6"/>
      <c r="Z632" s="6"/>
      <c r="AA632" s="19"/>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row>
    <row r="633">
      <c r="A633" s="6"/>
      <c r="B633" s="6"/>
      <c r="C633" s="18"/>
      <c r="D633" s="6"/>
      <c r="E633" s="6"/>
      <c r="F633" s="6"/>
      <c r="G633" s="6"/>
      <c r="H633" s="6"/>
      <c r="I633" s="6"/>
      <c r="J633" s="6"/>
      <c r="K633" s="6"/>
      <c r="L633" s="6"/>
      <c r="M633" s="6"/>
      <c r="N633" s="6"/>
      <c r="O633" s="6"/>
      <c r="P633" s="6"/>
      <c r="Q633" s="6"/>
      <c r="R633" s="6"/>
      <c r="S633" s="6"/>
      <c r="T633" s="6"/>
      <c r="U633" s="6"/>
      <c r="V633" s="6"/>
      <c r="W633" s="6"/>
      <c r="X633" s="6"/>
      <c r="Y633" s="6"/>
      <c r="Z633" s="6"/>
      <c r="AA633" s="19"/>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row>
    <row r="634">
      <c r="A634" s="6"/>
      <c r="B634" s="6"/>
      <c r="C634" s="18"/>
      <c r="D634" s="6"/>
      <c r="E634" s="6"/>
      <c r="F634" s="6"/>
      <c r="G634" s="6"/>
      <c r="H634" s="6"/>
      <c r="I634" s="6"/>
      <c r="J634" s="6"/>
      <c r="K634" s="6"/>
      <c r="L634" s="6"/>
      <c r="M634" s="6"/>
      <c r="N634" s="6"/>
      <c r="O634" s="6"/>
      <c r="P634" s="6"/>
      <c r="Q634" s="6"/>
      <c r="R634" s="6"/>
      <c r="S634" s="6"/>
      <c r="T634" s="6"/>
      <c r="U634" s="6"/>
      <c r="V634" s="6"/>
      <c r="W634" s="6"/>
      <c r="X634" s="6"/>
      <c r="Y634" s="6"/>
      <c r="Z634" s="6"/>
      <c r="AA634" s="19"/>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row>
    <row r="635">
      <c r="A635" s="6"/>
      <c r="B635" s="6"/>
      <c r="C635" s="18"/>
      <c r="D635" s="6"/>
      <c r="E635" s="6"/>
      <c r="F635" s="6"/>
      <c r="G635" s="6"/>
      <c r="H635" s="6"/>
      <c r="I635" s="6"/>
      <c r="J635" s="6"/>
      <c r="K635" s="6"/>
      <c r="L635" s="6"/>
      <c r="M635" s="6"/>
      <c r="N635" s="6"/>
      <c r="O635" s="6"/>
      <c r="P635" s="6"/>
      <c r="Q635" s="6"/>
      <c r="R635" s="6"/>
      <c r="S635" s="6"/>
      <c r="T635" s="6"/>
      <c r="U635" s="6"/>
      <c r="V635" s="6"/>
      <c r="W635" s="6"/>
      <c r="X635" s="6"/>
      <c r="Y635" s="6"/>
      <c r="Z635" s="6"/>
      <c r="AA635" s="19"/>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row>
    <row r="636">
      <c r="A636" s="6"/>
      <c r="B636" s="6"/>
      <c r="C636" s="18"/>
      <c r="D636" s="6"/>
      <c r="E636" s="6"/>
      <c r="F636" s="6"/>
      <c r="G636" s="6"/>
      <c r="H636" s="6"/>
      <c r="I636" s="6"/>
      <c r="J636" s="6"/>
      <c r="K636" s="6"/>
      <c r="L636" s="6"/>
      <c r="M636" s="6"/>
      <c r="N636" s="6"/>
      <c r="O636" s="6"/>
      <c r="P636" s="6"/>
      <c r="Q636" s="6"/>
      <c r="R636" s="6"/>
      <c r="S636" s="6"/>
      <c r="T636" s="6"/>
      <c r="U636" s="6"/>
      <c r="V636" s="6"/>
      <c r="W636" s="6"/>
      <c r="X636" s="6"/>
      <c r="Y636" s="6"/>
      <c r="Z636" s="6"/>
      <c r="AA636" s="19"/>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row>
    <row r="637">
      <c r="A637" s="6"/>
      <c r="B637" s="6"/>
      <c r="C637" s="18"/>
      <c r="D637" s="6"/>
      <c r="E637" s="6"/>
      <c r="F637" s="6"/>
      <c r="G637" s="6"/>
      <c r="H637" s="6"/>
      <c r="I637" s="6"/>
      <c r="J637" s="6"/>
      <c r="K637" s="6"/>
      <c r="L637" s="6"/>
      <c r="M637" s="6"/>
      <c r="N637" s="6"/>
      <c r="O637" s="6"/>
      <c r="P637" s="6"/>
      <c r="Q637" s="6"/>
      <c r="R637" s="6"/>
      <c r="S637" s="6"/>
      <c r="T637" s="6"/>
      <c r="U637" s="6"/>
      <c r="V637" s="6"/>
      <c r="W637" s="6"/>
      <c r="X637" s="6"/>
      <c r="Y637" s="6"/>
      <c r="Z637" s="6"/>
      <c r="AA637" s="19"/>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row>
    <row r="638">
      <c r="A638" s="6"/>
      <c r="B638" s="6"/>
      <c r="C638" s="18"/>
      <c r="D638" s="6"/>
      <c r="E638" s="6"/>
      <c r="F638" s="6"/>
      <c r="G638" s="6"/>
      <c r="H638" s="6"/>
      <c r="I638" s="6"/>
      <c r="J638" s="6"/>
      <c r="K638" s="6"/>
      <c r="L638" s="6"/>
      <c r="M638" s="6"/>
      <c r="N638" s="6"/>
      <c r="O638" s="6"/>
      <c r="P638" s="6"/>
      <c r="Q638" s="6"/>
      <c r="R638" s="6"/>
      <c r="S638" s="6"/>
      <c r="T638" s="6"/>
      <c r="U638" s="6"/>
      <c r="V638" s="6"/>
      <c r="W638" s="6"/>
      <c r="X638" s="6"/>
      <c r="Y638" s="6"/>
      <c r="Z638" s="6"/>
      <c r="AA638" s="19"/>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row>
    <row r="639">
      <c r="A639" s="6"/>
      <c r="B639" s="6"/>
      <c r="C639" s="18"/>
      <c r="D639" s="6"/>
      <c r="E639" s="6"/>
      <c r="F639" s="6"/>
      <c r="G639" s="6"/>
      <c r="H639" s="6"/>
      <c r="I639" s="6"/>
      <c r="J639" s="6"/>
      <c r="K639" s="6"/>
      <c r="L639" s="6"/>
      <c r="M639" s="6"/>
      <c r="N639" s="6"/>
      <c r="O639" s="6"/>
      <c r="P639" s="6"/>
      <c r="Q639" s="6"/>
      <c r="R639" s="6"/>
      <c r="S639" s="6"/>
      <c r="T639" s="6"/>
      <c r="U639" s="6"/>
      <c r="V639" s="6"/>
      <c r="W639" s="6"/>
      <c r="X639" s="6"/>
      <c r="Y639" s="6"/>
      <c r="Z639" s="6"/>
      <c r="AA639" s="19"/>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row>
    <row r="640">
      <c r="A640" s="6"/>
      <c r="B640" s="6"/>
      <c r="C640" s="18"/>
      <c r="D640" s="6"/>
      <c r="E640" s="6"/>
      <c r="F640" s="6"/>
      <c r="G640" s="6"/>
      <c r="H640" s="6"/>
      <c r="I640" s="6"/>
      <c r="J640" s="6"/>
      <c r="K640" s="6"/>
      <c r="L640" s="6"/>
      <c r="M640" s="6"/>
      <c r="N640" s="6"/>
      <c r="O640" s="6"/>
      <c r="P640" s="6"/>
      <c r="Q640" s="6"/>
      <c r="R640" s="6"/>
      <c r="S640" s="6"/>
      <c r="T640" s="6"/>
      <c r="U640" s="6"/>
      <c r="V640" s="6"/>
      <c r="W640" s="6"/>
      <c r="X640" s="6"/>
      <c r="Y640" s="6"/>
      <c r="Z640" s="6"/>
      <c r="AA640" s="19"/>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row>
    <row r="641">
      <c r="A641" s="6"/>
      <c r="B641" s="6"/>
      <c r="C641" s="18"/>
      <c r="D641" s="6"/>
      <c r="E641" s="6"/>
      <c r="F641" s="6"/>
      <c r="G641" s="6"/>
      <c r="H641" s="6"/>
      <c r="I641" s="6"/>
      <c r="J641" s="6"/>
      <c r="K641" s="6"/>
      <c r="L641" s="6"/>
      <c r="M641" s="6"/>
      <c r="N641" s="6"/>
      <c r="O641" s="6"/>
      <c r="P641" s="6"/>
      <c r="Q641" s="6"/>
      <c r="R641" s="6"/>
      <c r="S641" s="6"/>
      <c r="T641" s="6"/>
      <c r="U641" s="6"/>
      <c r="V641" s="6"/>
      <c r="W641" s="6"/>
      <c r="X641" s="6"/>
      <c r="Y641" s="6"/>
      <c r="Z641" s="6"/>
      <c r="AA641" s="19"/>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row>
    <row r="642">
      <c r="A642" s="6"/>
      <c r="B642" s="6"/>
      <c r="C642" s="18"/>
      <c r="D642" s="6"/>
      <c r="E642" s="6"/>
      <c r="F642" s="6"/>
      <c r="G642" s="6"/>
      <c r="H642" s="6"/>
      <c r="I642" s="6"/>
      <c r="J642" s="6"/>
      <c r="K642" s="6"/>
      <c r="L642" s="6"/>
      <c r="M642" s="6"/>
      <c r="N642" s="6"/>
      <c r="O642" s="6"/>
      <c r="P642" s="6"/>
      <c r="Q642" s="6"/>
      <c r="R642" s="6"/>
      <c r="S642" s="6"/>
      <c r="T642" s="6"/>
      <c r="U642" s="6"/>
      <c r="V642" s="6"/>
      <c r="W642" s="6"/>
      <c r="X642" s="6"/>
      <c r="Y642" s="6"/>
      <c r="Z642" s="6"/>
      <c r="AA642" s="19"/>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row>
    <row r="643">
      <c r="A643" s="6"/>
      <c r="B643" s="6"/>
      <c r="C643" s="18"/>
      <c r="D643" s="6"/>
      <c r="E643" s="6"/>
      <c r="F643" s="6"/>
      <c r="G643" s="6"/>
      <c r="H643" s="6"/>
      <c r="I643" s="6"/>
      <c r="J643" s="6"/>
      <c r="K643" s="6"/>
      <c r="L643" s="6"/>
      <c r="M643" s="6"/>
      <c r="N643" s="6"/>
      <c r="O643" s="6"/>
      <c r="P643" s="6"/>
      <c r="Q643" s="6"/>
      <c r="R643" s="6"/>
      <c r="S643" s="6"/>
      <c r="T643" s="6"/>
      <c r="U643" s="6"/>
      <c r="V643" s="6"/>
      <c r="W643" s="6"/>
      <c r="X643" s="6"/>
      <c r="Y643" s="6"/>
      <c r="Z643" s="6"/>
      <c r="AA643" s="19"/>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row>
    <row r="644">
      <c r="A644" s="6"/>
      <c r="B644" s="6"/>
      <c r="C644" s="18"/>
      <c r="D644" s="6"/>
      <c r="E644" s="6"/>
      <c r="F644" s="6"/>
      <c r="G644" s="6"/>
      <c r="H644" s="6"/>
      <c r="I644" s="6"/>
      <c r="J644" s="6"/>
      <c r="K644" s="6"/>
      <c r="L644" s="6"/>
      <c r="M644" s="6"/>
      <c r="N644" s="6"/>
      <c r="O644" s="6"/>
      <c r="P644" s="6"/>
      <c r="Q644" s="6"/>
      <c r="R644" s="6"/>
      <c r="S644" s="6"/>
      <c r="T644" s="6"/>
      <c r="U644" s="6"/>
      <c r="V644" s="6"/>
      <c r="W644" s="6"/>
      <c r="X644" s="6"/>
      <c r="Y644" s="6"/>
      <c r="Z644" s="6"/>
      <c r="AA644" s="19"/>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row>
    <row r="645">
      <c r="A645" s="6"/>
      <c r="B645" s="6"/>
      <c r="C645" s="18"/>
      <c r="D645" s="6"/>
      <c r="E645" s="6"/>
      <c r="F645" s="6"/>
      <c r="G645" s="6"/>
      <c r="H645" s="6"/>
      <c r="I645" s="6"/>
      <c r="J645" s="6"/>
      <c r="K645" s="6"/>
      <c r="L645" s="6"/>
      <c r="M645" s="6"/>
      <c r="N645" s="6"/>
      <c r="O645" s="6"/>
      <c r="P645" s="6"/>
      <c r="Q645" s="6"/>
      <c r="R645" s="6"/>
      <c r="S645" s="6"/>
      <c r="T645" s="6"/>
      <c r="U645" s="6"/>
      <c r="V645" s="6"/>
      <c r="W645" s="6"/>
      <c r="X645" s="6"/>
      <c r="Y645" s="6"/>
      <c r="Z645" s="6"/>
      <c r="AA645" s="19"/>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row>
    <row r="646">
      <c r="A646" s="6"/>
      <c r="B646" s="6"/>
      <c r="C646" s="18"/>
      <c r="D646" s="6"/>
      <c r="E646" s="6"/>
      <c r="F646" s="6"/>
      <c r="G646" s="6"/>
      <c r="H646" s="6"/>
      <c r="I646" s="6"/>
      <c r="J646" s="6"/>
      <c r="K646" s="6"/>
      <c r="L646" s="6"/>
      <c r="M646" s="6"/>
      <c r="N646" s="6"/>
      <c r="O646" s="6"/>
      <c r="P646" s="6"/>
      <c r="Q646" s="6"/>
      <c r="R646" s="6"/>
      <c r="S646" s="6"/>
      <c r="T646" s="6"/>
      <c r="U646" s="6"/>
      <c r="V646" s="6"/>
      <c r="W646" s="6"/>
      <c r="X646" s="6"/>
      <c r="Y646" s="6"/>
      <c r="Z646" s="6"/>
      <c r="AA646" s="19"/>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row>
    <row r="647">
      <c r="A647" s="6"/>
      <c r="B647" s="6"/>
      <c r="C647" s="18"/>
      <c r="D647" s="6"/>
      <c r="E647" s="6"/>
      <c r="F647" s="6"/>
      <c r="G647" s="6"/>
      <c r="H647" s="6"/>
      <c r="I647" s="6"/>
      <c r="J647" s="6"/>
      <c r="K647" s="6"/>
      <c r="L647" s="6"/>
      <c r="M647" s="6"/>
      <c r="N647" s="6"/>
      <c r="O647" s="6"/>
      <c r="P647" s="6"/>
      <c r="Q647" s="6"/>
      <c r="R647" s="6"/>
      <c r="S647" s="6"/>
      <c r="T647" s="6"/>
      <c r="U647" s="6"/>
      <c r="V647" s="6"/>
      <c r="W647" s="6"/>
      <c r="X647" s="6"/>
      <c r="Y647" s="6"/>
      <c r="Z647" s="6"/>
      <c r="AA647" s="19"/>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row>
    <row r="648">
      <c r="A648" s="6"/>
      <c r="B648" s="6"/>
      <c r="C648" s="18"/>
      <c r="D648" s="6"/>
      <c r="E648" s="6"/>
      <c r="F648" s="6"/>
      <c r="G648" s="6"/>
      <c r="H648" s="6"/>
      <c r="I648" s="6"/>
      <c r="J648" s="6"/>
      <c r="K648" s="6"/>
      <c r="L648" s="6"/>
      <c r="M648" s="6"/>
      <c r="N648" s="6"/>
      <c r="O648" s="6"/>
      <c r="P648" s="6"/>
      <c r="Q648" s="6"/>
      <c r="R648" s="6"/>
      <c r="S648" s="6"/>
      <c r="T648" s="6"/>
      <c r="U648" s="6"/>
      <c r="V648" s="6"/>
      <c r="W648" s="6"/>
      <c r="X648" s="6"/>
      <c r="Y648" s="6"/>
      <c r="Z648" s="6"/>
      <c r="AA648" s="19"/>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row>
    <row r="649">
      <c r="A649" s="6"/>
      <c r="B649" s="6"/>
      <c r="C649" s="18"/>
      <c r="D649" s="6"/>
      <c r="E649" s="6"/>
      <c r="F649" s="6"/>
      <c r="G649" s="6"/>
      <c r="H649" s="6"/>
      <c r="I649" s="6"/>
      <c r="J649" s="6"/>
      <c r="K649" s="6"/>
      <c r="L649" s="6"/>
      <c r="M649" s="6"/>
      <c r="N649" s="6"/>
      <c r="O649" s="6"/>
      <c r="P649" s="6"/>
      <c r="Q649" s="6"/>
      <c r="R649" s="6"/>
      <c r="S649" s="6"/>
      <c r="T649" s="6"/>
      <c r="U649" s="6"/>
      <c r="V649" s="6"/>
      <c r="W649" s="6"/>
      <c r="X649" s="6"/>
      <c r="Y649" s="6"/>
      <c r="Z649" s="6"/>
      <c r="AA649" s="19"/>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row>
    <row r="650">
      <c r="A650" s="6"/>
      <c r="B650" s="6"/>
      <c r="C650" s="18"/>
      <c r="D650" s="6"/>
      <c r="E650" s="6"/>
      <c r="F650" s="6"/>
      <c r="G650" s="6"/>
      <c r="H650" s="6"/>
      <c r="I650" s="6"/>
      <c r="J650" s="6"/>
      <c r="K650" s="6"/>
      <c r="L650" s="6"/>
      <c r="M650" s="6"/>
      <c r="N650" s="6"/>
      <c r="O650" s="6"/>
      <c r="P650" s="6"/>
      <c r="Q650" s="6"/>
      <c r="R650" s="6"/>
      <c r="S650" s="6"/>
      <c r="T650" s="6"/>
      <c r="U650" s="6"/>
      <c r="V650" s="6"/>
      <c r="W650" s="6"/>
      <c r="X650" s="6"/>
      <c r="Y650" s="6"/>
      <c r="Z650" s="6"/>
      <c r="AA650" s="19"/>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row>
    <row r="651">
      <c r="A651" s="6"/>
      <c r="B651" s="6"/>
      <c r="C651" s="18"/>
      <c r="D651" s="6"/>
      <c r="E651" s="6"/>
      <c r="F651" s="6"/>
      <c r="G651" s="6"/>
      <c r="H651" s="6"/>
      <c r="I651" s="6"/>
      <c r="J651" s="6"/>
      <c r="K651" s="6"/>
      <c r="L651" s="6"/>
      <c r="M651" s="6"/>
      <c r="N651" s="6"/>
      <c r="O651" s="6"/>
      <c r="P651" s="6"/>
      <c r="Q651" s="6"/>
      <c r="R651" s="6"/>
      <c r="S651" s="6"/>
      <c r="T651" s="6"/>
      <c r="U651" s="6"/>
      <c r="V651" s="6"/>
      <c r="W651" s="6"/>
      <c r="X651" s="6"/>
      <c r="Y651" s="6"/>
      <c r="Z651" s="6"/>
      <c r="AA651" s="19"/>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row>
    <row r="652">
      <c r="A652" s="6"/>
      <c r="B652" s="6"/>
      <c r="C652" s="18"/>
      <c r="D652" s="6"/>
      <c r="E652" s="6"/>
      <c r="F652" s="6"/>
      <c r="G652" s="6"/>
      <c r="H652" s="6"/>
      <c r="I652" s="6"/>
      <c r="J652" s="6"/>
      <c r="K652" s="6"/>
      <c r="L652" s="6"/>
      <c r="M652" s="6"/>
      <c r="N652" s="6"/>
      <c r="O652" s="6"/>
      <c r="P652" s="6"/>
      <c r="Q652" s="6"/>
      <c r="R652" s="6"/>
      <c r="S652" s="6"/>
      <c r="T652" s="6"/>
      <c r="U652" s="6"/>
      <c r="V652" s="6"/>
      <c r="W652" s="6"/>
      <c r="X652" s="6"/>
      <c r="Y652" s="6"/>
      <c r="Z652" s="6"/>
      <c r="AA652" s="19"/>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row>
    <row r="653">
      <c r="A653" s="6"/>
      <c r="B653" s="6"/>
      <c r="C653" s="18"/>
      <c r="D653" s="6"/>
      <c r="E653" s="6"/>
      <c r="F653" s="6"/>
      <c r="G653" s="6"/>
      <c r="H653" s="6"/>
      <c r="I653" s="6"/>
      <c r="J653" s="6"/>
      <c r="K653" s="6"/>
      <c r="L653" s="6"/>
      <c r="M653" s="6"/>
      <c r="N653" s="6"/>
      <c r="O653" s="6"/>
      <c r="P653" s="6"/>
      <c r="Q653" s="6"/>
      <c r="R653" s="6"/>
      <c r="S653" s="6"/>
      <c r="T653" s="6"/>
      <c r="U653" s="6"/>
      <c r="V653" s="6"/>
      <c r="W653" s="6"/>
      <c r="X653" s="6"/>
      <c r="Y653" s="6"/>
      <c r="Z653" s="6"/>
      <c r="AA653" s="19"/>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row>
    <row r="654">
      <c r="A654" s="6"/>
      <c r="B654" s="6"/>
      <c r="C654" s="18"/>
      <c r="D654" s="6"/>
      <c r="E654" s="6"/>
      <c r="F654" s="6"/>
      <c r="G654" s="6"/>
      <c r="H654" s="6"/>
      <c r="I654" s="6"/>
      <c r="J654" s="6"/>
      <c r="K654" s="6"/>
      <c r="L654" s="6"/>
      <c r="M654" s="6"/>
      <c r="N654" s="6"/>
      <c r="O654" s="6"/>
      <c r="P654" s="6"/>
      <c r="Q654" s="6"/>
      <c r="R654" s="6"/>
      <c r="S654" s="6"/>
      <c r="T654" s="6"/>
      <c r="U654" s="6"/>
      <c r="V654" s="6"/>
      <c r="W654" s="6"/>
      <c r="X654" s="6"/>
      <c r="Y654" s="6"/>
      <c r="Z654" s="6"/>
      <c r="AA654" s="19"/>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row>
    <row r="655">
      <c r="A655" s="6"/>
      <c r="B655" s="6"/>
      <c r="C655" s="18"/>
      <c r="D655" s="6"/>
      <c r="E655" s="6"/>
      <c r="F655" s="6"/>
      <c r="G655" s="6"/>
      <c r="H655" s="6"/>
      <c r="I655" s="6"/>
      <c r="J655" s="6"/>
      <c r="K655" s="6"/>
      <c r="L655" s="6"/>
      <c r="M655" s="6"/>
      <c r="N655" s="6"/>
      <c r="O655" s="6"/>
      <c r="P655" s="6"/>
      <c r="Q655" s="6"/>
      <c r="R655" s="6"/>
      <c r="S655" s="6"/>
      <c r="T655" s="6"/>
      <c r="U655" s="6"/>
      <c r="V655" s="6"/>
      <c r="W655" s="6"/>
      <c r="X655" s="6"/>
      <c r="Y655" s="6"/>
      <c r="Z655" s="6"/>
      <c r="AA655" s="19"/>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row>
    <row r="656">
      <c r="A656" s="6"/>
      <c r="B656" s="6"/>
      <c r="C656" s="18"/>
      <c r="D656" s="6"/>
      <c r="E656" s="6"/>
      <c r="F656" s="6"/>
      <c r="G656" s="6"/>
      <c r="H656" s="6"/>
      <c r="I656" s="6"/>
      <c r="J656" s="6"/>
      <c r="K656" s="6"/>
      <c r="L656" s="6"/>
      <c r="M656" s="6"/>
      <c r="N656" s="6"/>
      <c r="O656" s="6"/>
      <c r="P656" s="6"/>
      <c r="Q656" s="6"/>
      <c r="R656" s="6"/>
      <c r="S656" s="6"/>
      <c r="T656" s="6"/>
      <c r="U656" s="6"/>
      <c r="V656" s="6"/>
      <c r="W656" s="6"/>
      <c r="X656" s="6"/>
      <c r="Y656" s="6"/>
      <c r="Z656" s="6"/>
      <c r="AA656" s="19"/>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row>
    <row r="657">
      <c r="A657" s="6"/>
      <c r="B657" s="6"/>
      <c r="C657" s="18"/>
      <c r="D657" s="6"/>
      <c r="E657" s="6"/>
      <c r="F657" s="6"/>
      <c r="G657" s="6"/>
      <c r="H657" s="6"/>
      <c r="I657" s="6"/>
      <c r="J657" s="6"/>
      <c r="K657" s="6"/>
      <c r="L657" s="6"/>
      <c r="M657" s="6"/>
      <c r="N657" s="6"/>
      <c r="O657" s="6"/>
      <c r="P657" s="6"/>
      <c r="Q657" s="6"/>
      <c r="R657" s="6"/>
      <c r="S657" s="6"/>
      <c r="T657" s="6"/>
      <c r="U657" s="6"/>
      <c r="V657" s="6"/>
      <c r="W657" s="6"/>
      <c r="X657" s="6"/>
      <c r="Y657" s="6"/>
      <c r="Z657" s="6"/>
      <c r="AA657" s="19"/>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row>
    <row r="658">
      <c r="A658" s="6"/>
      <c r="B658" s="6"/>
      <c r="C658" s="18"/>
      <c r="D658" s="6"/>
      <c r="E658" s="6"/>
      <c r="F658" s="6"/>
      <c r="G658" s="6"/>
      <c r="H658" s="6"/>
      <c r="I658" s="6"/>
      <c r="J658" s="6"/>
      <c r="K658" s="6"/>
      <c r="L658" s="6"/>
      <c r="M658" s="6"/>
      <c r="N658" s="6"/>
      <c r="O658" s="6"/>
      <c r="P658" s="6"/>
      <c r="Q658" s="6"/>
      <c r="R658" s="6"/>
      <c r="S658" s="6"/>
      <c r="T658" s="6"/>
      <c r="U658" s="6"/>
      <c r="V658" s="6"/>
      <c r="W658" s="6"/>
      <c r="X658" s="6"/>
      <c r="Y658" s="6"/>
      <c r="Z658" s="6"/>
      <c r="AA658" s="19"/>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row>
    <row r="659">
      <c r="A659" s="6"/>
      <c r="B659" s="6"/>
      <c r="C659" s="18"/>
      <c r="D659" s="6"/>
      <c r="E659" s="6"/>
      <c r="F659" s="6"/>
      <c r="G659" s="6"/>
      <c r="H659" s="6"/>
      <c r="I659" s="6"/>
      <c r="J659" s="6"/>
      <c r="K659" s="6"/>
      <c r="L659" s="6"/>
      <c r="M659" s="6"/>
      <c r="N659" s="6"/>
      <c r="O659" s="6"/>
      <c r="P659" s="6"/>
      <c r="Q659" s="6"/>
      <c r="R659" s="6"/>
      <c r="S659" s="6"/>
      <c r="T659" s="6"/>
      <c r="U659" s="6"/>
      <c r="V659" s="6"/>
      <c r="W659" s="6"/>
      <c r="X659" s="6"/>
      <c r="Y659" s="6"/>
      <c r="Z659" s="6"/>
      <c r="AA659" s="19"/>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row>
    <row r="660">
      <c r="A660" s="6"/>
      <c r="B660" s="6"/>
      <c r="C660" s="18"/>
      <c r="D660" s="6"/>
      <c r="E660" s="6"/>
      <c r="F660" s="6"/>
      <c r="G660" s="6"/>
      <c r="H660" s="6"/>
      <c r="I660" s="6"/>
      <c r="J660" s="6"/>
      <c r="K660" s="6"/>
      <c r="L660" s="6"/>
      <c r="M660" s="6"/>
      <c r="N660" s="6"/>
      <c r="O660" s="6"/>
      <c r="P660" s="6"/>
      <c r="Q660" s="6"/>
      <c r="R660" s="6"/>
      <c r="S660" s="6"/>
      <c r="T660" s="6"/>
      <c r="U660" s="6"/>
      <c r="V660" s="6"/>
      <c r="W660" s="6"/>
      <c r="X660" s="6"/>
      <c r="Y660" s="6"/>
      <c r="Z660" s="6"/>
      <c r="AA660" s="19"/>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row>
    <row r="661">
      <c r="A661" s="6"/>
      <c r="B661" s="6"/>
      <c r="C661" s="18"/>
      <c r="D661" s="6"/>
      <c r="E661" s="6"/>
      <c r="F661" s="6"/>
      <c r="G661" s="6"/>
      <c r="H661" s="6"/>
      <c r="I661" s="6"/>
      <c r="J661" s="6"/>
      <c r="K661" s="6"/>
      <c r="L661" s="6"/>
      <c r="M661" s="6"/>
      <c r="N661" s="6"/>
      <c r="O661" s="6"/>
      <c r="P661" s="6"/>
      <c r="Q661" s="6"/>
      <c r="R661" s="6"/>
      <c r="S661" s="6"/>
      <c r="T661" s="6"/>
      <c r="U661" s="6"/>
      <c r="V661" s="6"/>
      <c r="W661" s="6"/>
      <c r="X661" s="6"/>
      <c r="Y661" s="6"/>
      <c r="Z661" s="6"/>
      <c r="AA661" s="19"/>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row>
    <row r="662">
      <c r="A662" s="6"/>
      <c r="B662" s="6"/>
      <c r="C662" s="18"/>
      <c r="D662" s="6"/>
      <c r="E662" s="6"/>
      <c r="F662" s="6"/>
      <c r="G662" s="6"/>
      <c r="H662" s="6"/>
      <c r="I662" s="6"/>
      <c r="J662" s="6"/>
      <c r="K662" s="6"/>
      <c r="L662" s="6"/>
      <c r="M662" s="6"/>
      <c r="N662" s="6"/>
      <c r="O662" s="6"/>
      <c r="P662" s="6"/>
      <c r="Q662" s="6"/>
      <c r="R662" s="6"/>
      <c r="S662" s="6"/>
      <c r="T662" s="6"/>
      <c r="U662" s="6"/>
      <c r="V662" s="6"/>
      <c r="W662" s="6"/>
      <c r="X662" s="6"/>
      <c r="Y662" s="6"/>
      <c r="Z662" s="6"/>
      <c r="AA662" s="19"/>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row>
    <row r="663">
      <c r="A663" s="6"/>
      <c r="B663" s="6"/>
      <c r="C663" s="18"/>
      <c r="D663" s="6"/>
      <c r="E663" s="6"/>
      <c r="F663" s="6"/>
      <c r="G663" s="6"/>
      <c r="H663" s="6"/>
      <c r="I663" s="6"/>
      <c r="J663" s="6"/>
      <c r="K663" s="6"/>
      <c r="L663" s="6"/>
      <c r="M663" s="6"/>
      <c r="N663" s="6"/>
      <c r="O663" s="6"/>
      <c r="P663" s="6"/>
      <c r="Q663" s="6"/>
      <c r="R663" s="6"/>
      <c r="S663" s="6"/>
      <c r="T663" s="6"/>
      <c r="U663" s="6"/>
      <c r="V663" s="6"/>
      <c r="W663" s="6"/>
      <c r="X663" s="6"/>
      <c r="Y663" s="6"/>
      <c r="Z663" s="6"/>
      <c r="AA663" s="19"/>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row>
    <row r="664">
      <c r="A664" s="6"/>
      <c r="B664" s="6"/>
      <c r="C664" s="18"/>
      <c r="D664" s="6"/>
      <c r="E664" s="6"/>
      <c r="F664" s="6"/>
      <c r="G664" s="6"/>
      <c r="H664" s="6"/>
      <c r="I664" s="6"/>
      <c r="J664" s="6"/>
      <c r="K664" s="6"/>
      <c r="L664" s="6"/>
      <c r="M664" s="6"/>
      <c r="N664" s="6"/>
      <c r="O664" s="6"/>
      <c r="P664" s="6"/>
      <c r="Q664" s="6"/>
      <c r="R664" s="6"/>
      <c r="S664" s="6"/>
      <c r="T664" s="6"/>
      <c r="U664" s="6"/>
      <c r="V664" s="6"/>
      <c r="W664" s="6"/>
      <c r="X664" s="6"/>
      <c r="Y664" s="6"/>
      <c r="Z664" s="6"/>
      <c r="AA664" s="19"/>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row>
    <row r="665">
      <c r="A665" s="6"/>
      <c r="B665" s="6"/>
      <c r="C665" s="18"/>
      <c r="D665" s="6"/>
      <c r="E665" s="6"/>
      <c r="F665" s="6"/>
      <c r="G665" s="6"/>
      <c r="H665" s="6"/>
      <c r="I665" s="6"/>
      <c r="J665" s="6"/>
      <c r="K665" s="6"/>
      <c r="L665" s="6"/>
      <c r="M665" s="6"/>
      <c r="N665" s="6"/>
      <c r="O665" s="6"/>
      <c r="P665" s="6"/>
      <c r="Q665" s="6"/>
      <c r="R665" s="6"/>
      <c r="S665" s="6"/>
      <c r="T665" s="6"/>
      <c r="U665" s="6"/>
      <c r="V665" s="6"/>
      <c r="W665" s="6"/>
      <c r="X665" s="6"/>
      <c r="Y665" s="6"/>
      <c r="Z665" s="6"/>
      <c r="AA665" s="19"/>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row>
    <row r="666">
      <c r="A666" s="6"/>
      <c r="B666" s="6"/>
      <c r="C666" s="18"/>
      <c r="D666" s="6"/>
      <c r="E666" s="6"/>
      <c r="F666" s="6"/>
      <c r="G666" s="6"/>
      <c r="H666" s="6"/>
      <c r="I666" s="6"/>
      <c r="J666" s="6"/>
      <c r="K666" s="6"/>
      <c r="L666" s="6"/>
      <c r="M666" s="6"/>
      <c r="N666" s="6"/>
      <c r="O666" s="6"/>
      <c r="P666" s="6"/>
      <c r="Q666" s="6"/>
      <c r="R666" s="6"/>
      <c r="S666" s="6"/>
      <c r="T666" s="6"/>
      <c r="U666" s="6"/>
      <c r="V666" s="6"/>
      <c r="W666" s="6"/>
      <c r="X666" s="6"/>
      <c r="Y666" s="6"/>
      <c r="Z666" s="6"/>
      <c r="AA666" s="19"/>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row>
    <row r="667">
      <c r="A667" s="6"/>
      <c r="B667" s="6"/>
      <c r="C667" s="18"/>
      <c r="D667" s="6"/>
      <c r="E667" s="6"/>
      <c r="F667" s="6"/>
      <c r="G667" s="6"/>
      <c r="H667" s="6"/>
      <c r="I667" s="6"/>
      <c r="J667" s="6"/>
      <c r="K667" s="6"/>
      <c r="L667" s="6"/>
      <c r="M667" s="6"/>
      <c r="N667" s="6"/>
      <c r="O667" s="6"/>
      <c r="P667" s="6"/>
      <c r="Q667" s="6"/>
      <c r="R667" s="6"/>
      <c r="S667" s="6"/>
      <c r="T667" s="6"/>
      <c r="U667" s="6"/>
      <c r="V667" s="6"/>
      <c r="W667" s="6"/>
      <c r="X667" s="6"/>
      <c r="Y667" s="6"/>
      <c r="Z667" s="6"/>
      <c r="AA667" s="19"/>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row>
    <row r="668">
      <c r="A668" s="6"/>
      <c r="B668" s="6"/>
      <c r="C668" s="18"/>
      <c r="D668" s="6"/>
      <c r="E668" s="6"/>
      <c r="F668" s="6"/>
      <c r="G668" s="6"/>
      <c r="H668" s="6"/>
      <c r="I668" s="6"/>
      <c r="J668" s="6"/>
      <c r="K668" s="6"/>
      <c r="L668" s="6"/>
      <c r="M668" s="6"/>
      <c r="N668" s="6"/>
      <c r="O668" s="6"/>
      <c r="P668" s="6"/>
      <c r="Q668" s="6"/>
      <c r="R668" s="6"/>
      <c r="S668" s="6"/>
      <c r="T668" s="6"/>
      <c r="U668" s="6"/>
      <c r="V668" s="6"/>
      <c r="W668" s="6"/>
      <c r="X668" s="6"/>
      <c r="Y668" s="6"/>
      <c r="Z668" s="6"/>
      <c r="AA668" s="19"/>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row>
    <row r="669">
      <c r="A669" s="6"/>
      <c r="B669" s="6"/>
      <c r="C669" s="18"/>
      <c r="D669" s="6"/>
      <c r="E669" s="6"/>
      <c r="F669" s="6"/>
      <c r="G669" s="6"/>
      <c r="H669" s="6"/>
      <c r="I669" s="6"/>
      <c r="J669" s="6"/>
      <c r="K669" s="6"/>
      <c r="L669" s="6"/>
      <c r="M669" s="6"/>
      <c r="N669" s="6"/>
      <c r="O669" s="6"/>
      <c r="P669" s="6"/>
      <c r="Q669" s="6"/>
      <c r="R669" s="6"/>
      <c r="S669" s="6"/>
      <c r="T669" s="6"/>
      <c r="U669" s="6"/>
      <c r="V669" s="6"/>
      <c r="W669" s="6"/>
      <c r="X669" s="6"/>
      <c r="Y669" s="6"/>
      <c r="Z669" s="6"/>
      <c r="AA669" s="19"/>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row>
    <row r="670">
      <c r="A670" s="6"/>
      <c r="B670" s="6"/>
      <c r="C670" s="18"/>
      <c r="D670" s="6"/>
      <c r="E670" s="6"/>
      <c r="F670" s="6"/>
      <c r="G670" s="6"/>
      <c r="H670" s="6"/>
      <c r="I670" s="6"/>
      <c r="J670" s="6"/>
      <c r="K670" s="6"/>
      <c r="L670" s="6"/>
      <c r="M670" s="6"/>
      <c r="N670" s="6"/>
      <c r="O670" s="6"/>
      <c r="P670" s="6"/>
      <c r="Q670" s="6"/>
      <c r="R670" s="6"/>
      <c r="S670" s="6"/>
      <c r="T670" s="6"/>
      <c r="U670" s="6"/>
      <c r="V670" s="6"/>
      <c r="W670" s="6"/>
      <c r="X670" s="6"/>
      <c r="Y670" s="6"/>
      <c r="Z670" s="6"/>
      <c r="AA670" s="19"/>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row>
    <row r="671">
      <c r="A671" s="6"/>
      <c r="B671" s="6"/>
      <c r="C671" s="18"/>
      <c r="D671" s="6"/>
      <c r="E671" s="6"/>
      <c r="F671" s="6"/>
      <c r="G671" s="6"/>
      <c r="H671" s="6"/>
      <c r="I671" s="6"/>
      <c r="J671" s="6"/>
      <c r="K671" s="6"/>
      <c r="L671" s="6"/>
      <c r="M671" s="6"/>
      <c r="N671" s="6"/>
      <c r="O671" s="6"/>
      <c r="P671" s="6"/>
      <c r="Q671" s="6"/>
      <c r="R671" s="6"/>
      <c r="S671" s="6"/>
      <c r="T671" s="6"/>
      <c r="U671" s="6"/>
      <c r="V671" s="6"/>
      <c r="W671" s="6"/>
      <c r="X671" s="6"/>
      <c r="Y671" s="6"/>
      <c r="Z671" s="6"/>
      <c r="AA671" s="19"/>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row>
    <row r="672">
      <c r="A672" s="6"/>
      <c r="B672" s="6"/>
      <c r="C672" s="18"/>
      <c r="D672" s="6"/>
      <c r="E672" s="6"/>
      <c r="F672" s="6"/>
      <c r="G672" s="6"/>
      <c r="H672" s="6"/>
      <c r="I672" s="6"/>
      <c r="J672" s="6"/>
      <c r="K672" s="6"/>
      <c r="L672" s="6"/>
      <c r="M672" s="6"/>
      <c r="N672" s="6"/>
      <c r="O672" s="6"/>
      <c r="P672" s="6"/>
      <c r="Q672" s="6"/>
      <c r="R672" s="6"/>
      <c r="S672" s="6"/>
      <c r="T672" s="6"/>
      <c r="U672" s="6"/>
      <c r="V672" s="6"/>
      <c r="W672" s="6"/>
      <c r="X672" s="6"/>
      <c r="Y672" s="6"/>
      <c r="Z672" s="6"/>
      <c r="AA672" s="19"/>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row>
    <row r="673">
      <c r="A673" s="6"/>
      <c r="B673" s="6"/>
      <c r="C673" s="18"/>
      <c r="D673" s="6"/>
      <c r="E673" s="6"/>
      <c r="F673" s="6"/>
      <c r="G673" s="6"/>
      <c r="H673" s="6"/>
      <c r="I673" s="6"/>
      <c r="J673" s="6"/>
      <c r="K673" s="6"/>
      <c r="L673" s="6"/>
      <c r="M673" s="6"/>
      <c r="N673" s="6"/>
      <c r="O673" s="6"/>
      <c r="P673" s="6"/>
      <c r="Q673" s="6"/>
      <c r="R673" s="6"/>
      <c r="S673" s="6"/>
      <c r="T673" s="6"/>
      <c r="U673" s="6"/>
      <c r="V673" s="6"/>
      <c r="W673" s="6"/>
      <c r="X673" s="6"/>
      <c r="Y673" s="6"/>
      <c r="Z673" s="6"/>
      <c r="AA673" s="19"/>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row>
    <row r="674">
      <c r="A674" s="6"/>
      <c r="B674" s="6"/>
      <c r="C674" s="18"/>
      <c r="D674" s="6"/>
      <c r="E674" s="6"/>
      <c r="F674" s="6"/>
      <c r="G674" s="6"/>
      <c r="H674" s="6"/>
      <c r="I674" s="6"/>
      <c r="J674" s="6"/>
      <c r="K674" s="6"/>
      <c r="L674" s="6"/>
      <c r="M674" s="6"/>
      <c r="N674" s="6"/>
      <c r="O674" s="6"/>
      <c r="P674" s="6"/>
      <c r="Q674" s="6"/>
      <c r="R674" s="6"/>
      <c r="S674" s="6"/>
      <c r="T674" s="6"/>
      <c r="U674" s="6"/>
      <c r="V674" s="6"/>
      <c r="W674" s="6"/>
      <c r="X674" s="6"/>
      <c r="Y674" s="6"/>
      <c r="Z674" s="6"/>
      <c r="AA674" s="19"/>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row>
    <row r="675">
      <c r="A675" s="6"/>
      <c r="B675" s="6"/>
      <c r="C675" s="18"/>
      <c r="D675" s="6"/>
      <c r="E675" s="6"/>
      <c r="F675" s="6"/>
      <c r="G675" s="6"/>
      <c r="H675" s="6"/>
      <c r="I675" s="6"/>
      <c r="J675" s="6"/>
      <c r="K675" s="6"/>
      <c r="L675" s="6"/>
      <c r="M675" s="6"/>
      <c r="N675" s="6"/>
      <c r="O675" s="6"/>
      <c r="P675" s="6"/>
      <c r="Q675" s="6"/>
      <c r="R675" s="6"/>
      <c r="S675" s="6"/>
      <c r="T675" s="6"/>
      <c r="U675" s="6"/>
      <c r="V675" s="6"/>
      <c r="W675" s="6"/>
      <c r="X675" s="6"/>
      <c r="Y675" s="6"/>
      <c r="Z675" s="6"/>
      <c r="AA675" s="19"/>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row>
    <row r="676">
      <c r="A676" s="6"/>
      <c r="B676" s="6"/>
      <c r="C676" s="18"/>
      <c r="D676" s="6"/>
      <c r="E676" s="6"/>
      <c r="F676" s="6"/>
      <c r="G676" s="6"/>
      <c r="H676" s="6"/>
      <c r="I676" s="6"/>
      <c r="J676" s="6"/>
      <c r="K676" s="6"/>
      <c r="L676" s="6"/>
      <c r="M676" s="6"/>
      <c r="N676" s="6"/>
      <c r="O676" s="6"/>
      <c r="P676" s="6"/>
      <c r="Q676" s="6"/>
      <c r="R676" s="6"/>
      <c r="S676" s="6"/>
      <c r="T676" s="6"/>
      <c r="U676" s="6"/>
      <c r="V676" s="6"/>
      <c r="W676" s="6"/>
      <c r="X676" s="6"/>
      <c r="Y676" s="6"/>
      <c r="Z676" s="6"/>
      <c r="AA676" s="19"/>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row>
    <row r="677">
      <c r="A677" s="6"/>
      <c r="B677" s="6"/>
      <c r="C677" s="18"/>
      <c r="D677" s="6"/>
      <c r="E677" s="6"/>
      <c r="F677" s="6"/>
      <c r="G677" s="6"/>
      <c r="H677" s="6"/>
      <c r="I677" s="6"/>
      <c r="J677" s="6"/>
      <c r="K677" s="6"/>
      <c r="L677" s="6"/>
      <c r="M677" s="6"/>
      <c r="N677" s="6"/>
      <c r="O677" s="6"/>
      <c r="P677" s="6"/>
      <c r="Q677" s="6"/>
      <c r="R677" s="6"/>
      <c r="S677" s="6"/>
      <c r="T677" s="6"/>
      <c r="U677" s="6"/>
      <c r="V677" s="6"/>
      <c r="W677" s="6"/>
      <c r="X677" s="6"/>
      <c r="Y677" s="6"/>
      <c r="Z677" s="6"/>
      <c r="AA677" s="19"/>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row>
    <row r="678">
      <c r="A678" s="6"/>
      <c r="B678" s="6"/>
      <c r="C678" s="18"/>
      <c r="D678" s="6"/>
      <c r="E678" s="6"/>
      <c r="F678" s="6"/>
      <c r="G678" s="6"/>
      <c r="H678" s="6"/>
      <c r="I678" s="6"/>
      <c r="J678" s="6"/>
      <c r="K678" s="6"/>
      <c r="L678" s="6"/>
      <c r="M678" s="6"/>
      <c r="N678" s="6"/>
      <c r="O678" s="6"/>
      <c r="P678" s="6"/>
      <c r="Q678" s="6"/>
      <c r="R678" s="6"/>
      <c r="S678" s="6"/>
      <c r="T678" s="6"/>
      <c r="U678" s="6"/>
      <c r="V678" s="6"/>
      <c r="W678" s="6"/>
      <c r="X678" s="6"/>
      <c r="Y678" s="6"/>
      <c r="Z678" s="6"/>
      <c r="AA678" s="19"/>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row>
    <row r="679">
      <c r="A679" s="6"/>
      <c r="B679" s="6"/>
      <c r="C679" s="18"/>
      <c r="D679" s="6"/>
      <c r="E679" s="6"/>
      <c r="F679" s="6"/>
      <c r="G679" s="6"/>
      <c r="H679" s="6"/>
      <c r="I679" s="6"/>
      <c r="J679" s="6"/>
      <c r="K679" s="6"/>
      <c r="L679" s="6"/>
      <c r="M679" s="6"/>
      <c r="N679" s="6"/>
      <c r="O679" s="6"/>
      <c r="P679" s="6"/>
      <c r="Q679" s="6"/>
      <c r="R679" s="6"/>
      <c r="S679" s="6"/>
      <c r="T679" s="6"/>
      <c r="U679" s="6"/>
      <c r="V679" s="6"/>
      <c r="W679" s="6"/>
      <c r="X679" s="6"/>
      <c r="Y679" s="6"/>
      <c r="Z679" s="6"/>
      <c r="AA679" s="19"/>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row>
    <row r="680">
      <c r="A680" s="6"/>
      <c r="B680" s="6"/>
      <c r="C680" s="18"/>
      <c r="D680" s="6"/>
      <c r="E680" s="6"/>
      <c r="F680" s="6"/>
      <c r="G680" s="6"/>
      <c r="H680" s="6"/>
      <c r="I680" s="6"/>
      <c r="J680" s="6"/>
      <c r="K680" s="6"/>
      <c r="L680" s="6"/>
      <c r="M680" s="6"/>
      <c r="N680" s="6"/>
      <c r="O680" s="6"/>
      <c r="P680" s="6"/>
      <c r="Q680" s="6"/>
      <c r="R680" s="6"/>
      <c r="S680" s="6"/>
      <c r="T680" s="6"/>
      <c r="U680" s="6"/>
      <c r="V680" s="6"/>
      <c r="W680" s="6"/>
      <c r="X680" s="6"/>
      <c r="Y680" s="6"/>
      <c r="Z680" s="6"/>
      <c r="AA680" s="19"/>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row>
    <row r="681">
      <c r="A681" s="6"/>
      <c r="B681" s="6"/>
      <c r="C681" s="18"/>
      <c r="D681" s="6"/>
      <c r="E681" s="6"/>
      <c r="F681" s="6"/>
      <c r="G681" s="6"/>
      <c r="H681" s="6"/>
      <c r="I681" s="6"/>
      <c r="J681" s="6"/>
      <c r="K681" s="6"/>
      <c r="L681" s="6"/>
      <c r="M681" s="6"/>
      <c r="N681" s="6"/>
      <c r="O681" s="6"/>
      <c r="P681" s="6"/>
      <c r="Q681" s="6"/>
      <c r="R681" s="6"/>
      <c r="S681" s="6"/>
      <c r="T681" s="6"/>
      <c r="U681" s="6"/>
      <c r="V681" s="6"/>
      <c r="W681" s="6"/>
      <c r="X681" s="6"/>
      <c r="Y681" s="6"/>
      <c r="Z681" s="6"/>
      <c r="AA681" s="19"/>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row>
    <row r="682">
      <c r="A682" s="6"/>
      <c r="B682" s="6"/>
      <c r="C682" s="18"/>
      <c r="D682" s="6"/>
      <c r="E682" s="6"/>
      <c r="F682" s="6"/>
      <c r="G682" s="6"/>
      <c r="H682" s="6"/>
      <c r="I682" s="6"/>
      <c r="J682" s="6"/>
      <c r="K682" s="6"/>
      <c r="L682" s="6"/>
      <c r="M682" s="6"/>
      <c r="N682" s="6"/>
      <c r="O682" s="6"/>
      <c r="P682" s="6"/>
      <c r="Q682" s="6"/>
      <c r="R682" s="6"/>
      <c r="S682" s="6"/>
      <c r="T682" s="6"/>
      <c r="U682" s="6"/>
      <c r="V682" s="6"/>
      <c r="W682" s="6"/>
      <c r="X682" s="6"/>
      <c r="Y682" s="6"/>
      <c r="Z682" s="6"/>
      <c r="AA682" s="19"/>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row>
    <row r="683">
      <c r="A683" s="6"/>
      <c r="B683" s="6"/>
      <c r="C683" s="18"/>
      <c r="D683" s="6"/>
      <c r="E683" s="6"/>
      <c r="F683" s="6"/>
      <c r="G683" s="6"/>
      <c r="H683" s="6"/>
      <c r="I683" s="6"/>
      <c r="J683" s="6"/>
      <c r="K683" s="6"/>
      <c r="L683" s="6"/>
      <c r="M683" s="6"/>
      <c r="N683" s="6"/>
      <c r="O683" s="6"/>
      <c r="P683" s="6"/>
      <c r="Q683" s="6"/>
      <c r="R683" s="6"/>
      <c r="S683" s="6"/>
      <c r="T683" s="6"/>
      <c r="U683" s="6"/>
      <c r="V683" s="6"/>
      <c r="W683" s="6"/>
      <c r="X683" s="6"/>
      <c r="Y683" s="6"/>
      <c r="Z683" s="6"/>
      <c r="AA683" s="19"/>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row>
    <row r="684">
      <c r="A684" s="6"/>
      <c r="B684" s="6"/>
      <c r="C684" s="18"/>
      <c r="D684" s="6"/>
      <c r="E684" s="6"/>
      <c r="F684" s="6"/>
      <c r="G684" s="6"/>
      <c r="H684" s="6"/>
      <c r="I684" s="6"/>
      <c r="J684" s="6"/>
      <c r="K684" s="6"/>
      <c r="L684" s="6"/>
      <c r="M684" s="6"/>
      <c r="N684" s="6"/>
      <c r="O684" s="6"/>
      <c r="P684" s="6"/>
      <c r="Q684" s="6"/>
      <c r="R684" s="6"/>
      <c r="S684" s="6"/>
      <c r="T684" s="6"/>
      <c r="U684" s="6"/>
      <c r="V684" s="6"/>
      <c r="W684" s="6"/>
      <c r="X684" s="6"/>
      <c r="Y684" s="6"/>
      <c r="Z684" s="6"/>
      <c r="AA684" s="19"/>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row>
    <row r="685">
      <c r="A685" s="6"/>
      <c r="B685" s="6"/>
      <c r="C685" s="18"/>
      <c r="D685" s="6"/>
      <c r="E685" s="6"/>
      <c r="F685" s="6"/>
      <c r="G685" s="6"/>
      <c r="H685" s="6"/>
      <c r="I685" s="6"/>
      <c r="J685" s="6"/>
      <c r="K685" s="6"/>
      <c r="L685" s="6"/>
      <c r="M685" s="6"/>
      <c r="N685" s="6"/>
      <c r="O685" s="6"/>
      <c r="P685" s="6"/>
      <c r="Q685" s="6"/>
      <c r="R685" s="6"/>
      <c r="S685" s="6"/>
      <c r="T685" s="6"/>
      <c r="U685" s="6"/>
      <c r="V685" s="6"/>
      <c r="W685" s="6"/>
      <c r="X685" s="6"/>
      <c r="Y685" s="6"/>
      <c r="Z685" s="6"/>
      <c r="AA685" s="19"/>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row>
    <row r="686">
      <c r="A686" s="6"/>
      <c r="B686" s="6"/>
      <c r="C686" s="18"/>
      <c r="D686" s="6"/>
      <c r="E686" s="6"/>
      <c r="F686" s="6"/>
      <c r="G686" s="6"/>
      <c r="H686" s="6"/>
      <c r="I686" s="6"/>
      <c r="J686" s="6"/>
      <c r="K686" s="6"/>
      <c r="L686" s="6"/>
      <c r="M686" s="6"/>
      <c r="N686" s="6"/>
      <c r="O686" s="6"/>
      <c r="P686" s="6"/>
      <c r="Q686" s="6"/>
      <c r="R686" s="6"/>
      <c r="S686" s="6"/>
      <c r="T686" s="6"/>
      <c r="U686" s="6"/>
      <c r="V686" s="6"/>
      <c r="W686" s="6"/>
      <c r="X686" s="6"/>
      <c r="Y686" s="6"/>
      <c r="Z686" s="6"/>
      <c r="AA686" s="19"/>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row>
    <row r="687">
      <c r="A687" s="6"/>
      <c r="B687" s="6"/>
      <c r="C687" s="18"/>
      <c r="D687" s="6"/>
      <c r="E687" s="6"/>
      <c r="F687" s="6"/>
      <c r="G687" s="6"/>
      <c r="H687" s="6"/>
      <c r="I687" s="6"/>
      <c r="J687" s="6"/>
      <c r="K687" s="6"/>
      <c r="L687" s="6"/>
      <c r="M687" s="6"/>
      <c r="N687" s="6"/>
      <c r="O687" s="6"/>
      <c r="P687" s="6"/>
      <c r="Q687" s="6"/>
      <c r="R687" s="6"/>
      <c r="S687" s="6"/>
      <c r="T687" s="6"/>
      <c r="U687" s="6"/>
      <c r="V687" s="6"/>
      <c r="W687" s="6"/>
      <c r="X687" s="6"/>
      <c r="Y687" s="6"/>
      <c r="Z687" s="6"/>
      <c r="AA687" s="19"/>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row>
    <row r="688">
      <c r="A688" s="6"/>
      <c r="B688" s="6"/>
      <c r="C688" s="18"/>
      <c r="D688" s="6"/>
      <c r="E688" s="6"/>
      <c r="F688" s="6"/>
      <c r="G688" s="6"/>
      <c r="H688" s="6"/>
      <c r="I688" s="6"/>
      <c r="J688" s="6"/>
      <c r="K688" s="6"/>
      <c r="L688" s="6"/>
      <c r="M688" s="6"/>
      <c r="N688" s="6"/>
      <c r="O688" s="6"/>
      <c r="P688" s="6"/>
      <c r="Q688" s="6"/>
      <c r="R688" s="6"/>
      <c r="S688" s="6"/>
      <c r="T688" s="6"/>
      <c r="U688" s="6"/>
      <c r="V688" s="6"/>
      <c r="W688" s="6"/>
      <c r="X688" s="6"/>
      <c r="Y688" s="6"/>
      <c r="Z688" s="6"/>
      <c r="AA688" s="19"/>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row>
    <row r="689">
      <c r="A689" s="6"/>
      <c r="B689" s="6"/>
      <c r="C689" s="18"/>
      <c r="D689" s="6"/>
      <c r="E689" s="6"/>
      <c r="F689" s="6"/>
      <c r="G689" s="6"/>
      <c r="H689" s="6"/>
      <c r="I689" s="6"/>
      <c r="J689" s="6"/>
      <c r="K689" s="6"/>
      <c r="L689" s="6"/>
      <c r="M689" s="6"/>
      <c r="N689" s="6"/>
      <c r="O689" s="6"/>
      <c r="P689" s="6"/>
      <c r="Q689" s="6"/>
      <c r="R689" s="6"/>
      <c r="S689" s="6"/>
      <c r="T689" s="6"/>
      <c r="U689" s="6"/>
      <c r="V689" s="6"/>
      <c r="W689" s="6"/>
      <c r="X689" s="6"/>
      <c r="Y689" s="6"/>
      <c r="Z689" s="6"/>
      <c r="AA689" s="19"/>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row>
    <row r="690">
      <c r="A690" s="6"/>
      <c r="B690" s="6"/>
      <c r="C690" s="18"/>
      <c r="D690" s="6"/>
      <c r="E690" s="6"/>
      <c r="F690" s="6"/>
      <c r="G690" s="6"/>
      <c r="H690" s="6"/>
      <c r="I690" s="6"/>
      <c r="J690" s="6"/>
      <c r="K690" s="6"/>
      <c r="L690" s="6"/>
      <c r="M690" s="6"/>
      <c r="N690" s="6"/>
      <c r="O690" s="6"/>
      <c r="P690" s="6"/>
      <c r="Q690" s="6"/>
      <c r="R690" s="6"/>
      <c r="S690" s="6"/>
      <c r="T690" s="6"/>
      <c r="U690" s="6"/>
      <c r="V690" s="6"/>
      <c r="W690" s="6"/>
      <c r="X690" s="6"/>
      <c r="Y690" s="6"/>
      <c r="Z690" s="6"/>
      <c r="AA690" s="19"/>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row>
    <row r="691">
      <c r="A691" s="6"/>
      <c r="B691" s="6"/>
      <c r="C691" s="18"/>
      <c r="D691" s="6"/>
      <c r="E691" s="6"/>
      <c r="F691" s="6"/>
      <c r="G691" s="6"/>
      <c r="H691" s="6"/>
      <c r="I691" s="6"/>
      <c r="J691" s="6"/>
      <c r="K691" s="6"/>
      <c r="L691" s="6"/>
      <c r="M691" s="6"/>
      <c r="N691" s="6"/>
      <c r="O691" s="6"/>
      <c r="P691" s="6"/>
      <c r="Q691" s="6"/>
      <c r="R691" s="6"/>
      <c r="S691" s="6"/>
      <c r="T691" s="6"/>
      <c r="U691" s="6"/>
      <c r="V691" s="6"/>
      <c r="W691" s="6"/>
      <c r="X691" s="6"/>
      <c r="Y691" s="6"/>
      <c r="Z691" s="6"/>
      <c r="AA691" s="19"/>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row>
    <row r="692">
      <c r="A692" s="6"/>
      <c r="B692" s="6"/>
      <c r="C692" s="18"/>
      <c r="D692" s="6"/>
      <c r="E692" s="6"/>
      <c r="F692" s="6"/>
      <c r="G692" s="6"/>
      <c r="H692" s="6"/>
      <c r="I692" s="6"/>
      <c r="J692" s="6"/>
      <c r="K692" s="6"/>
      <c r="L692" s="6"/>
      <c r="M692" s="6"/>
      <c r="N692" s="6"/>
      <c r="O692" s="6"/>
      <c r="P692" s="6"/>
      <c r="Q692" s="6"/>
      <c r="R692" s="6"/>
      <c r="S692" s="6"/>
      <c r="T692" s="6"/>
      <c r="U692" s="6"/>
      <c r="V692" s="6"/>
      <c r="W692" s="6"/>
      <c r="X692" s="6"/>
      <c r="Y692" s="6"/>
      <c r="Z692" s="6"/>
      <c r="AA692" s="19"/>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row>
    <row r="693">
      <c r="A693" s="6"/>
      <c r="B693" s="6"/>
      <c r="C693" s="18"/>
      <c r="D693" s="6"/>
      <c r="E693" s="6"/>
      <c r="F693" s="6"/>
      <c r="G693" s="6"/>
      <c r="H693" s="6"/>
      <c r="I693" s="6"/>
      <c r="J693" s="6"/>
      <c r="K693" s="6"/>
      <c r="L693" s="6"/>
      <c r="M693" s="6"/>
      <c r="N693" s="6"/>
      <c r="O693" s="6"/>
      <c r="P693" s="6"/>
      <c r="Q693" s="6"/>
      <c r="R693" s="6"/>
      <c r="S693" s="6"/>
      <c r="T693" s="6"/>
      <c r="U693" s="6"/>
      <c r="V693" s="6"/>
      <c r="W693" s="6"/>
      <c r="X693" s="6"/>
      <c r="Y693" s="6"/>
      <c r="Z693" s="6"/>
      <c r="AA693" s="19"/>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row>
    <row r="694">
      <c r="A694" s="6"/>
      <c r="B694" s="6"/>
      <c r="C694" s="18"/>
      <c r="D694" s="6"/>
      <c r="E694" s="6"/>
      <c r="F694" s="6"/>
      <c r="G694" s="6"/>
      <c r="H694" s="6"/>
      <c r="I694" s="6"/>
      <c r="J694" s="6"/>
      <c r="K694" s="6"/>
      <c r="L694" s="6"/>
      <c r="M694" s="6"/>
      <c r="N694" s="6"/>
      <c r="O694" s="6"/>
      <c r="P694" s="6"/>
      <c r="Q694" s="6"/>
      <c r="R694" s="6"/>
      <c r="S694" s="6"/>
      <c r="T694" s="6"/>
      <c r="U694" s="6"/>
      <c r="V694" s="6"/>
      <c r="W694" s="6"/>
      <c r="X694" s="6"/>
      <c r="Y694" s="6"/>
      <c r="Z694" s="6"/>
      <c r="AA694" s="19"/>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row>
    <row r="695">
      <c r="A695" s="6"/>
      <c r="B695" s="6"/>
      <c r="C695" s="18"/>
      <c r="D695" s="6"/>
      <c r="E695" s="6"/>
      <c r="F695" s="6"/>
      <c r="G695" s="6"/>
      <c r="H695" s="6"/>
      <c r="I695" s="6"/>
      <c r="J695" s="6"/>
      <c r="K695" s="6"/>
      <c r="L695" s="6"/>
      <c r="M695" s="6"/>
      <c r="N695" s="6"/>
      <c r="O695" s="6"/>
      <c r="P695" s="6"/>
      <c r="Q695" s="6"/>
      <c r="R695" s="6"/>
      <c r="S695" s="6"/>
      <c r="T695" s="6"/>
      <c r="U695" s="6"/>
      <c r="V695" s="6"/>
      <c r="W695" s="6"/>
      <c r="X695" s="6"/>
      <c r="Y695" s="6"/>
      <c r="Z695" s="6"/>
      <c r="AA695" s="19"/>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row>
    <row r="696">
      <c r="A696" s="6"/>
      <c r="B696" s="6"/>
      <c r="C696" s="18"/>
      <c r="D696" s="6"/>
      <c r="E696" s="6"/>
      <c r="F696" s="6"/>
      <c r="G696" s="6"/>
      <c r="H696" s="6"/>
      <c r="I696" s="6"/>
      <c r="J696" s="6"/>
      <c r="K696" s="6"/>
      <c r="L696" s="6"/>
      <c r="M696" s="6"/>
      <c r="N696" s="6"/>
      <c r="O696" s="6"/>
      <c r="P696" s="6"/>
      <c r="Q696" s="6"/>
      <c r="R696" s="6"/>
      <c r="S696" s="6"/>
      <c r="T696" s="6"/>
      <c r="U696" s="6"/>
      <c r="V696" s="6"/>
      <c r="W696" s="6"/>
      <c r="X696" s="6"/>
      <c r="Y696" s="6"/>
      <c r="Z696" s="6"/>
      <c r="AA696" s="19"/>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row>
    <row r="697">
      <c r="A697" s="6"/>
      <c r="B697" s="6"/>
      <c r="C697" s="18"/>
      <c r="D697" s="6"/>
      <c r="E697" s="6"/>
      <c r="F697" s="6"/>
      <c r="G697" s="6"/>
      <c r="H697" s="6"/>
      <c r="I697" s="6"/>
      <c r="J697" s="6"/>
      <c r="K697" s="6"/>
      <c r="L697" s="6"/>
      <c r="M697" s="6"/>
      <c r="N697" s="6"/>
      <c r="O697" s="6"/>
      <c r="P697" s="6"/>
      <c r="Q697" s="6"/>
      <c r="R697" s="6"/>
      <c r="S697" s="6"/>
      <c r="T697" s="6"/>
      <c r="U697" s="6"/>
      <c r="V697" s="6"/>
      <c r="W697" s="6"/>
      <c r="X697" s="6"/>
      <c r="Y697" s="6"/>
      <c r="Z697" s="6"/>
      <c r="AA697" s="19"/>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row>
    <row r="698">
      <c r="A698" s="6"/>
      <c r="B698" s="6"/>
      <c r="C698" s="18"/>
      <c r="D698" s="6"/>
      <c r="E698" s="6"/>
      <c r="F698" s="6"/>
      <c r="G698" s="6"/>
      <c r="H698" s="6"/>
      <c r="I698" s="6"/>
      <c r="J698" s="6"/>
      <c r="K698" s="6"/>
      <c r="L698" s="6"/>
      <c r="M698" s="6"/>
      <c r="N698" s="6"/>
      <c r="O698" s="6"/>
      <c r="P698" s="6"/>
      <c r="Q698" s="6"/>
      <c r="R698" s="6"/>
      <c r="S698" s="6"/>
      <c r="T698" s="6"/>
      <c r="U698" s="6"/>
      <c r="V698" s="6"/>
      <c r="W698" s="6"/>
      <c r="X698" s="6"/>
      <c r="Y698" s="6"/>
      <c r="Z698" s="6"/>
      <c r="AA698" s="19"/>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row>
    <row r="699">
      <c r="A699" s="6"/>
      <c r="B699" s="6"/>
      <c r="C699" s="18"/>
      <c r="D699" s="6"/>
      <c r="E699" s="6"/>
      <c r="F699" s="6"/>
      <c r="G699" s="6"/>
      <c r="H699" s="6"/>
      <c r="I699" s="6"/>
      <c r="J699" s="6"/>
      <c r="K699" s="6"/>
      <c r="L699" s="6"/>
      <c r="M699" s="6"/>
      <c r="N699" s="6"/>
      <c r="O699" s="6"/>
      <c r="P699" s="6"/>
      <c r="Q699" s="6"/>
      <c r="R699" s="6"/>
      <c r="S699" s="6"/>
      <c r="T699" s="6"/>
      <c r="U699" s="6"/>
      <c r="V699" s="6"/>
      <c r="W699" s="6"/>
      <c r="X699" s="6"/>
      <c r="Y699" s="6"/>
      <c r="Z699" s="6"/>
      <c r="AA699" s="19"/>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row>
    <row r="700">
      <c r="A700" s="6"/>
      <c r="B700" s="6"/>
      <c r="C700" s="18"/>
      <c r="D700" s="6"/>
      <c r="E700" s="6"/>
      <c r="F700" s="6"/>
      <c r="G700" s="6"/>
      <c r="H700" s="6"/>
      <c r="I700" s="6"/>
      <c r="J700" s="6"/>
      <c r="K700" s="6"/>
      <c r="L700" s="6"/>
      <c r="M700" s="6"/>
      <c r="N700" s="6"/>
      <c r="O700" s="6"/>
      <c r="P700" s="6"/>
      <c r="Q700" s="6"/>
      <c r="R700" s="6"/>
      <c r="S700" s="6"/>
      <c r="T700" s="6"/>
      <c r="U700" s="6"/>
      <c r="V700" s="6"/>
      <c r="W700" s="6"/>
      <c r="X700" s="6"/>
      <c r="Y700" s="6"/>
      <c r="Z700" s="6"/>
      <c r="AA700" s="19"/>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row>
    <row r="701">
      <c r="A701" s="6"/>
      <c r="B701" s="6"/>
      <c r="C701" s="18"/>
      <c r="D701" s="6"/>
      <c r="E701" s="6"/>
      <c r="F701" s="6"/>
      <c r="G701" s="6"/>
      <c r="H701" s="6"/>
      <c r="I701" s="6"/>
      <c r="J701" s="6"/>
      <c r="K701" s="6"/>
      <c r="L701" s="6"/>
      <c r="M701" s="6"/>
      <c r="N701" s="6"/>
      <c r="O701" s="6"/>
      <c r="P701" s="6"/>
      <c r="Q701" s="6"/>
      <c r="R701" s="6"/>
      <c r="S701" s="6"/>
      <c r="T701" s="6"/>
      <c r="U701" s="6"/>
      <c r="V701" s="6"/>
      <c r="W701" s="6"/>
      <c r="X701" s="6"/>
      <c r="Y701" s="6"/>
      <c r="Z701" s="6"/>
      <c r="AA701" s="19"/>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row>
    <row r="702">
      <c r="A702" s="6"/>
      <c r="B702" s="6"/>
      <c r="C702" s="18"/>
      <c r="D702" s="6"/>
      <c r="E702" s="6"/>
      <c r="F702" s="6"/>
      <c r="G702" s="6"/>
      <c r="H702" s="6"/>
      <c r="I702" s="6"/>
      <c r="J702" s="6"/>
      <c r="K702" s="6"/>
      <c r="L702" s="6"/>
      <c r="M702" s="6"/>
      <c r="N702" s="6"/>
      <c r="O702" s="6"/>
      <c r="P702" s="6"/>
      <c r="Q702" s="6"/>
      <c r="R702" s="6"/>
      <c r="S702" s="6"/>
      <c r="T702" s="6"/>
      <c r="U702" s="6"/>
      <c r="V702" s="6"/>
      <c r="W702" s="6"/>
      <c r="X702" s="6"/>
      <c r="Y702" s="6"/>
      <c r="Z702" s="6"/>
      <c r="AA702" s="19"/>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row>
    <row r="703">
      <c r="A703" s="6"/>
      <c r="B703" s="6"/>
      <c r="C703" s="18"/>
      <c r="D703" s="6"/>
      <c r="E703" s="6"/>
      <c r="F703" s="6"/>
      <c r="G703" s="6"/>
      <c r="H703" s="6"/>
      <c r="I703" s="6"/>
      <c r="J703" s="6"/>
      <c r="K703" s="6"/>
      <c r="L703" s="6"/>
      <c r="M703" s="6"/>
      <c r="N703" s="6"/>
      <c r="O703" s="6"/>
      <c r="P703" s="6"/>
      <c r="Q703" s="6"/>
      <c r="R703" s="6"/>
      <c r="S703" s="6"/>
      <c r="T703" s="6"/>
      <c r="U703" s="6"/>
      <c r="V703" s="6"/>
      <c r="W703" s="6"/>
      <c r="X703" s="6"/>
      <c r="Y703" s="6"/>
      <c r="Z703" s="6"/>
      <c r="AA703" s="19"/>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row>
    <row r="704">
      <c r="A704" s="6"/>
      <c r="B704" s="6"/>
      <c r="C704" s="18"/>
      <c r="D704" s="6"/>
      <c r="E704" s="6"/>
      <c r="F704" s="6"/>
      <c r="G704" s="6"/>
      <c r="H704" s="6"/>
      <c r="I704" s="6"/>
      <c r="J704" s="6"/>
      <c r="K704" s="6"/>
      <c r="L704" s="6"/>
      <c r="M704" s="6"/>
      <c r="N704" s="6"/>
      <c r="O704" s="6"/>
      <c r="P704" s="6"/>
      <c r="Q704" s="6"/>
      <c r="R704" s="6"/>
      <c r="S704" s="6"/>
      <c r="T704" s="6"/>
      <c r="U704" s="6"/>
      <c r="V704" s="6"/>
      <c r="W704" s="6"/>
      <c r="X704" s="6"/>
      <c r="Y704" s="6"/>
      <c r="Z704" s="6"/>
      <c r="AA704" s="19"/>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row>
    <row r="705">
      <c r="A705" s="6"/>
      <c r="B705" s="6"/>
      <c r="C705" s="18"/>
      <c r="D705" s="6"/>
      <c r="E705" s="6"/>
      <c r="F705" s="6"/>
      <c r="G705" s="6"/>
      <c r="H705" s="6"/>
      <c r="I705" s="6"/>
      <c r="J705" s="6"/>
      <c r="K705" s="6"/>
      <c r="L705" s="6"/>
      <c r="M705" s="6"/>
      <c r="N705" s="6"/>
      <c r="O705" s="6"/>
      <c r="P705" s="6"/>
      <c r="Q705" s="6"/>
      <c r="R705" s="6"/>
      <c r="S705" s="6"/>
      <c r="T705" s="6"/>
      <c r="U705" s="6"/>
      <c r="V705" s="6"/>
      <c r="W705" s="6"/>
      <c r="X705" s="6"/>
      <c r="Y705" s="6"/>
      <c r="Z705" s="6"/>
      <c r="AA705" s="19"/>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row>
    <row r="706">
      <c r="A706" s="6"/>
      <c r="B706" s="6"/>
      <c r="C706" s="18"/>
      <c r="D706" s="6"/>
      <c r="E706" s="6"/>
      <c r="F706" s="6"/>
      <c r="G706" s="6"/>
      <c r="H706" s="6"/>
      <c r="I706" s="6"/>
      <c r="J706" s="6"/>
      <c r="K706" s="6"/>
      <c r="L706" s="6"/>
      <c r="M706" s="6"/>
      <c r="N706" s="6"/>
      <c r="O706" s="6"/>
      <c r="P706" s="6"/>
      <c r="Q706" s="6"/>
      <c r="R706" s="6"/>
      <c r="S706" s="6"/>
      <c r="T706" s="6"/>
      <c r="U706" s="6"/>
      <c r="V706" s="6"/>
      <c r="W706" s="6"/>
      <c r="X706" s="6"/>
      <c r="Y706" s="6"/>
      <c r="Z706" s="6"/>
      <c r="AA706" s="19"/>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row>
    <row r="707">
      <c r="A707" s="6"/>
      <c r="B707" s="6"/>
      <c r="C707" s="18"/>
      <c r="D707" s="6"/>
      <c r="E707" s="6"/>
      <c r="F707" s="6"/>
      <c r="G707" s="6"/>
      <c r="H707" s="6"/>
      <c r="I707" s="6"/>
      <c r="J707" s="6"/>
      <c r="K707" s="6"/>
      <c r="L707" s="6"/>
      <c r="M707" s="6"/>
      <c r="N707" s="6"/>
      <c r="O707" s="6"/>
      <c r="P707" s="6"/>
      <c r="Q707" s="6"/>
      <c r="R707" s="6"/>
      <c r="S707" s="6"/>
      <c r="T707" s="6"/>
      <c r="U707" s="6"/>
      <c r="V707" s="6"/>
      <c r="W707" s="6"/>
      <c r="X707" s="6"/>
      <c r="Y707" s="6"/>
      <c r="Z707" s="6"/>
      <c r="AA707" s="19"/>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row>
    <row r="708">
      <c r="A708" s="6"/>
      <c r="B708" s="6"/>
      <c r="C708" s="18"/>
      <c r="D708" s="6"/>
      <c r="E708" s="6"/>
      <c r="F708" s="6"/>
      <c r="G708" s="6"/>
      <c r="H708" s="6"/>
      <c r="I708" s="6"/>
      <c r="J708" s="6"/>
      <c r="K708" s="6"/>
      <c r="L708" s="6"/>
      <c r="M708" s="6"/>
      <c r="N708" s="6"/>
      <c r="O708" s="6"/>
      <c r="P708" s="6"/>
      <c r="Q708" s="6"/>
      <c r="R708" s="6"/>
      <c r="S708" s="6"/>
      <c r="T708" s="6"/>
      <c r="U708" s="6"/>
      <c r="V708" s="6"/>
      <c r="W708" s="6"/>
      <c r="X708" s="6"/>
      <c r="Y708" s="6"/>
      <c r="Z708" s="6"/>
      <c r="AA708" s="19"/>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row>
    <row r="709">
      <c r="A709" s="6"/>
      <c r="B709" s="6"/>
      <c r="C709" s="18"/>
      <c r="D709" s="6"/>
      <c r="E709" s="6"/>
      <c r="F709" s="6"/>
      <c r="G709" s="6"/>
      <c r="H709" s="6"/>
      <c r="I709" s="6"/>
      <c r="J709" s="6"/>
      <c r="K709" s="6"/>
      <c r="L709" s="6"/>
      <c r="M709" s="6"/>
      <c r="N709" s="6"/>
      <c r="O709" s="6"/>
      <c r="P709" s="6"/>
      <c r="Q709" s="6"/>
      <c r="R709" s="6"/>
      <c r="S709" s="6"/>
      <c r="T709" s="6"/>
      <c r="U709" s="6"/>
      <c r="V709" s="6"/>
      <c r="W709" s="6"/>
      <c r="X709" s="6"/>
      <c r="Y709" s="6"/>
      <c r="Z709" s="6"/>
      <c r="AA709" s="19"/>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row>
    <row r="710">
      <c r="A710" s="6"/>
      <c r="B710" s="6"/>
      <c r="C710" s="18"/>
      <c r="D710" s="6"/>
      <c r="E710" s="6"/>
      <c r="F710" s="6"/>
      <c r="G710" s="6"/>
      <c r="H710" s="6"/>
      <c r="I710" s="6"/>
      <c r="J710" s="6"/>
      <c r="K710" s="6"/>
      <c r="L710" s="6"/>
      <c r="M710" s="6"/>
      <c r="N710" s="6"/>
      <c r="O710" s="6"/>
      <c r="P710" s="6"/>
      <c r="Q710" s="6"/>
      <c r="R710" s="6"/>
      <c r="S710" s="6"/>
      <c r="T710" s="6"/>
      <c r="U710" s="6"/>
      <c r="V710" s="6"/>
      <c r="W710" s="6"/>
      <c r="X710" s="6"/>
      <c r="Y710" s="6"/>
      <c r="Z710" s="6"/>
      <c r="AA710" s="19"/>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row>
    <row r="711">
      <c r="A711" s="6"/>
      <c r="B711" s="6"/>
      <c r="C711" s="18"/>
      <c r="D711" s="6"/>
      <c r="E711" s="6"/>
      <c r="F711" s="6"/>
      <c r="G711" s="6"/>
      <c r="H711" s="6"/>
      <c r="I711" s="6"/>
      <c r="J711" s="6"/>
      <c r="K711" s="6"/>
      <c r="L711" s="6"/>
      <c r="M711" s="6"/>
      <c r="N711" s="6"/>
      <c r="O711" s="6"/>
      <c r="P711" s="6"/>
      <c r="Q711" s="6"/>
      <c r="R711" s="6"/>
      <c r="S711" s="6"/>
      <c r="T711" s="6"/>
      <c r="U711" s="6"/>
      <c r="V711" s="6"/>
      <c r="W711" s="6"/>
      <c r="X711" s="6"/>
      <c r="Y711" s="6"/>
      <c r="Z711" s="6"/>
      <c r="AA711" s="19"/>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row>
    <row r="712">
      <c r="A712" s="6"/>
      <c r="B712" s="6"/>
      <c r="C712" s="18"/>
      <c r="D712" s="6"/>
      <c r="E712" s="6"/>
      <c r="F712" s="6"/>
      <c r="G712" s="6"/>
      <c r="H712" s="6"/>
      <c r="I712" s="6"/>
      <c r="J712" s="6"/>
      <c r="K712" s="6"/>
      <c r="L712" s="6"/>
      <c r="M712" s="6"/>
      <c r="N712" s="6"/>
      <c r="O712" s="6"/>
      <c r="P712" s="6"/>
      <c r="Q712" s="6"/>
      <c r="R712" s="6"/>
      <c r="S712" s="6"/>
      <c r="T712" s="6"/>
      <c r="U712" s="6"/>
      <c r="V712" s="6"/>
      <c r="W712" s="6"/>
      <c r="X712" s="6"/>
      <c r="Y712" s="6"/>
      <c r="Z712" s="6"/>
      <c r="AA712" s="19"/>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row>
    <row r="713">
      <c r="A713" s="6"/>
      <c r="B713" s="6"/>
      <c r="C713" s="18"/>
      <c r="D713" s="6"/>
      <c r="E713" s="6"/>
      <c r="F713" s="6"/>
      <c r="G713" s="6"/>
      <c r="H713" s="6"/>
      <c r="I713" s="6"/>
      <c r="J713" s="6"/>
      <c r="K713" s="6"/>
      <c r="L713" s="6"/>
      <c r="M713" s="6"/>
      <c r="N713" s="6"/>
      <c r="O713" s="6"/>
      <c r="P713" s="6"/>
      <c r="Q713" s="6"/>
      <c r="R713" s="6"/>
      <c r="S713" s="6"/>
      <c r="T713" s="6"/>
      <c r="U713" s="6"/>
      <c r="V713" s="6"/>
      <c r="W713" s="6"/>
      <c r="X713" s="6"/>
      <c r="Y713" s="6"/>
      <c r="Z713" s="6"/>
      <c r="AA713" s="19"/>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row>
    <row r="714">
      <c r="A714" s="6"/>
      <c r="B714" s="6"/>
      <c r="C714" s="18"/>
      <c r="D714" s="6"/>
      <c r="E714" s="6"/>
      <c r="F714" s="6"/>
      <c r="G714" s="6"/>
      <c r="H714" s="6"/>
      <c r="I714" s="6"/>
      <c r="J714" s="6"/>
      <c r="K714" s="6"/>
      <c r="L714" s="6"/>
      <c r="M714" s="6"/>
      <c r="N714" s="6"/>
      <c r="O714" s="6"/>
      <c r="P714" s="6"/>
      <c r="Q714" s="6"/>
      <c r="R714" s="6"/>
      <c r="S714" s="6"/>
      <c r="T714" s="6"/>
      <c r="U714" s="6"/>
      <c r="V714" s="6"/>
      <c r="W714" s="6"/>
      <c r="X714" s="6"/>
      <c r="Y714" s="6"/>
      <c r="Z714" s="6"/>
      <c r="AA714" s="19"/>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row>
    <row r="715">
      <c r="A715" s="6"/>
      <c r="B715" s="6"/>
      <c r="C715" s="18"/>
      <c r="D715" s="6"/>
      <c r="E715" s="6"/>
      <c r="F715" s="6"/>
      <c r="G715" s="6"/>
      <c r="H715" s="6"/>
      <c r="I715" s="6"/>
      <c r="J715" s="6"/>
      <c r="K715" s="6"/>
      <c r="L715" s="6"/>
      <c r="M715" s="6"/>
      <c r="N715" s="6"/>
      <c r="O715" s="6"/>
      <c r="P715" s="6"/>
      <c r="Q715" s="6"/>
      <c r="R715" s="6"/>
      <c r="S715" s="6"/>
      <c r="T715" s="6"/>
      <c r="U715" s="6"/>
      <c r="V715" s="6"/>
      <c r="W715" s="6"/>
      <c r="X715" s="6"/>
      <c r="Y715" s="6"/>
      <c r="Z715" s="6"/>
      <c r="AA715" s="19"/>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row>
    <row r="716">
      <c r="A716" s="6"/>
      <c r="B716" s="6"/>
      <c r="C716" s="18"/>
      <c r="D716" s="6"/>
      <c r="E716" s="6"/>
      <c r="F716" s="6"/>
      <c r="G716" s="6"/>
      <c r="H716" s="6"/>
      <c r="I716" s="6"/>
      <c r="J716" s="6"/>
      <c r="K716" s="6"/>
      <c r="L716" s="6"/>
      <c r="M716" s="6"/>
      <c r="N716" s="6"/>
      <c r="O716" s="6"/>
      <c r="P716" s="6"/>
      <c r="Q716" s="6"/>
      <c r="R716" s="6"/>
      <c r="S716" s="6"/>
      <c r="T716" s="6"/>
      <c r="U716" s="6"/>
      <c r="V716" s="6"/>
      <c r="W716" s="6"/>
      <c r="X716" s="6"/>
      <c r="Y716" s="6"/>
      <c r="Z716" s="6"/>
      <c r="AA716" s="19"/>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row>
    <row r="717">
      <c r="A717" s="6"/>
      <c r="B717" s="6"/>
      <c r="C717" s="18"/>
      <c r="D717" s="6"/>
      <c r="E717" s="6"/>
      <c r="F717" s="6"/>
      <c r="G717" s="6"/>
      <c r="H717" s="6"/>
      <c r="I717" s="6"/>
      <c r="J717" s="6"/>
      <c r="K717" s="6"/>
      <c r="L717" s="6"/>
      <c r="M717" s="6"/>
      <c r="N717" s="6"/>
      <c r="O717" s="6"/>
      <c r="P717" s="6"/>
      <c r="Q717" s="6"/>
      <c r="R717" s="6"/>
      <c r="S717" s="6"/>
      <c r="T717" s="6"/>
      <c r="U717" s="6"/>
      <c r="V717" s="6"/>
      <c r="W717" s="6"/>
      <c r="X717" s="6"/>
      <c r="Y717" s="6"/>
      <c r="Z717" s="6"/>
      <c r="AA717" s="19"/>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row>
    <row r="718">
      <c r="A718" s="6"/>
      <c r="B718" s="6"/>
      <c r="C718" s="18"/>
      <c r="D718" s="6"/>
      <c r="E718" s="6"/>
      <c r="F718" s="6"/>
      <c r="G718" s="6"/>
      <c r="H718" s="6"/>
      <c r="I718" s="6"/>
      <c r="J718" s="6"/>
      <c r="K718" s="6"/>
      <c r="L718" s="6"/>
      <c r="M718" s="6"/>
      <c r="N718" s="6"/>
      <c r="O718" s="6"/>
      <c r="P718" s="6"/>
      <c r="Q718" s="6"/>
      <c r="R718" s="6"/>
      <c r="S718" s="6"/>
      <c r="T718" s="6"/>
      <c r="U718" s="6"/>
      <c r="V718" s="6"/>
      <c r="W718" s="6"/>
      <c r="X718" s="6"/>
      <c r="Y718" s="6"/>
      <c r="Z718" s="6"/>
      <c r="AA718" s="19"/>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row>
    <row r="719">
      <c r="A719" s="6"/>
      <c r="B719" s="6"/>
      <c r="C719" s="18"/>
      <c r="D719" s="6"/>
      <c r="E719" s="6"/>
      <c r="F719" s="6"/>
      <c r="G719" s="6"/>
      <c r="H719" s="6"/>
      <c r="I719" s="6"/>
      <c r="J719" s="6"/>
      <c r="K719" s="6"/>
      <c r="L719" s="6"/>
      <c r="M719" s="6"/>
      <c r="N719" s="6"/>
      <c r="O719" s="6"/>
      <c r="P719" s="6"/>
      <c r="Q719" s="6"/>
      <c r="R719" s="6"/>
      <c r="S719" s="6"/>
      <c r="T719" s="6"/>
      <c r="U719" s="6"/>
      <c r="V719" s="6"/>
      <c r="W719" s="6"/>
      <c r="X719" s="6"/>
      <c r="Y719" s="6"/>
      <c r="Z719" s="6"/>
      <c r="AA719" s="19"/>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row>
    <row r="720">
      <c r="A720" s="6"/>
      <c r="B720" s="6"/>
      <c r="C720" s="18"/>
      <c r="D720" s="6"/>
      <c r="E720" s="6"/>
      <c r="F720" s="6"/>
      <c r="G720" s="6"/>
      <c r="H720" s="6"/>
      <c r="I720" s="6"/>
      <c r="J720" s="6"/>
      <c r="K720" s="6"/>
      <c r="L720" s="6"/>
      <c r="M720" s="6"/>
      <c r="N720" s="6"/>
      <c r="O720" s="6"/>
      <c r="P720" s="6"/>
      <c r="Q720" s="6"/>
      <c r="R720" s="6"/>
      <c r="S720" s="6"/>
      <c r="T720" s="6"/>
      <c r="U720" s="6"/>
      <c r="V720" s="6"/>
      <c r="W720" s="6"/>
      <c r="X720" s="6"/>
      <c r="Y720" s="6"/>
      <c r="Z720" s="6"/>
      <c r="AA720" s="19"/>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row>
    <row r="721">
      <c r="A721" s="6"/>
      <c r="B721" s="6"/>
      <c r="C721" s="18"/>
      <c r="D721" s="6"/>
      <c r="E721" s="6"/>
      <c r="F721" s="6"/>
      <c r="G721" s="6"/>
      <c r="H721" s="6"/>
      <c r="I721" s="6"/>
      <c r="J721" s="6"/>
      <c r="K721" s="6"/>
      <c r="L721" s="6"/>
      <c r="M721" s="6"/>
      <c r="N721" s="6"/>
      <c r="O721" s="6"/>
      <c r="P721" s="6"/>
      <c r="Q721" s="6"/>
      <c r="R721" s="6"/>
      <c r="S721" s="6"/>
      <c r="T721" s="6"/>
      <c r="U721" s="6"/>
      <c r="V721" s="6"/>
      <c r="W721" s="6"/>
      <c r="X721" s="6"/>
      <c r="Y721" s="6"/>
      <c r="Z721" s="6"/>
      <c r="AA721" s="19"/>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row>
    <row r="722">
      <c r="A722" s="6"/>
      <c r="B722" s="6"/>
      <c r="C722" s="18"/>
      <c r="D722" s="6"/>
      <c r="E722" s="6"/>
      <c r="F722" s="6"/>
      <c r="G722" s="6"/>
      <c r="H722" s="6"/>
      <c r="I722" s="6"/>
      <c r="J722" s="6"/>
      <c r="K722" s="6"/>
      <c r="L722" s="6"/>
      <c r="M722" s="6"/>
      <c r="N722" s="6"/>
      <c r="O722" s="6"/>
      <c r="P722" s="6"/>
      <c r="Q722" s="6"/>
      <c r="R722" s="6"/>
      <c r="S722" s="6"/>
      <c r="T722" s="6"/>
      <c r="U722" s="6"/>
      <c r="V722" s="6"/>
      <c r="W722" s="6"/>
      <c r="X722" s="6"/>
      <c r="Y722" s="6"/>
      <c r="Z722" s="6"/>
      <c r="AA722" s="19"/>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row>
    <row r="723">
      <c r="A723" s="6"/>
      <c r="B723" s="6"/>
      <c r="C723" s="18"/>
      <c r="D723" s="6"/>
      <c r="E723" s="6"/>
      <c r="F723" s="6"/>
      <c r="G723" s="6"/>
      <c r="H723" s="6"/>
      <c r="I723" s="6"/>
      <c r="J723" s="6"/>
      <c r="K723" s="6"/>
      <c r="L723" s="6"/>
      <c r="M723" s="6"/>
      <c r="N723" s="6"/>
      <c r="O723" s="6"/>
      <c r="P723" s="6"/>
      <c r="Q723" s="6"/>
      <c r="R723" s="6"/>
      <c r="S723" s="6"/>
      <c r="T723" s="6"/>
      <c r="U723" s="6"/>
      <c r="V723" s="6"/>
      <c r="W723" s="6"/>
      <c r="X723" s="6"/>
      <c r="Y723" s="6"/>
      <c r="Z723" s="6"/>
      <c r="AA723" s="19"/>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row>
    <row r="724">
      <c r="A724" s="6"/>
      <c r="B724" s="6"/>
      <c r="C724" s="18"/>
      <c r="D724" s="6"/>
      <c r="E724" s="6"/>
      <c r="F724" s="6"/>
      <c r="G724" s="6"/>
      <c r="H724" s="6"/>
      <c r="I724" s="6"/>
      <c r="J724" s="6"/>
      <c r="K724" s="6"/>
      <c r="L724" s="6"/>
      <c r="M724" s="6"/>
      <c r="N724" s="6"/>
      <c r="O724" s="6"/>
      <c r="P724" s="6"/>
      <c r="Q724" s="6"/>
      <c r="R724" s="6"/>
      <c r="S724" s="6"/>
      <c r="T724" s="6"/>
      <c r="U724" s="6"/>
      <c r="V724" s="6"/>
      <c r="W724" s="6"/>
      <c r="X724" s="6"/>
      <c r="Y724" s="6"/>
      <c r="Z724" s="6"/>
      <c r="AA724" s="19"/>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row>
    <row r="725">
      <c r="A725" s="6"/>
      <c r="B725" s="6"/>
      <c r="C725" s="18"/>
      <c r="D725" s="6"/>
      <c r="E725" s="6"/>
      <c r="F725" s="6"/>
      <c r="G725" s="6"/>
      <c r="H725" s="6"/>
      <c r="I725" s="6"/>
      <c r="J725" s="6"/>
      <c r="K725" s="6"/>
      <c r="L725" s="6"/>
      <c r="M725" s="6"/>
      <c r="N725" s="6"/>
      <c r="O725" s="6"/>
      <c r="P725" s="6"/>
      <c r="Q725" s="6"/>
      <c r="R725" s="6"/>
      <c r="S725" s="6"/>
      <c r="T725" s="6"/>
      <c r="U725" s="6"/>
      <c r="V725" s="6"/>
      <c r="W725" s="6"/>
      <c r="X725" s="6"/>
      <c r="Y725" s="6"/>
      <c r="Z725" s="6"/>
      <c r="AA725" s="19"/>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row>
    <row r="726">
      <c r="A726" s="6"/>
      <c r="B726" s="6"/>
      <c r="C726" s="18"/>
      <c r="D726" s="6"/>
      <c r="E726" s="6"/>
      <c r="F726" s="6"/>
      <c r="G726" s="6"/>
      <c r="H726" s="6"/>
      <c r="I726" s="6"/>
      <c r="J726" s="6"/>
      <c r="K726" s="6"/>
      <c r="L726" s="6"/>
      <c r="M726" s="6"/>
      <c r="N726" s="6"/>
      <c r="O726" s="6"/>
      <c r="P726" s="6"/>
      <c r="Q726" s="6"/>
      <c r="R726" s="6"/>
      <c r="S726" s="6"/>
      <c r="T726" s="6"/>
      <c r="U726" s="6"/>
      <c r="V726" s="6"/>
      <c r="W726" s="6"/>
      <c r="X726" s="6"/>
      <c r="Y726" s="6"/>
      <c r="Z726" s="6"/>
      <c r="AA726" s="19"/>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row>
    <row r="727">
      <c r="A727" s="6"/>
      <c r="B727" s="6"/>
      <c r="C727" s="18"/>
      <c r="D727" s="6"/>
      <c r="E727" s="6"/>
      <c r="F727" s="6"/>
      <c r="G727" s="6"/>
      <c r="H727" s="6"/>
      <c r="I727" s="6"/>
      <c r="J727" s="6"/>
      <c r="K727" s="6"/>
      <c r="L727" s="6"/>
      <c r="M727" s="6"/>
      <c r="N727" s="6"/>
      <c r="O727" s="6"/>
      <c r="P727" s="6"/>
      <c r="Q727" s="6"/>
      <c r="R727" s="6"/>
      <c r="S727" s="6"/>
      <c r="T727" s="6"/>
      <c r="U727" s="6"/>
      <c r="V727" s="6"/>
      <c r="W727" s="6"/>
      <c r="X727" s="6"/>
      <c r="Y727" s="6"/>
      <c r="Z727" s="6"/>
      <c r="AA727" s="19"/>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row>
    <row r="728">
      <c r="A728" s="6"/>
      <c r="B728" s="6"/>
      <c r="C728" s="18"/>
      <c r="D728" s="6"/>
      <c r="E728" s="6"/>
      <c r="F728" s="6"/>
      <c r="G728" s="6"/>
      <c r="H728" s="6"/>
      <c r="I728" s="6"/>
      <c r="J728" s="6"/>
      <c r="K728" s="6"/>
      <c r="L728" s="6"/>
      <c r="M728" s="6"/>
      <c r="N728" s="6"/>
      <c r="O728" s="6"/>
      <c r="P728" s="6"/>
      <c r="Q728" s="6"/>
      <c r="R728" s="6"/>
      <c r="S728" s="6"/>
      <c r="T728" s="6"/>
      <c r="U728" s="6"/>
      <c r="V728" s="6"/>
      <c r="W728" s="6"/>
      <c r="X728" s="6"/>
      <c r="Y728" s="6"/>
      <c r="Z728" s="6"/>
      <c r="AA728" s="19"/>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row>
    <row r="729">
      <c r="A729" s="6"/>
      <c r="B729" s="6"/>
      <c r="C729" s="18"/>
      <c r="D729" s="6"/>
      <c r="E729" s="6"/>
      <c r="F729" s="6"/>
      <c r="G729" s="6"/>
      <c r="H729" s="6"/>
      <c r="I729" s="6"/>
      <c r="J729" s="6"/>
      <c r="K729" s="6"/>
      <c r="L729" s="6"/>
      <c r="M729" s="6"/>
      <c r="N729" s="6"/>
      <c r="O729" s="6"/>
      <c r="P729" s="6"/>
      <c r="Q729" s="6"/>
      <c r="R729" s="6"/>
      <c r="S729" s="6"/>
      <c r="T729" s="6"/>
      <c r="U729" s="6"/>
      <c r="V729" s="6"/>
      <c r="W729" s="6"/>
      <c r="X729" s="6"/>
      <c r="Y729" s="6"/>
      <c r="Z729" s="6"/>
      <c r="AA729" s="19"/>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row>
    <row r="730">
      <c r="A730" s="6"/>
      <c r="B730" s="6"/>
      <c r="C730" s="18"/>
      <c r="D730" s="6"/>
      <c r="E730" s="6"/>
      <c r="F730" s="6"/>
      <c r="G730" s="6"/>
      <c r="H730" s="6"/>
      <c r="I730" s="6"/>
      <c r="J730" s="6"/>
      <c r="K730" s="6"/>
      <c r="L730" s="6"/>
      <c r="M730" s="6"/>
      <c r="N730" s="6"/>
      <c r="O730" s="6"/>
      <c r="P730" s="6"/>
      <c r="Q730" s="6"/>
      <c r="R730" s="6"/>
      <c r="S730" s="6"/>
      <c r="T730" s="6"/>
      <c r="U730" s="6"/>
      <c r="V730" s="6"/>
      <c r="W730" s="6"/>
      <c r="X730" s="6"/>
      <c r="Y730" s="6"/>
      <c r="Z730" s="6"/>
      <c r="AA730" s="19"/>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row>
    <row r="731">
      <c r="A731" s="6"/>
      <c r="B731" s="6"/>
      <c r="C731" s="18"/>
      <c r="D731" s="6"/>
      <c r="E731" s="6"/>
      <c r="F731" s="6"/>
      <c r="G731" s="6"/>
      <c r="H731" s="6"/>
      <c r="I731" s="6"/>
      <c r="J731" s="6"/>
      <c r="K731" s="6"/>
      <c r="L731" s="6"/>
      <c r="M731" s="6"/>
      <c r="N731" s="6"/>
      <c r="O731" s="6"/>
      <c r="P731" s="6"/>
      <c r="Q731" s="6"/>
      <c r="R731" s="6"/>
      <c r="S731" s="6"/>
      <c r="T731" s="6"/>
      <c r="U731" s="6"/>
      <c r="V731" s="6"/>
      <c r="W731" s="6"/>
      <c r="X731" s="6"/>
      <c r="Y731" s="6"/>
      <c r="Z731" s="6"/>
      <c r="AA731" s="19"/>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row>
    <row r="732">
      <c r="A732" s="6"/>
      <c r="B732" s="6"/>
      <c r="C732" s="18"/>
      <c r="D732" s="6"/>
      <c r="E732" s="6"/>
      <c r="F732" s="6"/>
      <c r="G732" s="6"/>
      <c r="H732" s="6"/>
      <c r="I732" s="6"/>
      <c r="J732" s="6"/>
      <c r="K732" s="6"/>
      <c r="L732" s="6"/>
      <c r="M732" s="6"/>
      <c r="N732" s="6"/>
      <c r="O732" s="6"/>
      <c r="P732" s="6"/>
      <c r="Q732" s="6"/>
      <c r="R732" s="6"/>
      <c r="S732" s="6"/>
      <c r="T732" s="6"/>
      <c r="U732" s="6"/>
      <c r="V732" s="6"/>
      <c r="W732" s="6"/>
      <c r="X732" s="6"/>
      <c r="Y732" s="6"/>
      <c r="Z732" s="6"/>
      <c r="AA732" s="19"/>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row>
    <row r="733">
      <c r="A733" s="6"/>
      <c r="B733" s="6"/>
      <c r="C733" s="18"/>
      <c r="D733" s="6"/>
      <c r="E733" s="6"/>
      <c r="F733" s="6"/>
      <c r="G733" s="6"/>
      <c r="H733" s="6"/>
      <c r="I733" s="6"/>
      <c r="J733" s="6"/>
      <c r="K733" s="6"/>
      <c r="L733" s="6"/>
      <c r="M733" s="6"/>
      <c r="N733" s="6"/>
      <c r="O733" s="6"/>
      <c r="P733" s="6"/>
      <c r="Q733" s="6"/>
      <c r="R733" s="6"/>
      <c r="S733" s="6"/>
      <c r="T733" s="6"/>
      <c r="U733" s="6"/>
      <c r="V733" s="6"/>
      <c r="W733" s="6"/>
      <c r="X733" s="6"/>
      <c r="Y733" s="6"/>
      <c r="Z733" s="6"/>
      <c r="AA733" s="19"/>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row>
    <row r="734">
      <c r="A734" s="6"/>
      <c r="B734" s="6"/>
      <c r="C734" s="18"/>
      <c r="D734" s="6"/>
      <c r="E734" s="6"/>
      <c r="F734" s="6"/>
      <c r="G734" s="6"/>
      <c r="H734" s="6"/>
      <c r="I734" s="6"/>
      <c r="J734" s="6"/>
      <c r="K734" s="6"/>
      <c r="L734" s="6"/>
      <c r="M734" s="6"/>
      <c r="N734" s="6"/>
      <c r="O734" s="6"/>
      <c r="P734" s="6"/>
      <c r="Q734" s="6"/>
      <c r="R734" s="6"/>
      <c r="S734" s="6"/>
      <c r="T734" s="6"/>
      <c r="U734" s="6"/>
      <c r="V734" s="6"/>
      <c r="W734" s="6"/>
      <c r="X734" s="6"/>
      <c r="Y734" s="6"/>
      <c r="Z734" s="6"/>
      <c r="AA734" s="19"/>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row>
    <row r="735">
      <c r="A735" s="6"/>
      <c r="B735" s="6"/>
      <c r="C735" s="18"/>
      <c r="D735" s="6"/>
      <c r="E735" s="6"/>
      <c r="F735" s="6"/>
      <c r="G735" s="6"/>
      <c r="H735" s="6"/>
      <c r="I735" s="6"/>
      <c r="J735" s="6"/>
      <c r="K735" s="6"/>
      <c r="L735" s="6"/>
      <c r="M735" s="6"/>
      <c r="N735" s="6"/>
      <c r="O735" s="6"/>
      <c r="P735" s="6"/>
      <c r="Q735" s="6"/>
      <c r="R735" s="6"/>
      <c r="S735" s="6"/>
      <c r="T735" s="6"/>
      <c r="U735" s="6"/>
      <c r="V735" s="6"/>
      <c r="W735" s="6"/>
      <c r="X735" s="6"/>
      <c r="Y735" s="6"/>
      <c r="Z735" s="6"/>
      <c r="AA735" s="19"/>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row>
    <row r="736">
      <c r="A736" s="6"/>
      <c r="B736" s="6"/>
      <c r="C736" s="18"/>
      <c r="D736" s="6"/>
      <c r="E736" s="6"/>
      <c r="F736" s="6"/>
      <c r="G736" s="6"/>
      <c r="H736" s="6"/>
      <c r="I736" s="6"/>
      <c r="J736" s="6"/>
      <c r="K736" s="6"/>
      <c r="L736" s="6"/>
      <c r="M736" s="6"/>
      <c r="N736" s="6"/>
      <c r="O736" s="6"/>
      <c r="P736" s="6"/>
      <c r="Q736" s="6"/>
      <c r="R736" s="6"/>
      <c r="S736" s="6"/>
      <c r="T736" s="6"/>
      <c r="U736" s="6"/>
      <c r="V736" s="6"/>
      <c r="W736" s="6"/>
      <c r="X736" s="6"/>
      <c r="Y736" s="6"/>
      <c r="Z736" s="6"/>
      <c r="AA736" s="19"/>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row>
    <row r="737">
      <c r="A737" s="6"/>
      <c r="B737" s="6"/>
      <c r="C737" s="18"/>
      <c r="D737" s="6"/>
      <c r="E737" s="6"/>
      <c r="F737" s="6"/>
      <c r="G737" s="6"/>
      <c r="H737" s="6"/>
      <c r="I737" s="6"/>
      <c r="J737" s="6"/>
      <c r="K737" s="6"/>
      <c r="L737" s="6"/>
      <c r="M737" s="6"/>
      <c r="N737" s="6"/>
      <c r="O737" s="6"/>
      <c r="P737" s="6"/>
      <c r="Q737" s="6"/>
      <c r="R737" s="6"/>
      <c r="S737" s="6"/>
      <c r="T737" s="6"/>
      <c r="U737" s="6"/>
      <c r="V737" s="6"/>
      <c r="W737" s="6"/>
      <c r="X737" s="6"/>
      <c r="Y737" s="6"/>
      <c r="Z737" s="6"/>
      <c r="AA737" s="19"/>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row>
    <row r="738">
      <c r="A738" s="6"/>
      <c r="B738" s="6"/>
      <c r="C738" s="18"/>
      <c r="D738" s="6"/>
      <c r="E738" s="6"/>
      <c r="F738" s="6"/>
      <c r="G738" s="6"/>
      <c r="H738" s="6"/>
      <c r="I738" s="6"/>
      <c r="J738" s="6"/>
      <c r="K738" s="6"/>
      <c r="L738" s="6"/>
      <c r="M738" s="6"/>
      <c r="N738" s="6"/>
      <c r="O738" s="6"/>
      <c r="P738" s="6"/>
      <c r="Q738" s="6"/>
      <c r="R738" s="6"/>
      <c r="S738" s="6"/>
      <c r="T738" s="6"/>
      <c r="U738" s="6"/>
      <c r="V738" s="6"/>
      <c r="W738" s="6"/>
      <c r="X738" s="6"/>
      <c r="Y738" s="6"/>
      <c r="Z738" s="6"/>
      <c r="AA738" s="19"/>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row>
    <row r="739">
      <c r="A739" s="6"/>
      <c r="B739" s="6"/>
      <c r="C739" s="18"/>
      <c r="D739" s="6"/>
      <c r="E739" s="6"/>
      <c r="F739" s="6"/>
      <c r="G739" s="6"/>
      <c r="H739" s="6"/>
      <c r="I739" s="6"/>
      <c r="J739" s="6"/>
      <c r="K739" s="6"/>
      <c r="L739" s="6"/>
      <c r="M739" s="6"/>
      <c r="N739" s="6"/>
      <c r="O739" s="6"/>
      <c r="P739" s="6"/>
      <c r="Q739" s="6"/>
      <c r="R739" s="6"/>
      <c r="S739" s="6"/>
      <c r="T739" s="6"/>
      <c r="U739" s="6"/>
      <c r="V739" s="6"/>
      <c r="W739" s="6"/>
      <c r="X739" s="6"/>
      <c r="Y739" s="6"/>
      <c r="Z739" s="6"/>
      <c r="AA739" s="19"/>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row>
    <row r="740">
      <c r="A740" s="6"/>
      <c r="B740" s="6"/>
      <c r="C740" s="18"/>
      <c r="D740" s="6"/>
      <c r="E740" s="6"/>
      <c r="F740" s="6"/>
      <c r="G740" s="6"/>
      <c r="H740" s="6"/>
      <c r="I740" s="6"/>
      <c r="J740" s="6"/>
      <c r="K740" s="6"/>
      <c r="L740" s="6"/>
      <c r="M740" s="6"/>
      <c r="N740" s="6"/>
      <c r="O740" s="6"/>
      <c r="P740" s="6"/>
      <c r="Q740" s="6"/>
      <c r="R740" s="6"/>
      <c r="S740" s="6"/>
      <c r="T740" s="6"/>
      <c r="U740" s="6"/>
      <c r="V740" s="6"/>
      <c r="W740" s="6"/>
      <c r="X740" s="6"/>
      <c r="Y740" s="6"/>
      <c r="Z740" s="6"/>
      <c r="AA740" s="19"/>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row>
    <row r="741">
      <c r="A741" s="6"/>
      <c r="B741" s="6"/>
      <c r="C741" s="18"/>
      <c r="D741" s="6"/>
      <c r="E741" s="6"/>
      <c r="F741" s="6"/>
      <c r="G741" s="6"/>
      <c r="H741" s="6"/>
      <c r="I741" s="6"/>
      <c r="J741" s="6"/>
      <c r="K741" s="6"/>
      <c r="L741" s="6"/>
      <c r="M741" s="6"/>
      <c r="N741" s="6"/>
      <c r="O741" s="6"/>
      <c r="P741" s="6"/>
      <c r="Q741" s="6"/>
      <c r="R741" s="6"/>
      <c r="S741" s="6"/>
      <c r="T741" s="6"/>
      <c r="U741" s="6"/>
      <c r="V741" s="6"/>
      <c r="W741" s="6"/>
      <c r="X741" s="6"/>
      <c r="Y741" s="6"/>
      <c r="Z741" s="6"/>
      <c r="AA741" s="19"/>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row>
    <row r="742">
      <c r="A742" s="6"/>
      <c r="B742" s="6"/>
      <c r="C742" s="18"/>
      <c r="D742" s="6"/>
      <c r="E742" s="6"/>
      <c r="F742" s="6"/>
      <c r="G742" s="6"/>
      <c r="H742" s="6"/>
      <c r="I742" s="6"/>
      <c r="J742" s="6"/>
      <c r="K742" s="6"/>
      <c r="L742" s="6"/>
      <c r="M742" s="6"/>
      <c r="N742" s="6"/>
      <c r="O742" s="6"/>
      <c r="P742" s="6"/>
      <c r="Q742" s="6"/>
      <c r="R742" s="6"/>
      <c r="S742" s="6"/>
      <c r="T742" s="6"/>
      <c r="U742" s="6"/>
      <c r="V742" s="6"/>
      <c r="W742" s="6"/>
      <c r="X742" s="6"/>
      <c r="Y742" s="6"/>
      <c r="Z742" s="6"/>
      <c r="AA742" s="19"/>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row>
    <row r="743">
      <c r="A743" s="6"/>
      <c r="B743" s="6"/>
      <c r="C743" s="18"/>
      <c r="D743" s="6"/>
      <c r="E743" s="6"/>
      <c r="F743" s="6"/>
      <c r="G743" s="6"/>
      <c r="H743" s="6"/>
      <c r="I743" s="6"/>
      <c r="J743" s="6"/>
      <c r="K743" s="6"/>
      <c r="L743" s="6"/>
      <c r="M743" s="6"/>
      <c r="N743" s="6"/>
      <c r="O743" s="6"/>
      <c r="P743" s="6"/>
      <c r="Q743" s="6"/>
      <c r="R743" s="6"/>
      <c r="S743" s="6"/>
      <c r="T743" s="6"/>
      <c r="U743" s="6"/>
      <c r="V743" s="6"/>
      <c r="W743" s="6"/>
      <c r="X743" s="6"/>
      <c r="Y743" s="6"/>
      <c r="Z743" s="6"/>
      <c r="AA743" s="19"/>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row>
    <row r="744">
      <c r="A744" s="6"/>
      <c r="B744" s="6"/>
      <c r="C744" s="18"/>
      <c r="D744" s="6"/>
      <c r="E744" s="6"/>
      <c r="F744" s="6"/>
      <c r="G744" s="6"/>
      <c r="H744" s="6"/>
      <c r="I744" s="6"/>
      <c r="J744" s="6"/>
      <c r="K744" s="6"/>
      <c r="L744" s="6"/>
      <c r="M744" s="6"/>
      <c r="N744" s="6"/>
      <c r="O744" s="6"/>
      <c r="P744" s="6"/>
      <c r="Q744" s="6"/>
      <c r="R744" s="6"/>
      <c r="S744" s="6"/>
      <c r="T744" s="6"/>
      <c r="U744" s="6"/>
      <c r="V744" s="6"/>
      <c r="W744" s="6"/>
      <c r="X744" s="6"/>
      <c r="Y744" s="6"/>
      <c r="Z744" s="6"/>
      <c r="AA744" s="19"/>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row>
    <row r="745">
      <c r="A745" s="6"/>
      <c r="B745" s="6"/>
      <c r="C745" s="18"/>
      <c r="D745" s="6"/>
      <c r="E745" s="6"/>
      <c r="F745" s="6"/>
      <c r="G745" s="6"/>
      <c r="H745" s="6"/>
      <c r="I745" s="6"/>
      <c r="J745" s="6"/>
      <c r="K745" s="6"/>
      <c r="L745" s="6"/>
      <c r="M745" s="6"/>
      <c r="N745" s="6"/>
      <c r="O745" s="6"/>
      <c r="P745" s="6"/>
      <c r="Q745" s="6"/>
      <c r="R745" s="6"/>
      <c r="S745" s="6"/>
      <c r="T745" s="6"/>
      <c r="U745" s="6"/>
      <c r="V745" s="6"/>
      <c r="W745" s="6"/>
      <c r="X745" s="6"/>
      <c r="Y745" s="6"/>
      <c r="Z745" s="6"/>
      <c r="AA745" s="19"/>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row>
    <row r="746">
      <c r="A746" s="6"/>
      <c r="B746" s="6"/>
      <c r="C746" s="18"/>
      <c r="D746" s="6"/>
      <c r="E746" s="6"/>
      <c r="F746" s="6"/>
      <c r="G746" s="6"/>
      <c r="H746" s="6"/>
      <c r="I746" s="6"/>
      <c r="J746" s="6"/>
      <c r="K746" s="6"/>
      <c r="L746" s="6"/>
      <c r="M746" s="6"/>
      <c r="N746" s="6"/>
      <c r="O746" s="6"/>
      <c r="P746" s="6"/>
      <c r="Q746" s="6"/>
      <c r="R746" s="6"/>
      <c r="S746" s="6"/>
      <c r="T746" s="6"/>
      <c r="U746" s="6"/>
      <c r="V746" s="6"/>
      <c r="W746" s="6"/>
      <c r="X746" s="6"/>
      <c r="Y746" s="6"/>
      <c r="Z746" s="6"/>
      <c r="AA746" s="19"/>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row>
    <row r="747">
      <c r="A747" s="6"/>
      <c r="B747" s="6"/>
      <c r="C747" s="18"/>
      <c r="D747" s="6"/>
      <c r="E747" s="6"/>
      <c r="F747" s="6"/>
      <c r="G747" s="6"/>
      <c r="H747" s="6"/>
      <c r="I747" s="6"/>
      <c r="J747" s="6"/>
      <c r="K747" s="6"/>
      <c r="L747" s="6"/>
      <c r="M747" s="6"/>
      <c r="N747" s="6"/>
      <c r="O747" s="6"/>
      <c r="P747" s="6"/>
      <c r="Q747" s="6"/>
      <c r="R747" s="6"/>
      <c r="S747" s="6"/>
      <c r="T747" s="6"/>
      <c r="U747" s="6"/>
      <c r="V747" s="6"/>
      <c r="W747" s="6"/>
      <c r="X747" s="6"/>
      <c r="Y747" s="6"/>
      <c r="Z747" s="6"/>
      <c r="AA747" s="19"/>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row>
    <row r="748">
      <c r="A748" s="6"/>
      <c r="B748" s="6"/>
      <c r="C748" s="18"/>
      <c r="D748" s="6"/>
      <c r="E748" s="6"/>
      <c r="F748" s="6"/>
      <c r="G748" s="6"/>
      <c r="H748" s="6"/>
      <c r="I748" s="6"/>
      <c r="J748" s="6"/>
      <c r="K748" s="6"/>
      <c r="L748" s="6"/>
      <c r="M748" s="6"/>
      <c r="N748" s="6"/>
      <c r="O748" s="6"/>
      <c r="P748" s="6"/>
      <c r="Q748" s="6"/>
      <c r="R748" s="6"/>
      <c r="S748" s="6"/>
      <c r="T748" s="6"/>
      <c r="U748" s="6"/>
      <c r="V748" s="6"/>
      <c r="W748" s="6"/>
      <c r="X748" s="6"/>
      <c r="Y748" s="6"/>
      <c r="Z748" s="6"/>
      <c r="AA748" s="19"/>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row>
    <row r="749">
      <c r="A749" s="6"/>
      <c r="B749" s="6"/>
      <c r="C749" s="18"/>
      <c r="D749" s="6"/>
      <c r="E749" s="6"/>
      <c r="F749" s="6"/>
      <c r="G749" s="6"/>
      <c r="H749" s="6"/>
      <c r="I749" s="6"/>
      <c r="J749" s="6"/>
      <c r="K749" s="6"/>
      <c r="L749" s="6"/>
      <c r="M749" s="6"/>
      <c r="N749" s="6"/>
      <c r="O749" s="6"/>
      <c r="P749" s="6"/>
      <c r="Q749" s="6"/>
      <c r="R749" s="6"/>
      <c r="S749" s="6"/>
      <c r="T749" s="6"/>
      <c r="U749" s="6"/>
      <c r="V749" s="6"/>
      <c r="W749" s="6"/>
      <c r="X749" s="6"/>
      <c r="Y749" s="6"/>
      <c r="Z749" s="6"/>
      <c r="AA749" s="19"/>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row>
    <row r="750">
      <c r="A750" s="6"/>
      <c r="B750" s="6"/>
      <c r="C750" s="18"/>
      <c r="D750" s="6"/>
      <c r="E750" s="6"/>
      <c r="F750" s="6"/>
      <c r="G750" s="6"/>
      <c r="H750" s="6"/>
      <c r="I750" s="6"/>
      <c r="J750" s="6"/>
      <c r="K750" s="6"/>
      <c r="L750" s="6"/>
      <c r="M750" s="6"/>
      <c r="N750" s="6"/>
      <c r="O750" s="6"/>
      <c r="P750" s="6"/>
      <c r="Q750" s="6"/>
      <c r="R750" s="6"/>
      <c r="S750" s="6"/>
      <c r="T750" s="6"/>
      <c r="U750" s="6"/>
      <c r="V750" s="6"/>
      <c r="W750" s="6"/>
      <c r="X750" s="6"/>
      <c r="Y750" s="6"/>
      <c r="Z750" s="6"/>
      <c r="AA750" s="19"/>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row>
    <row r="751">
      <c r="A751" s="6"/>
      <c r="B751" s="6"/>
      <c r="C751" s="18"/>
      <c r="D751" s="6"/>
      <c r="E751" s="6"/>
      <c r="F751" s="6"/>
      <c r="G751" s="6"/>
      <c r="H751" s="6"/>
      <c r="I751" s="6"/>
      <c r="J751" s="6"/>
      <c r="K751" s="6"/>
      <c r="L751" s="6"/>
      <c r="M751" s="6"/>
      <c r="N751" s="6"/>
      <c r="O751" s="6"/>
      <c r="P751" s="6"/>
      <c r="Q751" s="6"/>
      <c r="R751" s="6"/>
      <c r="S751" s="6"/>
      <c r="T751" s="6"/>
      <c r="U751" s="6"/>
      <c r="V751" s="6"/>
      <c r="W751" s="6"/>
      <c r="X751" s="6"/>
      <c r="Y751" s="6"/>
      <c r="Z751" s="6"/>
      <c r="AA751" s="19"/>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row>
    <row r="752">
      <c r="A752" s="6"/>
      <c r="B752" s="6"/>
      <c r="C752" s="18"/>
      <c r="D752" s="6"/>
      <c r="E752" s="6"/>
      <c r="F752" s="6"/>
      <c r="G752" s="6"/>
      <c r="H752" s="6"/>
      <c r="I752" s="6"/>
      <c r="J752" s="6"/>
      <c r="K752" s="6"/>
      <c r="L752" s="6"/>
      <c r="M752" s="6"/>
      <c r="N752" s="6"/>
      <c r="O752" s="6"/>
      <c r="P752" s="6"/>
      <c r="Q752" s="6"/>
      <c r="R752" s="6"/>
      <c r="S752" s="6"/>
      <c r="T752" s="6"/>
      <c r="U752" s="6"/>
      <c r="V752" s="6"/>
      <c r="W752" s="6"/>
      <c r="X752" s="6"/>
      <c r="Y752" s="6"/>
      <c r="Z752" s="6"/>
      <c r="AA752" s="19"/>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row>
    <row r="753">
      <c r="A753" s="6"/>
      <c r="B753" s="6"/>
      <c r="C753" s="18"/>
      <c r="D753" s="6"/>
      <c r="E753" s="6"/>
      <c r="F753" s="6"/>
      <c r="G753" s="6"/>
      <c r="H753" s="6"/>
      <c r="I753" s="6"/>
      <c r="J753" s="6"/>
      <c r="K753" s="6"/>
      <c r="L753" s="6"/>
      <c r="M753" s="6"/>
      <c r="N753" s="6"/>
      <c r="O753" s="6"/>
      <c r="P753" s="6"/>
      <c r="Q753" s="6"/>
      <c r="R753" s="6"/>
      <c r="S753" s="6"/>
      <c r="T753" s="6"/>
      <c r="U753" s="6"/>
      <c r="V753" s="6"/>
      <c r="W753" s="6"/>
      <c r="X753" s="6"/>
      <c r="Y753" s="6"/>
      <c r="Z753" s="6"/>
      <c r="AA753" s="19"/>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row>
    <row r="754">
      <c r="A754" s="6"/>
      <c r="B754" s="6"/>
      <c r="C754" s="18"/>
      <c r="D754" s="6"/>
      <c r="E754" s="6"/>
      <c r="F754" s="6"/>
      <c r="G754" s="6"/>
      <c r="H754" s="6"/>
      <c r="I754" s="6"/>
      <c r="J754" s="6"/>
      <c r="K754" s="6"/>
      <c r="L754" s="6"/>
      <c r="M754" s="6"/>
      <c r="N754" s="6"/>
      <c r="O754" s="6"/>
      <c r="P754" s="6"/>
      <c r="Q754" s="6"/>
      <c r="R754" s="6"/>
      <c r="S754" s="6"/>
      <c r="T754" s="6"/>
      <c r="U754" s="6"/>
      <c r="V754" s="6"/>
      <c r="W754" s="6"/>
      <c r="X754" s="6"/>
      <c r="Y754" s="6"/>
      <c r="Z754" s="6"/>
      <c r="AA754" s="19"/>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row>
    <row r="755">
      <c r="A755" s="6"/>
      <c r="B755" s="6"/>
      <c r="C755" s="18"/>
      <c r="D755" s="6"/>
      <c r="E755" s="6"/>
      <c r="F755" s="6"/>
      <c r="G755" s="6"/>
      <c r="H755" s="6"/>
      <c r="I755" s="6"/>
      <c r="J755" s="6"/>
      <c r="K755" s="6"/>
      <c r="L755" s="6"/>
      <c r="M755" s="6"/>
      <c r="N755" s="6"/>
      <c r="O755" s="6"/>
      <c r="P755" s="6"/>
      <c r="Q755" s="6"/>
      <c r="R755" s="6"/>
      <c r="S755" s="6"/>
      <c r="T755" s="6"/>
      <c r="U755" s="6"/>
      <c r="V755" s="6"/>
      <c r="W755" s="6"/>
      <c r="X755" s="6"/>
      <c r="Y755" s="6"/>
      <c r="Z755" s="6"/>
      <c r="AA755" s="19"/>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row>
    <row r="756">
      <c r="A756" s="6"/>
      <c r="B756" s="6"/>
      <c r="C756" s="18"/>
      <c r="D756" s="6"/>
      <c r="E756" s="6"/>
      <c r="F756" s="6"/>
      <c r="G756" s="6"/>
      <c r="H756" s="6"/>
      <c r="I756" s="6"/>
      <c r="J756" s="6"/>
      <c r="K756" s="6"/>
      <c r="L756" s="6"/>
      <c r="M756" s="6"/>
      <c r="N756" s="6"/>
      <c r="O756" s="6"/>
      <c r="P756" s="6"/>
      <c r="Q756" s="6"/>
      <c r="R756" s="6"/>
      <c r="S756" s="6"/>
      <c r="T756" s="6"/>
      <c r="U756" s="6"/>
      <c r="V756" s="6"/>
      <c r="W756" s="6"/>
      <c r="X756" s="6"/>
      <c r="Y756" s="6"/>
      <c r="Z756" s="6"/>
      <c r="AA756" s="19"/>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row>
    <row r="757">
      <c r="A757" s="6"/>
      <c r="B757" s="6"/>
      <c r="C757" s="18"/>
      <c r="D757" s="6"/>
      <c r="E757" s="6"/>
      <c r="F757" s="6"/>
      <c r="G757" s="6"/>
      <c r="H757" s="6"/>
      <c r="I757" s="6"/>
      <c r="J757" s="6"/>
      <c r="K757" s="6"/>
      <c r="L757" s="6"/>
      <c r="M757" s="6"/>
      <c r="N757" s="6"/>
      <c r="O757" s="6"/>
      <c r="P757" s="6"/>
      <c r="Q757" s="6"/>
      <c r="R757" s="6"/>
      <c r="S757" s="6"/>
      <c r="T757" s="6"/>
      <c r="U757" s="6"/>
      <c r="V757" s="6"/>
      <c r="W757" s="6"/>
      <c r="X757" s="6"/>
      <c r="Y757" s="6"/>
      <c r="Z757" s="6"/>
      <c r="AA757" s="19"/>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row>
    <row r="758">
      <c r="A758" s="6"/>
      <c r="B758" s="6"/>
      <c r="C758" s="18"/>
      <c r="D758" s="6"/>
      <c r="E758" s="6"/>
      <c r="F758" s="6"/>
      <c r="G758" s="6"/>
      <c r="H758" s="6"/>
      <c r="I758" s="6"/>
      <c r="J758" s="6"/>
      <c r="K758" s="6"/>
      <c r="L758" s="6"/>
      <c r="M758" s="6"/>
      <c r="N758" s="6"/>
      <c r="O758" s="6"/>
      <c r="P758" s="6"/>
      <c r="Q758" s="6"/>
      <c r="R758" s="6"/>
      <c r="S758" s="6"/>
      <c r="T758" s="6"/>
      <c r="U758" s="6"/>
      <c r="V758" s="6"/>
      <c r="W758" s="6"/>
      <c r="X758" s="6"/>
      <c r="Y758" s="6"/>
      <c r="Z758" s="6"/>
      <c r="AA758" s="19"/>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row>
    <row r="759">
      <c r="A759" s="6"/>
      <c r="B759" s="6"/>
      <c r="C759" s="18"/>
      <c r="D759" s="6"/>
      <c r="E759" s="6"/>
      <c r="F759" s="6"/>
      <c r="G759" s="6"/>
      <c r="H759" s="6"/>
      <c r="I759" s="6"/>
      <c r="J759" s="6"/>
      <c r="K759" s="6"/>
      <c r="L759" s="6"/>
      <c r="M759" s="6"/>
      <c r="N759" s="6"/>
      <c r="O759" s="6"/>
      <c r="P759" s="6"/>
      <c r="Q759" s="6"/>
      <c r="R759" s="6"/>
      <c r="S759" s="6"/>
      <c r="T759" s="6"/>
      <c r="U759" s="6"/>
      <c r="V759" s="6"/>
      <c r="W759" s="6"/>
      <c r="X759" s="6"/>
      <c r="Y759" s="6"/>
      <c r="Z759" s="6"/>
      <c r="AA759" s="19"/>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row>
    <row r="760">
      <c r="A760" s="6"/>
      <c r="B760" s="6"/>
      <c r="C760" s="18"/>
      <c r="D760" s="6"/>
      <c r="E760" s="6"/>
      <c r="F760" s="6"/>
      <c r="G760" s="6"/>
      <c r="H760" s="6"/>
      <c r="I760" s="6"/>
      <c r="J760" s="6"/>
      <c r="K760" s="6"/>
      <c r="L760" s="6"/>
      <c r="M760" s="6"/>
      <c r="N760" s="6"/>
      <c r="O760" s="6"/>
      <c r="P760" s="6"/>
      <c r="Q760" s="6"/>
      <c r="R760" s="6"/>
      <c r="S760" s="6"/>
      <c r="T760" s="6"/>
      <c r="U760" s="6"/>
      <c r="V760" s="6"/>
      <c r="W760" s="6"/>
      <c r="X760" s="6"/>
      <c r="Y760" s="6"/>
      <c r="Z760" s="6"/>
      <c r="AA760" s="19"/>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row>
    <row r="761">
      <c r="A761" s="6"/>
      <c r="B761" s="6"/>
      <c r="C761" s="18"/>
      <c r="D761" s="6"/>
      <c r="E761" s="6"/>
      <c r="F761" s="6"/>
      <c r="G761" s="6"/>
      <c r="H761" s="6"/>
      <c r="I761" s="6"/>
      <c r="J761" s="6"/>
      <c r="K761" s="6"/>
      <c r="L761" s="6"/>
      <c r="M761" s="6"/>
      <c r="N761" s="6"/>
      <c r="O761" s="6"/>
      <c r="P761" s="6"/>
      <c r="Q761" s="6"/>
      <c r="R761" s="6"/>
      <c r="S761" s="6"/>
      <c r="T761" s="6"/>
      <c r="U761" s="6"/>
      <c r="V761" s="6"/>
      <c r="W761" s="6"/>
      <c r="X761" s="6"/>
      <c r="Y761" s="6"/>
      <c r="Z761" s="6"/>
      <c r="AA761" s="19"/>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row>
    <row r="762">
      <c r="A762" s="6"/>
      <c r="B762" s="6"/>
      <c r="C762" s="18"/>
      <c r="D762" s="6"/>
      <c r="E762" s="6"/>
      <c r="F762" s="6"/>
      <c r="G762" s="6"/>
      <c r="H762" s="6"/>
      <c r="I762" s="6"/>
      <c r="J762" s="6"/>
      <c r="K762" s="6"/>
      <c r="L762" s="6"/>
      <c r="M762" s="6"/>
      <c r="N762" s="6"/>
      <c r="O762" s="6"/>
      <c r="P762" s="6"/>
      <c r="Q762" s="6"/>
      <c r="R762" s="6"/>
      <c r="S762" s="6"/>
      <c r="T762" s="6"/>
      <c r="U762" s="6"/>
      <c r="V762" s="6"/>
      <c r="W762" s="6"/>
      <c r="X762" s="6"/>
      <c r="Y762" s="6"/>
      <c r="Z762" s="6"/>
      <c r="AA762" s="19"/>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row>
    <row r="763">
      <c r="A763" s="6"/>
      <c r="B763" s="6"/>
      <c r="C763" s="18"/>
      <c r="D763" s="6"/>
      <c r="E763" s="6"/>
      <c r="F763" s="6"/>
      <c r="G763" s="6"/>
      <c r="H763" s="6"/>
      <c r="I763" s="6"/>
      <c r="J763" s="6"/>
      <c r="K763" s="6"/>
      <c r="L763" s="6"/>
      <c r="M763" s="6"/>
      <c r="N763" s="6"/>
      <c r="O763" s="6"/>
      <c r="P763" s="6"/>
      <c r="Q763" s="6"/>
      <c r="R763" s="6"/>
      <c r="S763" s="6"/>
      <c r="T763" s="6"/>
      <c r="U763" s="6"/>
      <c r="V763" s="6"/>
      <c r="W763" s="6"/>
      <c r="X763" s="6"/>
      <c r="Y763" s="6"/>
      <c r="Z763" s="6"/>
      <c r="AA763" s="19"/>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row>
    <row r="764">
      <c r="A764" s="6"/>
      <c r="B764" s="6"/>
      <c r="C764" s="18"/>
      <c r="D764" s="6"/>
      <c r="E764" s="6"/>
      <c r="F764" s="6"/>
      <c r="G764" s="6"/>
      <c r="H764" s="6"/>
      <c r="I764" s="6"/>
      <c r="J764" s="6"/>
      <c r="K764" s="6"/>
      <c r="L764" s="6"/>
      <c r="M764" s="6"/>
      <c r="N764" s="6"/>
      <c r="O764" s="6"/>
      <c r="P764" s="6"/>
      <c r="Q764" s="6"/>
      <c r="R764" s="6"/>
      <c r="S764" s="6"/>
      <c r="T764" s="6"/>
      <c r="U764" s="6"/>
      <c r="V764" s="6"/>
      <c r="W764" s="6"/>
      <c r="X764" s="6"/>
      <c r="Y764" s="6"/>
      <c r="Z764" s="6"/>
      <c r="AA764" s="19"/>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row>
    <row r="765">
      <c r="A765" s="6"/>
      <c r="B765" s="6"/>
      <c r="C765" s="18"/>
      <c r="D765" s="6"/>
      <c r="E765" s="6"/>
      <c r="F765" s="6"/>
      <c r="G765" s="6"/>
      <c r="H765" s="6"/>
      <c r="I765" s="6"/>
      <c r="J765" s="6"/>
      <c r="K765" s="6"/>
      <c r="L765" s="6"/>
      <c r="M765" s="6"/>
      <c r="N765" s="6"/>
      <c r="O765" s="6"/>
      <c r="P765" s="6"/>
      <c r="Q765" s="6"/>
      <c r="R765" s="6"/>
      <c r="S765" s="6"/>
      <c r="T765" s="6"/>
      <c r="U765" s="6"/>
      <c r="V765" s="6"/>
      <c r="W765" s="6"/>
      <c r="X765" s="6"/>
      <c r="Y765" s="6"/>
      <c r="Z765" s="6"/>
      <c r="AA765" s="19"/>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row>
    <row r="766">
      <c r="A766" s="6"/>
      <c r="B766" s="6"/>
      <c r="C766" s="18"/>
      <c r="D766" s="6"/>
      <c r="E766" s="6"/>
      <c r="F766" s="6"/>
      <c r="G766" s="6"/>
      <c r="H766" s="6"/>
      <c r="I766" s="6"/>
      <c r="J766" s="6"/>
      <c r="K766" s="6"/>
      <c r="L766" s="6"/>
      <c r="M766" s="6"/>
      <c r="N766" s="6"/>
      <c r="O766" s="6"/>
      <c r="P766" s="6"/>
      <c r="Q766" s="6"/>
      <c r="R766" s="6"/>
      <c r="S766" s="6"/>
      <c r="T766" s="6"/>
      <c r="U766" s="6"/>
      <c r="V766" s="6"/>
      <c r="W766" s="6"/>
      <c r="X766" s="6"/>
      <c r="Y766" s="6"/>
      <c r="Z766" s="6"/>
      <c r="AA766" s="19"/>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row>
    <row r="767">
      <c r="A767" s="6"/>
      <c r="B767" s="6"/>
      <c r="C767" s="18"/>
      <c r="D767" s="6"/>
      <c r="E767" s="6"/>
      <c r="F767" s="6"/>
      <c r="G767" s="6"/>
      <c r="H767" s="6"/>
      <c r="I767" s="6"/>
      <c r="J767" s="6"/>
      <c r="K767" s="6"/>
      <c r="L767" s="6"/>
      <c r="M767" s="6"/>
      <c r="N767" s="6"/>
      <c r="O767" s="6"/>
      <c r="P767" s="6"/>
      <c r="Q767" s="6"/>
      <c r="R767" s="6"/>
      <c r="S767" s="6"/>
      <c r="T767" s="6"/>
      <c r="U767" s="6"/>
      <c r="V767" s="6"/>
      <c r="W767" s="6"/>
      <c r="X767" s="6"/>
      <c r="Y767" s="6"/>
      <c r="Z767" s="6"/>
      <c r="AA767" s="19"/>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row>
    <row r="768">
      <c r="A768" s="6"/>
      <c r="B768" s="6"/>
      <c r="C768" s="18"/>
      <c r="D768" s="6"/>
      <c r="E768" s="6"/>
      <c r="F768" s="6"/>
      <c r="G768" s="6"/>
      <c r="H768" s="6"/>
      <c r="I768" s="6"/>
      <c r="J768" s="6"/>
      <c r="K768" s="6"/>
      <c r="L768" s="6"/>
      <c r="M768" s="6"/>
      <c r="N768" s="6"/>
      <c r="O768" s="6"/>
      <c r="P768" s="6"/>
      <c r="Q768" s="6"/>
      <c r="R768" s="6"/>
      <c r="S768" s="6"/>
      <c r="T768" s="6"/>
      <c r="U768" s="6"/>
      <c r="V768" s="6"/>
      <c r="W768" s="6"/>
      <c r="X768" s="6"/>
      <c r="Y768" s="6"/>
      <c r="Z768" s="6"/>
      <c r="AA768" s="19"/>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row>
    <row r="769">
      <c r="A769" s="6"/>
      <c r="B769" s="6"/>
      <c r="C769" s="18"/>
      <c r="D769" s="6"/>
      <c r="E769" s="6"/>
      <c r="F769" s="6"/>
      <c r="G769" s="6"/>
      <c r="H769" s="6"/>
      <c r="I769" s="6"/>
      <c r="J769" s="6"/>
      <c r="K769" s="6"/>
      <c r="L769" s="6"/>
      <c r="M769" s="6"/>
      <c r="N769" s="6"/>
      <c r="O769" s="6"/>
      <c r="P769" s="6"/>
      <c r="Q769" s="6"/>
      <c r="R769" s="6"/>
      <c r="S769" s="6"/>
      <c r="T769" s="6"/>
      <c r="U769" s="6"/>
      <c r="V769" s="6"/>
      <c r="W769" s="6"/>
      <c r="X769" s="6"/>
      <c r="Y769" s="6"/>
      <c r="Z769" s="6"/>
      <c r="AA769" s="19"/>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row>
    <row r="770">
      <c r="A770" s="6"/>
      <c r="B770" s="6"/>
      <c r="C770" s="18"/>
      <c r="D770" s="6"/>
      <c r="E770" s="6"/>
      <c r="F770" s="6"/>
      <c r="G770" s="6"/>
      <c r="H770" s="6"/>
      <c r="I770" s="6"/>
      <c r="J770" s="6"/>
      <c r="K770" s="6"/>
      <c r="L770" s="6"/>
      <c r="M770" s="6"/>
      <c r="N770" s="6"/>
      <c r="O770" s="6"/>
      <c r="P770" s="6"/>
      <c r="Q770" s="6"/>
      <c r="R770" s="6"/>
      <c r="S770" s="6"/>
      <c r="T770" s="6"/>
      <c r="U770" s="6"/>
      <c r="V770" s="6"/>
      <c r="W770" s="6"/>
      <c r="X770" s="6"/>
      <c r="Y770" s="6"/>
      <c r="Z770" s="6"/>
      <c r="AA770" s="19"/>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row>
    <row r="771">
      <c r="A771" s="6"/>
      <c r="B771" s="6"/>
      <c r="C771" s="18"/>
      <c r="D771" s="6"/>
      <c r="E771" s="6"/>
      <c r="F771" s="6"/>
      <c r="G771" s="6"/>
      <c r="H771" s="6"/>
      <c r="I771" s="6"/>
      <c r="J771" s="6"/>
      <c r="K771" s="6"/>
      <c r="L771" s="6"/>
      <c r="M771" s="6"/>
      <c r="N771" s="6"/>
      <c r="O771" s="6"/>
      <c r="P771" s="6"/>
      <c r="Q771" s="6"/>
      <c r="R771" s="6"/>
      <c r="S771" s="6"/>
      <c r="T771" s="6"/>
      <c r="U771" s="6"/>
      <c r="V771" s="6"/>
      <c r="W771" s="6"/>
      <c r="X771" s="6"/>
      <c r="Y771" s="6"/>
      <c r="Z771" s="6"/>
      <c r="AA771" s="19"/>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row>
    <row r="772">
      <c r="A772" s="6"/>
      <c r="B772" s="6"/>
      <c r="C772" s="18"/>
      <c r="D772" s="6"/>
      <c r="E772" s="6"/>
      <c r="F772" s="6"/>
      <c r="G772" s="6"/>
      <c r="H772" s="6"/>
      <c r="I772" s="6"/>
      <c r="J772" s="6"/>
      <c r="K772" s="6"/>
      <c r="L772" s="6"/>
      <c r="M772" s="6"/>
      <c r="N772" s="6"/>
      <c r="O772" s="6"/>
      <c r="P772" s="6"/>
      <c r="Q772" s="6"/>
      <c r="R772" s="6"/>
      <c r="S772" s="6"/>
      <c r="T772" s="6"/>
      <c r="U772" s="6"/>
      <c r="V772" s="6"/>
      <c r="W772" s="6"/>
      <c r="X772" s="6"/>
      <c r="Y772" s="6"/>
      <c r="Z772" s="6"/>
      <c r="AA772" s="19"/>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row>
    <row r="773">
      <c r="A773" s="6"/>
      <c r="B773" s="6"/>
      <c r="C773" s="18"/>
      <c r="D773" s="6"/>
      <c r="E773" s="6"/>
      <c r="F773" s="6"/>
      <c r="G773" s="6"/>
      <c r="H773" s="6"/>
      <c r="I773" s="6"/>
      <c r="J773" s="6"/>
      <c r="K773" s="6"/>
      <c r="L773" s="6"/>
      <c r="M773" s="6"/>
      <c r="N773" s="6"/>
      <c r="O773" s="6"/>
      <c r="P773" s="6"/>
      <c r="Q773" s="6"/>
      <c r="R773" s="6"/>
      <c r="S773" s="6"/>
      <c r="T773" s="6"/>
      <c r="U773" s="6"/>
      <c r="V773" s="6"/>
      <c r="W773" s="6"/>
      <c r="X773" s="6"/>
      <c r="Y773" s="6"/>
      <c r="Z773" s="6"/>
      <c r="AA773" s="19"/>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row>
    <row r="774">
      <c r="A774" s="6"/>
      <c r="B774" s="6"/>
      <c r="C774" s="18"/>
      <c r="D774" s="6"/>
      <c r="E774" s="6"/>
      <c r="F774" s="6"/>
      <c r="G774" s="6"/>
      <c r="H774" s="6"/>
      <c r="I774" s="6"/>
      <c r="J774" s="6"/>
      <c r="K774" s="6"/>
      <c r="L774" s="6"/>
      <c r="M774" s="6"/>
      <c r="N774" s="6"/>
      <c r="O774" s="6"/>
      <c r="P774" s="6"/>
      <c r="Q774" s="6"/>
      <c r="R774" s="6"/>
      <c r="S774" s="6"/>
      <c r="T774" s="6"/>
      <c r="U774" s="6"/>
      <c r="V774" s="6"/>
      <c r="W774" s="6"/>
      <c r="X774" s="6"/>
      <c r="Y774" s="6"/>
      <c r="Z774" s="6"/>
      <c r="AA774" s="19"/>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row>
    <row r="775">
      <c r="A775" s="6"/>
      <c r="B775" s="6"/>
      <c r="C775" s="18"/>
      <c r="D775" s="6"/>
      <c r="E775" s="6"/>
      <c r="F775" s="6"/>
      <c r="G775" s="6"/>
      <c r="H775" s="6"/>
      <c r="I775" s="6"/>
      <c r="J775" s="6"/>
      <c r="K775" s="6"/>
      <c r="L775" s="6"/>
      <c r="M775" s="6"/>
      <c r="N775" s="6"/>
      <c r="O775" s="6"/>
      <c r="P775" s="6"/>
      <c r="Q775" s="6"/>
      <c r="R775" s="6"/>
      <c r="S775" s="6"/>
      <c r="T775" s="6"/>
      <c r="U775" s="6"/>
      <c r="V775" s="6"/>
      <c r="W775" s="6"/>
      <c r="X775" s="6"/>
      <c r="Y775" s="6"/>
      <c r="Z775" s="6"/>
      <c r="AA775" s="19"/>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row>
    <row r="776">
      <c r="A776" s="6"/>
      <c r="B776" s="6"/>
      <c r="C776" s="18"/>
      <c r="D776" s="6"/>
      <c r="E776" s="6"/>
      <c r="F776" s="6"/>
      <c r="G776" s="6"/>
      <c r="H776" s="6"/>
      <c r="I776" s="6"/>
      <c r="J776" s="6"/>
      <c r="K776" s="6"/>
      <c r="L776" s="6"/>
      <c r="M776" s="6"/>
      <c r="N776" s="6"/>
      <c r="O776" s="6"/>
      <c r="P776" s="6"/>
      <c r="Q776" s="6"/>
      <c r="R776" s="6"/>
      <c r="S776" s="6"/>
      <c r="T776" s="6"/>
      <c r="U776" s="6"/>
      <c r="V776" s="6"/>
      <c r="W776" s="6"/>
      <c r="X776" s="6"/>
      <c r="Y776" s="6"/>
      <c r="Z776" s="6"/>
      <c r="AA776" s="19"/>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row>
    <row r="777">
      <c r="A777" s="6"/>
      <c r="B777" s="6"/>
      <c r="C777" s="18"/>
      <c r="D777" s="6"/>
      <c r="E777" s="6"/>
      <c r="F777" s="6"/>
      <c r="G777" s="6"/>
      <c r="H777" s="6"/>
      <c r="I777" s="6"/>
      <c r="J777" s="6"/>
      <c r="K777" s="6"/>
      <c r="L777" s="6"/>
      <c r="M777" s="6"/>
      <c r="N777" s="6"/>
      <c r="O777" s="6"/>
      <c r="P777" s="6"/>
      <c r="Q777" s="6"/>
      <c r="R777" s="6"/>
      <c r="S777" s="6"/>
      <c r="T777" s="6"/>
      <c r="U777" s="6"/>
      <c r="V777" s="6"/>
      <c r="W777" s="6"/>
      <c r="X777" s="6"/>
      <c r="Y777" s="6"/>
      <c r="Z777" s="6"/>
      <c r="AA777" s="19"/>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row>
    <row r="778">
      <c r="A778" s="6"/>
      <c r="B778" s="6"/>
      <c r="C778" s="18"/>
      <c r="D778" s="6"/>
      <c r="E778" s="6"/>
      <c r="F778" s="6"/>
      <c r="G778" s="6"/>
      <c r="H778" s="6"/>
      <c r="I778" s="6"/>
      <c r="J778" s="6"/>
      <c r="K778" s="6"/>
      <c r="L778" s="6"/>
      <c r="M778" s="6"/>
      <c r="N778" s="6"/>
      <c r="O778" s="6"/>
      <c r="P778" s="6"/>
      <c r="Q778" s="6"/>
      <c r="R778" s="6"/>
      <c r="S778" s="6"/>
      <c r="T778" s="6"/>
      <c r="U778" s="6"/>
      <c r="V778" s="6"/>
      <c r="W778" s="6"/>
      <c r="X778" s="6"/>
      <c r="Y778" s="6"/>
      <c r="Z778" s="6"/>
      <c r="AA778" s="19"/>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row>
    <row r="779">
      <c r="A779" s="6"/>
      <c r="B779" s="6"/>
      <c r="C779" s="18"/>
      <c r="D779" s="6"/>
      <c r="E779" s="6"/>
      <c r="F779" s="6"/>
      <c r="G779" s="6"/>
      <c r="H779" s="6"/>
      <c r="I779" s="6"/>
      <c r="J779" s="6"/>
      <c r="K779" s="6"/>
      <c r="L779" s="6"/>
      <c r="M779" s="6"/>
      <c r="N779" s="6"/>
      <c r="O779" s="6"/>
      <c r="P779" s="6"/>
      <c r="Q779" s="6"/>
      <c r="R779" s="6"/>
      <c r="S779" s="6"/>
      <c r="T779" s="6"/>
      <c r="U779" s="6"/>
      <c r="V779" s="6"/>
      <c r="W779" s="6"/>
      <c r="X779" s="6"/>
      <c r="Y779" s="6"/>
      <c r="Z779" s="6"/>
      <c r="AA779" s="19"/>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row>
    <row r="780">
      <c r="A780" s="6"/>
      <c r="B780" s="6"/>
      <c r="C780" s="18"/>
      <c r="D780" s="6"/>
      <c r="E780" s="6"/>
      <c r="F780" s="6"/>
      <c r="G780" s="6"/>
      <c r="H780" s="6"/>
      <c r="I780" s="6"/>
      <c r="J780" s="6"/>
      <c r="K780" s="6"/>
      <c r="L780" s="6"/>
      <c r="M780" s="6"/>
      <c r="N780" s="6"/>
      <c r="O780" s="6"/>
      <c r="P780" s="6"/>
      <c r="Q780" s="6"/>
      <c r="R780" s="6"/>
      <c r="S780" s="6"/>
      <c r="T780" s="6"/>
      <c r="U780" s="6"/>
      <c r="V780" s="6"/>
      <c r="W780" s="6"/>
      <c r="X780" s="6"/>
      <c r="Y780" s="6"/>
      <c r="Z780" s="6"/>
      <c r="AA780" s="19"/>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row>
    <row r="781">
      <c r="A781" s="6"/>
      <c r="B781" s="6"/>
      <c r="C781" s="18"/>
      <c r="D781" s="6"/>
      <c r="E781" s="6"/>
      <c r="F781" s="6"/>
      <c r="G781" s="6"/>
      <c r="H781" s="6"/>
      <c r="I781" s="6"/>
      <c r="J781" s="6"/>
      <c r="K781" s="6"/>
      <c r="L781" s="6"/>
      <c r="M781" s="6"/>
      <c r="N781" s="6"/>
      <c r="O781" s="6"/>
      <c r="P781" s="6"/>
      <c r="Q781" s="6"/>
      <c r="R781" s="6"/>
      <c r="S781" s="6"/>
      <c r="T781" s="6"/>
      <c r="U781" s="6"/>
      <c r="V781" s="6"/>
      <c r="W781" s="6"/>
      <c r="X781" s="6"/>
      <c r="Y781" s="6"/>
      <c r="Z781" s="6"/>
      <c r="AA781" s="19"/>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row>
    <row r="782">
      <c r="A782" s="6"/>
      <c r="B782" s="6"/>
      <c r="C782" s="18"/>
      <c r="D782" s="6"/>
      <c r="E782" s="6"/>
      <c r="F782" s="6"/>
      <c r="G782" s="6"/>
      <c r="H782" s="6"/>
      <c r="I782" s="6"/>
      <c r="J782" s="6"/>
      <c r="K782" s="6"/>
      <c r="L782" s="6"/>
      <c r="M782" s="6"/>
      <c r="N782" s="6"/>
      <c r="O782" s="6"/>
      <c r="P782" s="6"/>
      <c r="Q782" s="6"/>
      <c r="R782" s="6"/>
      <c r="S782" s="6"/>
      <c r="T782" s="6"/>
      <c r="U782" s="6"/>
      <c r="V782" s="6"/>
      <c r="W782" s="6"/>
      <c r="X782" s="6"/>
      <c r="Y782" s="6"/>
      <c r="Z782" s="6"/>
      <c r="AA782" s="19"/>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row>
    <row r="783">
      <c r="A783" s="6"/>
      <c r="B783" s="6"/>
      <c r="C783" s="18"/>
      <c r="D783" s="6"/>
      <c r="E783" s="6"/>
      <c r="F783" s="6"/>
      <c r="G783" s="6"/>
      <c r="H783" s="6"/>
      <c r="I783" s="6"/>
      <c r="J783" s="6"/>
      <c r="K783" s="6"/>
      <c r="L783" s="6"/>
      <c r="M783" s="6"/>
      <c r="N783" s="6"/>
      <c r="O783" s="6"/>
      <c r="P783" s="6"/>
      <c r="Q783" s="6"/>
      <c r="R783" s="6"/>
      <c r="S783" s="6"/>
      <c r="T783" s="6"/>
      <c r="U783" s="6"/>
      <c r="V783" s="6"/>
      <c r="W783" s="6"/>
      <c r="X783" s="6"/>
      <c r="Y783" s="6"/>
      <c r="Z783" s="6"/>
      <c r="AA783" s="19"/>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row>
    <row r="784">
      <c r="A784" s="6"/>
      <c r="B784" s="6"/>
      <c r="C784" s="18"/>
      <c r="D784" s="6"/>
      <c r="E784" s="6"/>
      <c r="F784" s="6"/>
      <c r="G784" s="6"/>
      <c r="H784" s="6"/>
      <c r="I784" s="6"/>
      <c r="J784" s="6"/>
      <c r="K784" s="6"/>
      <c r="L784" s="6"/>
      <c r="M784" s="6"/>
      <c r="N784" s="6"/>
      <c r="O784" s="6"/>
      <c r="P784" s="6"/>
      <c r="Q784" s="6"/>
      <c r="R784" s="6"/>
      <c r="S784" s="6"/>
      <c r="T784" s="6"/>
      <c r="U784" s="6"/>
      <c r="V784" s="6"/>
      <c r="W784" s="6"/>
      <c r="X784" s="6"/>
      <c r="Y784" s="6"/>
      <c r="Z784" s="6"/>
      <c r="AA784" s="19"/>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row>
    <row r="785">
      <c r="A785" s="6"/>
      <c r="B785" s="6"/>
      <c r="C785" s="18"/>
      <c r="D785" s="6"/>
      <c r="E785" s="6"/>
      <c r="F785" s="6"/>
      <c r="G785" s="6"/>
      <c r="H785" s="6"/>
      <c r="I785" s="6"/>
      <c r="J785" s="6"/>
      <c r="K785" s="6"/>
      <c r="L785" s="6"/>
      <c r="M785" s="6"/>
      <c r="N785" s="6"/>
      <c r="O785" s="6"/>
      <c r="P785" s="6"/>
      <c r="Q785" s="6"/>
      <c r="R785" s="6"/>
      <c r="S785" s="6"/>
      <c r="T785" s="6"/>
      <c r="U785" s="6"/>
      <c r="V785" s="6"/>
      <c r="W785" s="6"/>
      <c r="X785" s="6"/>
      <c r="Y785" s="6"/>
      <c r="Z785" s="6"/>
      <c r="AA785" s="19"/>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row>
    <row r="786">
      <c r="A786" s="6"/>
      <c r="B786" s="6"/>
      <c r="C786" s="18"/>
      <c r="D786" s="6"/>
      <c r="E786" s="6"/>
      <c r="F786" s="6"/>
      <c r="G786" s="6"/>
      <c r="H786" s="6"/>
      <c r="I786" s="6"/>
      <c r="J786" s="6"/>
      <c r="K786" s="6"/>
      <c r="L786" s="6"/>
      <c r="M786" s="6"/>
      <c r="N786" s="6"/>
      <c r="O786" s="6"/>
      <c r="P786" s="6"/>
      <c r="Q786" s="6"/>
      <c r="R786" s="6"/>
      <c r="S786" s="6"/>
      <c r="T786" s="6"/>
      <c r="U786" s="6"/>
      <c r="V786" s="6"/>
      <c r="W786" s="6"/>
      <c r="X786" s="6"/>
      <c r="Y786" s="6"/>
      <c r="Z786" s="6"/>
      <c r="AA786" s="19"/>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row>
    <row r="787">
      <c r="A787" s="6"/>
      <c r="B787" s="6"/>
      <c r="C787" s="18"/>
      <c r="D787" s="6"/>
      <c r="E787" s="6"/>
      <c r="F787" s="6"/>
      <c r="G787" s="6"/>
      <c r="H787" s="6"/>
      <c r="I787" s="6"/>
      <c r="J787" s="6"/>
      <c r="K787" s="6"/>
      <c r="L787" s="6"/>
      <c r="M787" s="6"/>
      <c r="N787" s="6"/>
      <c r="O787" s="6"/>
      <c r="P787" s="6"/>
      <c r="Q787" s="6"/>
      <c r="R787" s="6"/>
      <c r="S787" s="6"/>
      <c r="T787" s="6"/>
      <c r="U787" s="6"/>
      <c r="V787" s="6"/>
      <c r="W787" s="6"/>
      <c r="X787" s="6"/>
      <c r="Y787" s="6"/>
      <c r="Z787" s="6"/>
      <c r="AA787" s="19"/>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row>
    <row r="788">
      <c r="A788" s="6"/>
      <c r="B788" s="6"/>
      <c r="C788" s="18"/>
      <c r="D788" s="6"/>
      <c r="E788" s="6"/>
      <c r="F788" s="6"/>
      <c r="G788" s="6"/>
      <c r="H788" s="6"/>
      <c r="I788" s="6"/>
      <c r="J788" s="6"/>
      <c r="K788" s="6"/>
      <c r="L788" s="6"/>
      <c r="M788" s="6"/>
      <c r="N788" s="6"/>
      <c r="O788" s="6"/>
      <c r="P788" s="6"/>
      <c r="Q788" s="6"/>
      <c r="R788" s="6"/>
      <c r="S788" s="6"/>
      <c r="T788" s="6"/>
      <c r="U788" s="6"/>
      <c r="V788" s="6"/>
      <c r="W788" s="6"/>
      <c r="X788" s="6"/>
      <c r="Y788" s="6"/>
      <c r="Z788" s="6"/>
      <c r="AA788" s="19"/>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row>
    <row r="789">
      <c r="A789" s="6"/>
      <c r="B789" s="6"/>
      <c r="C789" s="18"/>
      <c r="D789" s="6"/>
      <c r="E789" s="6"/>
      <c r="F789" s="6"/>
      <c r="G789" s="6"/>
      <c r="H789" s="6"/>
      <c r="I789" s="6"/>
      <c r="J789" s="6"/>
      <c r="K789" s="6"/>
      <c r="L789" s="6"/>
      <c r="M789" s="6"/>
      <c r="N789" s="6"/>
      <c r="O789" s="6"/>
      <c r="P789" s="6"/>
      <c r="Q789" s="6"/>
      <c r="R789" s="6"/>
      <c r="S789" s="6"/>
      <c r="T789" s="6"/>
      <c r="U789" s="6"/>
      <c r="V789" s="6"/>
      <c r="W789" s="6"/>
      <c r="X789" s="6"/>
      <c r="Y789" s="6"/>
      <c r="Z789" s="6"/>
      <c r="AA789" s="19"/>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row>
    <row r="790">
      <c r="A790" s="6"/>
      <c r="B790" s="6"/>
      <c r="C790" s="18"/>
      <c r="D790" s="6"/>
      <c r="E790" s="6"/>
      <c r="F790" s="6"/>
      <c r="G790" s="6"/>
      <c r="H790" s="6"/>
      <c r="I790" s="6"/>
      <c r="J790" s="6"/>
      <c r="K790" s="6"/>
      <c r="L790" s="6"/>
      <c r="M790" s="6"/>
      <c r="N790" s="6"/>
      <c r="O790" s="6"/>
      <c r="P790" s="6"/>
      <c r="Q790" s="6"/>
      <c r="R790" s="6"/>
      <c r="S790" s="6"/>
      <c r="T790" s="6"/>
      <c r="U790" s="6"/>
      <c r="V790" s="6"/>
      <c r="W790" s="6"/>
      <c r="X790" s="6"/>
      <c r="Y790" s="6"/>
      <c r="Z790" s="6"/>
      <c r="AA790" s="19"/>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row>
    <row r="791">
      <c r="A791" s="6"/>
      <c r="B791" s="6"/>
      <c r="C791" s="18"/>
      <c r="D791" s="6"/>
      <c r="E791" s="6"/>
      <c r="F791" s="6"/>
      <c r="G791" s="6"/>
      <c r="H791" s="6"/>
      <c r="I791" s="6"/>
      <c r="J791" s="6"/>
      <c r="K791" s="6"/>
      <c r="L791" s="6"/>
      <c r="M791" s="6"/>
      <c r="N791" s="6"/>
      <c r="O791" s="6"/>
      <c r="P791" s="6"/>
      <c r="Q791" s="6"/>
      <c r="R791" s="6"/>
      <c r="S791" s="6"/>
      <c r="T791" s="6"/>
      <c r="U791" s="6"/>
      <c r="V791" s="6"/>
      <c r="W791" s="6"/>
      <c r="X791" s="6"/>
      <c r="Y791" s="6"/>
      <c r="Z791" s="6"/>
      <c r="AA791" s="19"/>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row>
    <row r="792">
      <c r="A792" s="6"/>
      <c r="B792" s="6"/>
      <c r="C792" s="18"/>
      <c r="D792" s="6"/>
      <c r="E792" s="6"/>
      <c r="F792" s="6"/>
      <c r="G792" s="6"/>
      <c r="H792" s="6"/>
      <c r="I792" s="6"/>
      <c r="J792" s="6"/>
      <c r="K792" s="6"/>
      <c r="L792" s="6"/>
      <c r="M792" s="6"/>
      <c r="N792" s="6"/>
      <c r="O792" s="6"/>
      <c r="P792" s="6"/>
      <c r="Q792" s="6"/>
      <c r="R792" s="6"/>
      <c r="S792" s="6"/>
      <c r="T792" s="6"/>
      <c r="U792" s="6"/>
      <c r="V792" s="6"/>
      <c r="W792" s="6"/>
      <c r="X792" s="6"/>
      <c r="Y792" s="6"/>
      <c r="Z792" s="6"/>
      <c r="AA792" s="19"/>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row>
    <row r="793">
      <c r="A793" s="6"/>
      <c r="B793" s="6"/>
      <c r="C793" s="18"/>
      <c r="D793" s="6"/>
      <c r="E793" s="6"/>
      <c r="F793" s="6"/>
      <c r="G793" s="6"/>
      <c r="H793" s="6"/>
      <c r="I793" s="6"/>
      <c r="J793" s="6"/>
      <c r="K793" s="6"/>
      <c r="L793" s="6"/>
      <c r="M793" s="6"/>
      <c r="N793" s="6"/>
      <c r="O793" s="6"/>
      <c r="P793" s="6"/>
      <c r="Q793" s="6"/>
      <c r="R793" s="6"/>
      <c r="S793" s="6"/>
      <c r="T793" s="6"/>
      <c r="U793" s="6"/>
      <c r="V793" s="6"/>
      <c r="W793" s="6"/>
      <c r="X793" s="6"/>
      <c r="Y793" s="6"/>
      <c r="Z793" s="6"/>
      <c r="AA793" s="19"/>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row>
    <row r="794">
      <c r="A794" s="6"/>
      <c r="B794" s="6"/>
      <c r="C794" s="18"/>
      <c r="D794" s="6"/>
      <c r="E794" s="6"/>
      <c r="F794" s="6"/>
      <c r="G794" s="6"/>
      <c r="H794" s="6"/>
      <c r="I794" s="6"/>
      <c r="J794" s="6"/>
      <c r="K794" s="6"/>
      <c r="L794" s="6"/>
      <c r="M794" s="6"/>
      <c r="N794" s="6"/>
      <c r="O794" s="6"/>
      <c r="P794" s="6"/>
      <c r="Q794" s="6"/>
      <c r="R794" s="6"/>
      <c r="S794" s="6"/>
      <c r="T794" s="6"/>
      <c r="U794" s="6"/>
      <c r="V794" s="6"/>
      <c r="W794" s="6"/>
      <c r="X794" s="6"/>
      <c r="Y794" s="6"/>
      <c r="Z794" s="6"/>
      <c r="AA794" s="19"/>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row>
    <row r="795">
      <c r="A795" s="6"/>
      <c r="B795" s="6"/>
      <c r="C795" s="18"/>
      <c r="D795" s="6"/>
      <c r="E795" s="6"/>
      <c r="F795" s="6"/>
      <c r="G795" s="6"/>
      <c r="H795" s="6"/>
      <c r="I795" s="6"/>
      <c r="J795" s="6"/>
      <c r="K795" s="6"/>
      <c r="L795" s="6"/>
      <c r="M795" s="6"/>
      <c r="N795" s="6"/>
      <c r="O795" s="6"/>
      <c r="P795" s="6"/>
      <c r="Q795" s="6"/>
      <c r="R795" s="6"/>
      <c r="S795" s="6"/>
      <c r="T795" s="6"/>
      <c r="U795" s="6"/>
      <c r="V795" s="6"/>
      <c r="W795" s="6"/>
      <c r="X795" s="6"/>
      <c r="Y795" s="6"/>
      <c r="Z795" s="6"/>
      <c r="AA795" s="19"/>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row>
    <row r="796">
      <c r="A796" s="6"/>
      <c r="B796" s="6"/>
      <c r="C796" s="18"/>
      <c r="D796" s="6"/>
      <c r="E796" s="6"/>
      <c r="F796" s="6"/>
      <c r="G796" s="6"/>
      <c r="H796" s="6"/>
      <c r="I796" s="6"/>
      <c r="J796" s="6"/>
      <c r="K796" s="6"/>
      <c r="L796" s="6"/>
      <c r="M796" s="6"/>
      <c r="N796" s="6"/>
      <c r="O796" s="6"/>
      <c r="P796" s="6"/>
      <c r="Q796" s="6"/>
      <c r="R796" s="6"/>
      <c r="S796" s="6"/>
      <c r="T796" s="6"/>
      <c r="U796" s="6"/>
      <c r="V796" s="6"/>
      <c r="W796" s="6"/>
      <c r="X796" s="6"/>
      <c r="Y796" s="6"/>
      <c r="Z796" s="6"/>
      <c r="AA796" s="19"/>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row>
    <row r="797">
      <c r="A797" s="6"/>
      <c r="B797" s="6"/>
      <c r="C797" s="18"/>
      <c r="D797" s="6"/>
      <c r="E797" s="6"/>
      <c r="F797" s="6"/>
      <c r="G797" s="6"/>
      <c r="H797" s="6"/>
      <c r="I797" s="6"/>
      <c r="J797" s="6"/>
      <c r="K797" s="6"/>
      <c r="L797" s="6"/>
      <c r="M797" s="6"/>
      <c r="N797" s="6"/>
      <c r="O797" s="6"/>
      <c r="P797" s="6"/>
      <c r="Q797" s="6"/>
      <c r="R797" s="6"/>
      <c r="S797" s="6"/>
      <c r="T797" s="6"/>
      <c r="U797" s="6"/>
      <c r="V797" s="6"/>
      <c r="W797" s="6"/>
      <c r="X797" s="6"/>
      <c r="Y797" s="6"/>
      <c r="Z797" s="6"/>
      <c r="AA797" s="19"/>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row>
    <row r="798">
      <c r="A798" s="6"/>
      <c r="B798" s="6"/>
      <c r="C798" s="18"/>
      <c r="D798" s="6"/>
      <c r="E798" s="6"/>
      <c r="F798" s="6"/>
      <c r="G798" s="6"/>
      <c r="H798" s="6"/>
      <c r="I798" s="6"/>
      <c r="J798" s="6"/>
      <c r="K798" s="6"/>
      <c r="L798" s="6"/>
      <c r="M798" s="6"/>
      <c r="N798" s="6"/>
      <c r="O798" s="6"/>
      <c r="P798" s="6"/>
      <c r="Q798" s="6"/>
      <c r="R798" s="6"/>
      <c r="S798" s="6"/>
      <c r="T798" s="6"/>
      <c r="U798" s="6"/>
      <c r="V798" s="6"/>
      <c r="W798" s="6"/>
      <c r="X798" s="6"/>
      <c r="Y798" s="6"/>
      <c r="Z798" s="6"/>
      <c r="AA798" s="19"/>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row>
    <row r="799">
      <c r="A799" s="6"/>
      <c r="B799" s="6"/>
      <c r="C799" s="18"/>
      <c r="D799" s="6"/>
      <c r="E799" s="6"/>
      <c r="F799" s="6"/>
      <c r="G799" s="6"/>
      <c r="H799" s="6"/>
      <c r="I799" s="6"/>
      <c r="J799" s="6"/>
      <c r="K799" s="6"/>
      <c r="L799" s="6"/>
      <c r="M799" s="6"/>
      <c r="N799" s="6"/>
      <c r="O799" s="6"/>
      <c r="P799" s="6"/>
      <c r="Q799" s="6"/>
      <c r="R799" s="6"/>
      <c r="S799" s="6"/>
      <c r="T799" s="6"/>
      <c r="U799" s="6"/>
      <c r="V799" s="6"/>
      <c r="W799" s="6"/>
      <c r="X799" s="6"/>
      <c r="Y799" s="6"/>
      <c r="Z799" s="6"/>
      <c r="AA799" s="19"/>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row>
    <row r="800">
      <c r="A800" s="6"/>
      <c r="B800" s="6"/>
      <c r="C800" s="18"/>
      <c r="D800" s="6"/>
      <c r="E800" s="6"/>
      <c r="F800" s="6"/>
      <c r="G800" s="6"/>
      <c r="H800" s="6"/>
      <c r="I800" s="6"/>
      <c r="J800" s="6"/>
      <c r="K800" s="6"/>
      <c r="L800" s="6"/>
      <c r="M800" s="6"/>
      <c r="N800" s="6"/>
      <c r="O800" s="6"/>
      <c r="P800" s="6"/>
      <c r="Q800" s="6"/>
      <c r="R800" s="6"/>
      <c r="S800" s="6"/>
      <c r="T800" s="6"/>
      <c r="U800" s="6"/>
      <c r="V800" s="6"/>
      <c r="W800" s="6"/>
      <c r="X800" s="6"/>
      <c r="Y800" s="6"/>
      <c r="Z800" s="6"/>
      <c r="AA800" s="19"/>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row>
    <row r="801">
      <c r="A801" s="6"/>
      <c r="B801" s="6"/>
      <c r="C801" s="18"/>
      <c r="D801" s="6"/>
      <c r="E801" s="6"/>
      <c r="F801" s="6"/>
      <c r="G801" s="6"/>
      <c r="H801" s="6"/>
      <c r="I801" s="6"/>
      <c r="J801" s="6"/>
      <c r="K801" s="6"/>
      <c r="L801" s="6"/>
      <c r="M801" s="6"/>
      <c r="N801" s="6"/>
      <c r="O801" s="6"/>
      <c r="P801" s="6"/>
      <c r="Q801" s="6"/>
      <c r="R801" s="6"/>
      <c r="S801" s="6"/>
      <c r="T801" s="6"/>
      <c r="U801" s="6"/>
      <c r="V801" s="6"/>
      <c r="W801" s="6"/>
      <c r="X801" s="6"/>
      <c r="Y801" s="6"/>
      <c r="Z801" s="6"/>
      <c r="AA801" s="19"/>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row>
    <row r="802">
      <c r="A802" s="6"/>
      <c r="B802" s="6"/>
      <c r="C802" s="18"/>
      <c r="D802" s="6"/>
      <c r="E802" s="6"/>
      <c r="F802" s="6"/>
      <c r="G802" s="6"/>
      <c r="H802" s="6"/>
      <c r="I802" s="6"/>
      <c r="J802" s="6"/>
      <c r="K802" s="6"/>
      <c r="L802" s="6"/>
      <c r="M802" s="6"/>
      <c r="N802" s="6"/>
      <c r="O802" s="6"/>
      <c r="P802" s="6"/>
      <c r="Q802" s="6"/>
      <c r="R802" s="6"/>
      <c r="S802" s="6"/>
      <c r="T802" s="6"/>
      <c r="U802" s="6"/>
      <c r="V802" s="6"/>
      <c r="W802" s="6"/>
      <c r="X802" s="6"/>
      <c r="Y802" s="6"/>
      <c r="Z802" s="6"/>
      <c r="AA802" s="19"/>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row>
    <row r="803">
      <c r="A803" s="6"/>
      <c r="B803" s="6"/>
      <c r="C803" s="18"/>
      <c r="D803" s="6"/>
      <c r="E803" s="6"/>
      <c r="F803" s="6"/>
      <c r="G803" s="6"/>
      <c r="H803" s="6"/>
      <c r="I803" s="6"/>
      <c r="J803" s="6"/>
      <c r="K803" s="6"/>
      <c r="L803" s="6"/>
      <c r="M803" s="6"/>
      <c r="N803" s="6"/>
      <c r="O803" s="6"/>
      <c r="P803" s="6"/>
      <c r="Q803" s="6"/>
      <c r="R803" s="6"/>
      <c r="S803" s="6"/>
      <c r="T803" s="6"/>
      <c r="U803" s="6"/>
      <c r="V803" s="6"/>
      <c r="W803" s="6"/>
      <c r="X803" s="6"/>
      <c r="Y803" s="6"/>
      <c r="Z803" s="6"/>
      <c r="AA803" s="19"/>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row>
    <row r="804">
      <c r="A804" s="6"/>
      <c r="B804" s="6"/>
      <c r="C804" s="18"/>
      <c r="D804" s="6"/>
      <c r="E804" s="6"/>
      <c r="F804" s="6"/>
      <c r="G804" s="6"/>
      <c r="H804" s="6"/>
      <c r="I804" s="6"/>
      <c r="J804" s="6"/>
      <c r="K804" s="6"/>
      <c r="L804" s="6"/>
      <c r="M804" s="6"/>
      <c r="N804" s="6"/>
      <c r="O804" s="6"/>
      <c r="P804" s="6"/>
      <c r="Q804" s="6"/>
      <c r="R804" s="6"/>
      <c r="S804" s="6"/>
      <c r="T804" s="6"/>
      <c r="U804" s="6"/>
      <c r="V804" s="6"/>
      <c r="W804" s="6"/>
      <c r="X804" s="6"/>
      <c r="Y804" s="6"/>
      <c r="Z804" s="6"/>
      <c r="AA804" s="19"/>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row>
    <row r="805">
      <c r="A805" s="6"/>
      <c r="B805" s="6"/>
      <c r="C805" s="18"/>
      <c r="D805" s="6"/>
      <c r="E805" s="6"/>
      <c r="F805" s="6"/>
      <c r="G805" s="6"/>
      <c r="H805" s="6"/>
      <c r="I805" s="6"/>
      <c r="J805" s="6"/>
      <c r="K805" s="6"/>
      <c r="L805" s="6"/>
      <c r="M805" s="6"/>
      <c r="N805" s="6"/>
      <c r="O805" s="6"/>
      <c r="P805" s="6"/>
      <c r="Q805" s="6"/>
      <c r="R805" s="6"/>
      <c r="S805" s="6"/>
      <c r="T805" s="6"/>
      <c r="U805" s="6"/>
      <c r="V805" s="6"/>
      <c r="W805" s="6"/>
      <c r="X805" s="6"/>
      <c r="Y805" s="6"/>
      <c r="Z805" s="6"/>
      <c r="AA805" s="19"/>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row>
    <row r="806">
      <c r="A806" s="6"/>
      <c r="B806" s="6"/>
      <c r="C806" s="18"/>
      <c r="D806" s="6"/>
      <c r="E806" s="6"/>
      <c r="F806" s="6"/>
      <c r="G806" s="6"/>
      <c r="H806" s="6"/>
      <c r="I806" s="6"/>
      <c r="J806" s="6"/>
      <c r="K806" s="6"/>
      <c r="L806" s="6"/>
      <c r="M806" s="6"/>
      <c r="N806" s="6"/>
      <c r="O806" s="6"/>
      <c r="P806" s="6"/>
      <c r="Q806" s="6"/>
      <c r="R806" s="6"/>
      <c r="S806" s="6"/>
      <c r="T806" s="6"/>
      <c r="U806" s="6"/>
      <c r="V806" s="6"/>
      <c r="W806" s="6"/>
      <c r="X806" s="6"/>
      <c r="Y806" s="6"/>
      <c r="Z806" s="6"/>
      <c r="AA806" s="19"/>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row>
    <row r="807">
      <c r="A807" s="6"/>
      <c r="B807" s="6"/>
      <c r="C807" s="18"/>
      <c r="D807" s="6"/>
      <c r="E807" s="6"/>
      <c r="F807" s="6"/>
      <c r="G807" s="6"/>
      <c r="H807" s="6"/>
      <c r="I807" s="6"/>
      <c r="J807" s="6"/>
      <c r="K807" s="6"/>
      <c r="L807" s="6"/>
      <c r="M807" s="6"/>
      <c r="N807" s="6"/>
      <c r="O807" s="6"/>
      <c r="P807" s="6"/>
      <c r="Q807" s="6"/>
      <c r="R807" s="6"/>
      <c r="S807" s="6"/>
      <c r="T807" s="6"/>
      <c r="U807" s="6"/>
      <c r="V807" s="6"/>
      <c r="W807" s="6"/>
      <c r="X807" s="6"/>
      <c r="Y807" s="6"/>
      <c r="Z807" s="6"/>
      <c r="AA807" s="19"/>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row>
    <row r="808">
      <c r="A808" s="6"/>
      <c r="B808" s="6"/>
      <c r="C808" s="18"/>
      <c r="D808" s="6"/>
      <c r="E808" s="6"/>
      <c r="F808" s="6"/>
      <c r="G808" s="6"/>
      <c r="H808" s="6"/>
      <c r="I808" s="6"/>
      <c r="J808" s="6"/>
      <c r="K808" s="6"/>
      <c r="L808" s="6"/>
      <c r="M808" s="6"/>
      <c r="N808" s="6"/>
      <c r="O808" s="6"/>
      <c r="P808" s="6"/>
      <c r="Q808" s="6"/>
      <c r="R808" s="6"/>
      <c r="S808" s="6"/>
      <c r="T808" s="6"/>
      <c r="U808" s="6"/>
      <c r="V808" s="6"/>
      <c r="W808" s="6"/>
      <c r="X808" s="6"/>
      <c r="Y808" s="6"/>
      <c r="Z808" s="6"/>
      <c r="AA808" s="19"/>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row>
    <row r="809">
      <c r="A809" s="6"/>
      <c r="B809" s="6"/>
      <c r="C809" s="18"/>
      <c r="D809" s="6"/>
      <c r="E809" s="6"/>
      <c r="F809" s="6"/>
      <c r="G809" s="6"/>
      <c r="H809" s="6"/>
      <c r="I809" s="6"/>
      <c r="J809" s="6"/>
      <c r="K809" s="6"/>
      <c r="L809" s="6"/>
      <c r="M809" s="6"/>
      <c r="N809" s="6"/>
      <c r="O809" s="6"/>
      <c r="P809" s="6"/>
      <c r="Q809" s="6"/>
      <c r="R809" s="6"/>
      <c r="S809" s="6"/>
      <c r="T809" s="6"/>
      <c r="U809" s="6"/>
      <c r="V809" s="6"/>
      <c r="W809" s="6"/>
      <c r="X809" s="6"/>
      <c r="Y809" s="6"/>
      <c r="Z809" s="6"/>
      <c r="AA809" s="19"/>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row>
    <row r="810">
      <c r="A810" s="6"/>
      <c r="B810" s="6"/>
      <c r="C810" s="18"/>
      <c r="D810" s="6"/>
      <c r="E810" s="6"/>
      <c r="F810" s="6"/>
      <c r="G810" s="6"/>
      <c r="H810" s="6"/>
      <c r="I810" s="6"/>
      <c r="J810" s="6"/>
      <c r="K810" s="6"/>
      <c r="L810" s="6"/>
      <c r="M810" s="6"/>
      <c r="N810" s="6"/>
      <c r="O810" s="6"/>
      <c r="P810" s="6"/>
      <c r="Q810" s="6"/>
      <c r="R810" s="6"/>
      <c r="S810" s="6"/>
      <c r="T810" s="6"/>
      <c r="U810" s="6"/>
      <c r="V810" s="6"/>
      <c r="W810" s="6"/>
      <c r="X810" s="6"/>
      <c r="Y810" s="6"/>
      <c r="Z810" s="6"/>
      <c r="AA810" s="19"/>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row>
    <row r="811">
      <c r="A811" s="6"/>
      <c r="B811" s="6"/>
      <c r="C811" s="18"/>
      <c r="D811" s="6"/>
      <c r="E811" s="6"/>
      <c r="F811" s="6"/>
      <c r="G811" s="6"/>
      <c r="H811" s="6"/>
      <c r="I811" s="6"/>
      <c r="J811" s="6"/>
      <c r="K811" s="6"/>
      <c r="L811" s="6"/>
      <c r="M811" s="6"/>
      <c r="N811" s="6"/>
      <c r="O811" s="6"/>
      <c r="P811" s="6"/>
      <c r="Q811" s="6"/>
      <c r="R811" s="6"/>
      <c r="S811" s="6"/>
      <c r="T811" s="6"/>
      <c r="U811" s="6"/>
      <c r="V811" s="6"/>
      <c r="W811" s="6"/>
      <c r="X811" s="6"/>
      <c r="Y811" s="6"/>
      <c r="Z811" s="6"/>
      <c r="AA811" s="19"/>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row>
    <row r="812">
      <c r="A812" s="6"/>
      <c r="B812" s="6"/>
      <c r="C812" s="18"/>
      <c r="D812" s="6"/>
      <c r="E812" s="6"/>
      <c r="F812" s="6"/>
      <c r="G812" s="6"/>
      <c r="H812" s="6"/>
      <c r="I812" s="6"/>
      <c r="J812" s="6"/>
      <c r="K812" s="6"/>
      <c r="L812" s="6"/>
      <c r="M812" s="6"/>
      <c r="N812" s="6"/>
      <c r="O812" s="6"/>
      <c r="P812" s="6"/>
      <c r="Q812" s="6"/>
      <c r="R812" s="6"/>
      <c r="S812" s="6"/>
      <c r="T812" s="6"/>
      <c r="U812" s="6"/>
      <c r="V812" s="6"/>
      <c r="W812" s="6"/>
      <c r="X812" s="6"/>
      <c r="Y812" s="6"/>
      <c r="Z812" s="6"/>
      <c r="AA812" s="19"/>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row>
    <row r="813">
      <c r="A813" s="6"/>
      <c r="B813" s="6"/>
      <c r="C813" s="18"/>
      <c r="D813" s="6"/>
      <c r="E813" s="6"/>
      <c r="F813" s="6"/>
      <c r="G813" s="6"/>
      <c r="H813" s="6"/>
      <c r="I813" s="6"/>
      <c r="J813" s="6"/>
      <c r="K813" s="6"/>
      <c r="L813" s="6"/>
      <c r="M813" s="6"/>
      <c r="N813" s="6"/>
      <c r="O813" s="6"/>
      <c r="P813" s="6"/>
      <c r="Q813" s="6"/>
      <c r="R813" s="6"/>
      <c r="S813" s="6"/>
      <c r="T813" s="6"/>
      <c r="U813" s="6"/>
      <c r="V813" s="6"/>
      <c r="W813" s="6"/>
      <c r="X813" s="6"/>
      <c r="Y813" s="6"/>
      <c r="Z813" s="6"/>
      <c r="AA813" s="19"/>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row>
    <row r="814">
      <c r="A814" s="6"/>
      <c r="B814" s="6"/>
      <c r="C814" s="18"/>
      <c r="D814" s="6"/>
      <c r="E814" s="6"/>
      <c r="F814" s="6"/>
      <c r="G814" s="6"/>
      <c r="H814" s="6"/>
      <c r="I814" s="6"/>
      <c r="J814" s="6"/>
      <c r="K814" s="6"/>
      <c r="L814" s="6"/>
      <c r="M814" s="6"/>
      <c r="N814" s="6"/>
      <c r="O814" s="6"/>
      <c r="P814" s="6"/>
      <c r="Q814" s="6"/>
      <c r="R814" s="6"/>
      <c r="S814" s="6"/>
      <c r="T814" s="6"/>
      <c r="U814" s="6"/>
      <c r="V814" s="6"/>
      <c r="W814" s="6"/>
      <c r="X814" s="6"/>
      <c r="Y814" s="6"/>
      <c r="Z814" s="6"/>
      <c r="AA814" s="19"/>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row>
    <row r="815">
      <c r="A815" s="6"/>
      <c r="B815" s="6"/>
      <c r="C815" s="18"/>
      <c r="D815" s="6"/>
      <c r="E815" s="6"/>
      <c r="F815" s="6"/>
      <c r="G815" s="6"/>
      <c r="H815" s="6"/>
      <c r="I815" s="6"/>
      <c r="J815" s="6"/>
      <c r="K815" s="6"/>
      <c r="L815" s="6"/>
      <c r="M815" s="6"/>
      <c r="N815" s="6"/>
      <c r="O815" s="6"/>
      <c r="P815" s="6"/>
      <c r="Q815" s="6"/>
      <c r="R815" s="6"/>
      <c r="S815" s="6"/>
      <c r="T815" s="6"/>
      <c r="U815" s="6"/>
      <c r="V815" s="6"/>
      <c r="W815" s="6"/>
      <c r="X815" s="6"/>
      <c r="Y815" s="6"/>
      <c r="Z815" s="6"/>
      <c r="AA815" s="19"/>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row>
    <row r="816">
      <c r="A816" s="6"/>
      <c r="B816" s="6"/>
      <c r="C816" s="18"/>
      <c r="D816" s="6"/>
      <c r="E816" s="6"/>
      <c r="F816" s="6"/>
      <c r="G816" s="6"/>
      <c r="H816" s="6"/>
      <c r="I816" s="6"/>
      <c r="J816" s="6"/>
      <c r="K816" s="6"/>
      <c r="L816" s="6"/>
      <c r="M816" s="6"/>
      <c r="N816" s="6"/>
      <c r="O816" s="6"/>
      <c r="P816" s="6"/>
      <c r="Q816" s="6"/>
      <c r="R816" s="6"/>
      <c r="S816" s="6"/>
      <c r="T816" s="6"/>
      <c r="U816" s="6"/>
      <c r="V816" s="6"/>
      <c r="W816" s="6"/>
      <c r="X816" s="6"/>
      <c r="Y816" s="6"/>
      <c r="Z816" s="6"/>
      <c r="AA816" s="19"/>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row>
    <row r="817">
      <c r="A817" s="6"/>
      <c r="B817" s="6"/>
      <c r="C817" s="18"/>
      <c r="D817" s="6"/>
      <c r="E817" s="6"/>
      <c r="F817" s="6"/>
      <c r="G817" s="6"/>
      <c r="H817" s="6"/>
      <c r="I817" s="6"/>
      <c r="J817" s="6"/>
      <c r="K817" s="6"/>
      <c r="L817" s="6"/>
      <c r="M817" s="6"/>
      <c r="N817" s="6"/>
      <c r="O817" s="6"/>
      <c r="P817" s="6"/>
      <c r="Q817" s="6"/>
      <c r="R817" s="6"/>
      <c r="S817" s="6"/>
      <c r="T817" s="6"/>
      <c r="U817" s="6"/>
      <c r="V817" s="6"/>
      <c r="W817" s="6"/>
      <c r="X817" s="6"/>
      <c r="Y817" s="6"/>
      <c r="Z817" s="6"/>
      <c r="AA817" s="19"/>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row>
    <row r="818">
      <c r="A818" s="6"/>
      <c r="B818" s="6"/>
      <c r="C818" s="18"/>
      <c r="D818" s="6"/>
      <c r="E818" s="6"/>
      <c r="F818" s="6"/>
      <c r="G818" s="6"/>
      <c r="H818" s="6"/>
      <c r="I818" s="6"/>
      <c r="J818" s="6"/>
      <c r="K818" s="6"/>
      <c r="L818" s="6"/>
      <c r="M818" s="6"/>
      <c r="N818" s="6"/>
      <c r="O818" s="6"/>
      <c r="P818" s="6"/>
      <c r="Q818" s="6"/>
      <c r="R818" s="6"/>
      <c r="S818" s="6"/>
      <c r="T818" s="6"/>
      <c r="U818" s="6"/>
      <c r="V818" s="6"/>
      <c r="W818" s="6"/>
      <c r="X818" s="6"/>
      <c r="Y818" s="6"/>
      <c r="Z818" s="6"/>
      <c r="AA818" s="19"/>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row>
    <row r="819">
      <c r="A819" s="6"/>
      <c r="B819" s="6"/>
      <c r="C819" s="18"/>
      <c r="D819" s="6"/>
      <c r="E819" s="6"/>
      <c r="F819" s="6"/>
      <c r="G819" s="6"/>
      <c r="H819" s="6"/>
      <c r="I819" s="6"/>
      <c r="J819" s="6"/>
      <c r="K819" s="6"/>
      <c r="L819" s="6"/>
      <c r="M819" s="6"/>
      <c r="N819" s="6"/>
      <c r="O819" s="6"/>
      <c r="P819" s="6"/>
      <c r="Q819" s="6"/>
      <c r="R819" s="6"/>
      <c r="S819" s="6"/>
      <c r="T819" s="6"/>
      <c r="U819" s="6"/>
      <c r="V819" s="6"/>
      <c r="W819" s="6"/>
      <c r="X819" s="6"/>
      <c r="Y819" s="6"/>
      <c r="Z819" s="6"/>
      <c r="AA819" s="19"/>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row>
    <row r="820">
      <c r="A820" s="6"/>
      <c r="B820" s="6"/>
      <c r="C820" s="18"/>
      <c r="D820" s="6"/>
      <c r="E820" s="6"/>
      <c r="F820" s="6"/>
      <c r="G820" s="6"/>
      <c r="H820" s="6"/>
      <c r="I820" s="6"/>
      <c r="J820" s="6"/>
      <c r="K820" s="6"/>
      <c r="L820" s="6"/>
      <c r="M820" s="6"/>
      <c r="N820" s="6"/>
      <c r="O820" s="6"/>
      <c r="P820" s="6"/>
      <c r="Q820" s="6"/>
      <c r="R820" s="6"/>
      <c r="S820" s="6"/>
      <c r="T820" s="6"/>
      <c r="U820" s="6"/>
      <c r="V820" s="6"/>
      <c r="W820" s="6"/>
      <c r="X820" s="6"/>
      <c r="Y820" s="6"/>
      <c r="Z820" s="6"/>
      <c r="AA820" s="19"/>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row>
    <row r="821">
      <c r="A821" s="6"/>
      <c r="B821" s="6"/>
      <c r="C821" s="18"/>
      <c r="D821" s="6"/>
      <c r="E821" s="6"/>
      <c r="F821" s="6"/>
      <c r="G821" s="6"/>
      <c r="H821" s="6"/>
      <c r="I821" s="6"/>
      <c r="J821" s="6"/>
      <c r="K821" s="6"/>
      <c r="L821" s="6"/>
      <c r="M821" s="6"/>
      <c r="N821" s="6"/>
      <c r="O821" s="6"/>
      <c r="P821" s="6"/>
      <c r="Q821" s="6"/>
      <c r="R821" s="6"/>
      <c r="S821" s="6"/>
      <c r="T821" s="6"/>
      <c r="U821" s="6"/>
      <c r="V821" s="6"/>
      <c r="W821" s="6"/>
      <c r="X821" s="6"/>
      <c r="Y821" s="6"/>
      <c r="Z821" s="6"/>
      <c r="AA821" s="19"/>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row>
    <row r="822">
      <c r="A822" s="6"/>
      <c r="B822" s="6"/>
      <c r="C822" s="18"/>
      <c r="D822" s="6"/>
      <c r="E822" s="6"/>
      <c r="F822" s="6"/>
      <c r="G822" s="6"/>
      <c r="H822" s="6"/>
      <c r="I822" s="6"/>
      <c r="J822" s="6"/>
      <c r="K822" s="6"/>
      <c r="L822" s="6"/>
      <c r="M822" s="6"/>
      <c r="N822" s="6"/>
      <c r="O822" s="6"/>
      <c r="P822" s="6"/>
      <c r="Q822" s="6"/>
      <c r="R822" s="6"/>
      <c r="S822" s="6"/>
      <c r="T822" s="6"/>
      <c r="U822" s="6"/>
      <c r="V822" s="6"/>
      <c r="W822" s="6"/>
      <c r="X822" s="6"/>
      <c r="Y822" s="6"/>
      <c r="Z822" s="6"/>
      <c r="AA822" s="19"/>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row>
    <row r="823">
      <c r="A823" s="6"/>
      <c r="B823" s="6"/>
      <c r="C823" s="18"/>
      <c r="D823" s="6"/>
      <c r="E823" s="6"/>
      <c r="F823" s="6"/>
      <c r="G823" s="6"/>
      <c r="H823" s="6"/>
      <c r="I823" s="6"/>
      <c r="J823" s="6"/>
      <c r="K823" s="6"/>
      <c r="L823" s="6"/>
      <c r="M823" s="6"/>
      <c r="N823" s="6"/>
      <c r="O823" s="6"/>
      <c r="P823" s="6"/>
      <c r="Q823" s="6"/>
      <c r="R823" s="6"/>
      <c r="S823" s="6"/>
      <c r="T823" s="6"/>
      <c r="U823" s="6"/>
      <c r="V823" s="6"/>
      <c r="W823" s="6"/>
      <c r="X823" s="6"/>
      <c r="Y823" s="6"/>
      <c r="Z823" s="6"/>
      <c r="AA823" s="19"/>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row>
    <row r="824">
      <c r="A824" s="6"/>
      <c r="B824" s="6"/>
      <c r="C824" s="18"/>
      <c r="D824" s="6"/>
      <c r="E824" s="6"/>
      <c r="F824" s="6"/>
      <c r="G824" s="6"/>
      <c r="H824" s="6"/>
      <c r="I824" s="6"/>
      <c r="J824" s="6"/>
      <c r="K824" s="6"/>
      <c r="L824" s="6"/>
      <c r="M824" s="6"/>
      <c r="N824" s="6"/>
      <c r="O824" s="6"/>
      <c r="P824" s="6"/>
      <c r="Q824" s="6"/>
      <c r="R824" s="6"/>
      <c r="S824" s="6"/>
      <c r="T824" s="6"/>
      <c r="U824" s="6"/>
      <c r="V824" s="6"/>
      <c r="W824" s="6"/>
      <c r="X824" s="6"/>
      <c r="Y824" s="6"/>
      <c r="Z824" s="6"/>
      <c r="AA824" s="19"/>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row>
    <row r="825">
      <c r="A825" s="6"/>
      <c r="B825" s="6"/>
      <c r="C825" s="18"/>
      <c r="D825" s="6"/>
      <c r="E825" s="6"/>
      <c r="F825" s="6"/>
      <c r="G825" s="6"/>
      <c r="H825" s="6"/>
      <c r="I825" s="6"/>
      <c r="J825" s="6"/>
      <c r="K825" s="6"/>
      <c r="L825" s="6"/>
      <c r="M825" s="6"/>
      <c r="N825" s="6"/>
      <c r="O825" s="6"/>
      <c r="P825" s="6"/>
      <c r="Q825" s="6"/>
      <c r="R825" s="6"/>
      <c r="S825" s="6"/>
      <c r="T825" s="6"/>
      <c r="U825" s="6"/>
      <c r="V825" s="6"/>
      <c r="W825" s="6"/>
      <c r="X825" s="6"/>
      <c r="Y825" s="6"/>
      <c r="Z825" s="6"/>
      <c r="AA825" s="19"/>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row>
    <row r="826">
      <c r="A826" s="6"/>
      <c r="B826" s="6"/>
      <c r="C826" s="18"/>
      <c r="D826" s="6"/>
      <c r="E826" s="6"/>
      <c r="F826" s="6"/>
      <c r="G826" s="6"/>
      <c r="H826" s="6"/>
      <c r="I826" s="6"/>
      <c r="J826" s="6"/>
      <c r="K826" s="6"/>
      <c r="L826" s="6"/>
      <c r="M826" s="6"/>
      <c r="N826" s="6"/>
      <c r="O826" s="6"/>
      <c r="P826" s="6"/>
      <c r="Q826" s="6"/>
      <c r="R826" s="6"/>
      <c r="S826" s="6"/>
      <c r="T826" s="6"/>
      <c r="U826" s="6"/>
      <c r="V826" s="6"/>
      <c r="W826" s="6"/>
      <c r="X826" s="6"/>
      <c r="Y826" s="6"/>
      <c r="Z826" s="6"/>
      <c r="AA826" s="19"/>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row>
    <row r="827">
      <c r="A827" s="6"/>
      <c r="B827" s="6"/>
      <c r="C827" s="18"/>
      <c r="D827" s="6"/>
      <c r="E827" s="6"/>
      <c r="F827" s="6"/>
      <c r="G827" s="6"/>
      <c r="H827" s="6"/>
      <c r="I827" s="6"/>
      <c r="J827" s="6"/>
      <c r="K827" s="6"/>
      <c r="L827" s="6"/>
      <c r="M827" s="6"/>
      <c r="N827" s="6"/>
      <c r="O827" s="6"/>
      <c r="P827" s="6"/>
      <c r="Q827" s="6"/>
      <c r="R827" s="6"/>
      <c r="S827" s="6"/>
      <c r="T827" s="6"/>
      <c r="U827" s="6"/>
      <c r="V827" s="6"/>
      <c r="W827" s="6"/>
      <c r="X827" s="6"/>
      <c r="Y827" s="6"/>
      <c r="Z827" s="6"/>
      <c r="AA827" s="19"/>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row>
    <row r="828">
      <c r="A828" s="6"/>
      <c r="B828" s="6"/>
      <c r="C828" s="18"/>
      <c r="D828" s="6"/>
      <c r="E828" s="6"/>
      <c r="F828" s="6"/>
      <c r="G828" s="6"/>
      <c r="H828" s="6"/>
      <c r="I828" s="6"/>
      <c r="J828" s="6"/>
      <c r="K828" s="6"/>
      <c r="L828" s="6"/>
      <c r="M828" s="6"/>
      <c r="N828" s="6"/>
      <c r="O828" s="6"/>
      <c r="P828" s="6"/>
      <c r="Q828" s="6"/>
      <c r="R828" s="6"/>
      <c r="S828" s="6"/>
      <c r="T828" s="6"/>
      <c r="U828" s="6"/>
      <c r="V828" s="6"/>
      <c r="W828" s="6"/>
      <c r="X828" s="6"/>
      <c r="Y828" s="6"/>
      <c r="Z828" s="6"/>
      <c r="AA828" s="19"/>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row>
    <row r="829">
      <c r="A829" s="6"/>
      <c r="B829" s="6"/>
      <c r="C829" s="18"/>
      <c r="D829" s="6"/>
      <c r="E829" s="6"/>
      <c r="F829" s="6"/>
      <c r="G829" s="6"/>
      <c r="H829" s="6"/>
      <c r="I829" s="6"/>
      <c r="J829" s="6"/>
      <c r="K829" s="6"/>
      <c r="L829" s="6"/>
      <c r="M829" s="6"/>
      <c r="N829" s="6"/>
      <c r="O829" s="6"/>
      <c r="P829" s="6"/>
      <c r="Q829" s="6"/>
      <c r="R829" s="6"/>
      <c r="S829" s="6"/>
      <c r="T829" s="6"/>
      <c r="U829" s="6"/>
      <c r="V829" s="6"/>
      <c r="W829" s="6"/>
      <c r="X829" s="6"/>
      <c r="Y829" s="6"/>
      <c r="Z829" s="6"/>
      <c r="AA829" s="19"/>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row>
    <row r="830">
      <c r="A830" s="6"/>
      <c r="B830" s="6"/>
      <c r="C830" s="18"/>
      <c r="D830" s="6"/>
      <c r="E830" s="6"/>
      <c r="F830" s="6"/>
      <c r="G830" s="6"/>
      <c r="H830" s="6"/>
      <c r="I830" s="6"/>
      <c r="J830" s="6"/>
      <c r="K830" s="6"/>
      <c r="L830" s="6"/>
      <c r="M830" s="6"/>
      <c r="N830" s="6"/>
      <c r="O830" s="6"/>
      <c r="P830" s="6"/>
      <c r="Q830" s="6"/>
      <c r="R830" s="6"/>
      <c r="S830" s="6"/>
      <c r="T830" s="6"/>
      <c r="U830" s="6"/>
      <c r="V830" s="6"/>
      <c r="W830" s="6"/>
      <c r="X830" s="6"/>
      <c r="Y830" s="6"/>
      <c r="Z830" s="6"/>
      <c r="AA830" s="19"/>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row>
    <row r="831">
      <c r="A831" s="6"/>
      <c r="B831" s="6"/>
      <c r="C831" s="18"/>
      <c r="D831" s="6"/>
      <c r="E831" s="6"/>
      <c r="F831" s="6"/>
      <c r="G831" s="6"/>
      <c r="H831" s="6"/>
      <c r="I831" s="6"/>
      <c r="J831" s="6"/>
      <c r="K831" s="6"/>
      <c r="L831" s="6"/>
      <c r="M831" s="6"/>
      <c r="N831" s="6"/>
      <c r="O831" s="6"/>
      <c r="P831" s="6"/>
      <c r="Q831" s="6"/>
      <c r="R831" s="6"/>
      <c r="S831" s="6"/>
      <c r="T831" s="6"/>
      <c r="U831" s="6"/>
      <c r="V831" s="6"/>
      <c r="W831" s="6"/>
      <c r="X831" s="6"/>
      <c r="Y831" s="6"/>
      <c r="Z831" s="6"/>
      <c r="AA831" s="19"/>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row>
    <row r="832">
      <c r="A832" s="6"/>
      <c r="B832" s="6"/>
      <c r="C832" s="18"/>
      <c r="D832" s="6"/>
      <c r="E832" s="6"/>
      <c r="F832" s="6"/>
      <c r="G832" s="6"/>
      <c r="H832" s="6"/>
      <c r="I832" s="6"/>
      <c r="J832" s="6"/>
      <c r="K832" s="6"/>
      <c r="L832" s="6"/>
      <c r="M832" s="6"/>
      <c r="N832" s="6"/>
      <c r="O832" s="6"/>
      <c r="P832" s="6"/>
      <c r="Q832" s="6"/>
      <c r="R832" s="6"/>
      <c r="S832" s="6"/>
      <c r="T832" s="6"/>
      <c r="U832" s="6"/>
      <c r="V832" s="6"/>
      <c r="W832" s="6"/>
      <c r="X832" s="6"/>
      <c r="Y832" s="6"/>
      <c r="Z832" s="6"/>
      <c r="AA832" s="19"/>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row>
    <row r="833">
      <c r="A833" s="6"/>
      <c r="B833" s="6"/>
      <c r="C833" s="18"/>
      <c r="D833" s="6"/>
      <c r="E833" s="6"/>
      <c r="F833" s="6"/>
      <c r="G833" s="6"/>
      <c r="H833" s="6"/>
      <c r="I833" s="6"/>
      <c r="J833" s="6"/>
      <c r="K833" s="6"/>
      <c r="L833" s="6"/>
      <c r="M833" s="6"/>
      <c r="N833" s="6"/>
      <c r="O833" s="6"/>
      <c r="P833" s="6"/>
      <c r="Q833" s="6"/>
      <c r="R833" s="6"/>
      <c r="S833" s="6"/>
      <c r="T833" s="6"/>
      <c r="U833" s="6"/>
      <c r="V833" s="6"/>
      <c r="W833" s="6"/>
      <c r="X833" s="6"/>
      <c r="Y833" s="6"/>
      <c r="Z833" s="6"/>
      <c r="AA833" s="19"/>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row>
    <row r="834">
      <c r="A834" s="6"/>
      <c r="B834" s="6"/>
      <c r="C834" s="18"/>
      <c r="D834" s="6"/>
      <c r="E834" s="6"/>
      <c r="F834" s="6"/>
      <c r="G834" s="6"/>
      <c r="H834" s="6"/>
      <c r="I834" s="6"/>
      <c r="J834" s="6"/>
      <c r="K834" s="6"/>
      <c r="L834" s="6"/>
      <c r="M834" s="6"/>
      <c r="N834" s="6"/>
      <c r="O834" s="6"/>
      <c r="P834" s="6"/>
      <c r="Q834" s="6"/>
      <c r="R834" s="6"/>
      <c r="S834" s="6"/>
      <c r="T834" s="6"/>
      <c r="U834" s="6"/>
      <c r="V834" s="6"/>
      <c r="W834" s="6"/>
      <c r="X834" s="6"/>
      <c r="Y834" s="6"/>
      <c r="Z834" s="6"/>
      <c r="AA834" s="19"/>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row>
    <row r="835">
      <c r="A835" s="6"/>
      <c r="B835" s="6"/>
      <c r="C835" s="18"/>
      <c r="D835" s="6"/>
      <c r="E835" s="6"/>
      <c r="F835" s="6"/>
      <c r="G835" s="6"/>
      <c r="H835" s="6"/>
      <c r="I835" s="6"/>
      <c r="J835" s="6"/>
      <c r="K835" s="6"/>
      <c r="L835" s="6"/>
      <c r="M835" s="6"/>
      <c r="N835" s="6"/>
      <c r="O835" s="6"/>
      <c r="P835" s="6"/>
      <c r="Q835" s="6"/>
      <c r="R835" s="6"/>
      <c r="S835" s="6"/>
      <c r="T835" s="6"/>
      <c r="U835" s="6"/>
      <c r="V835" s="6"/>
      <c r="W835" s="6"/>
      <c r="X835" s="6"/>
      <c r="Y835" s="6"/>
      <c r="Z835" s="6"/>
      <c r="AA835" s="19"/>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row>
    <row r="836">
      <c r="A836" s="6"/>
      <c r="B836" s="6"/>
      <c r="C836" s="18"/>
      <c r="D836" s="6"/>
      <c r="E836" s="6"/>
      <c r="F836" s="6"/>
      <c r="G836" s="6"/>
      <c r="H836" s="6"/>
      <c r="I836" s="6"/>
      <c r="J836" s="6"/>
      <c r="K836" s="6"/>
      <c r="L836" s="6"/>
      <c r="M836" s="6"/>
      <c r="N836" s="6"/>
      <c r="O836" s="6"/>
      <c r="P836" s="6"/>
      <c r="Q836" s="6"/>
      <c r="R836" s="6"/>
      <c r="S836" s="6"/>
      <c r="T836" s="6"/>
      <c r="U836" s="6"/>
      <c r="V836" s="6"/>
      <c r="W836" s="6"/>
      <c r="X836" s="6"/>
      <c r="Y836" s="6"/>
      <c r="Z836" s="6"/>
      <c r="AA836" s="19"/>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row>
    <row r="837">
      <c r="A837" s="6"/>
      <c r="B837" s="6"/>
      <c r="C837" s="18"/>
      <c r="D837" s="6"/>
      <c r="E837" s="6"/>
      <c r="F837" s="6"/>
      <c r="G837" s="6"/>
      <c r="H837" s="6"/>
      <c r="I837" s="6"/>
      <c r="J837" s="6"/>
      <c r="K837" s="6"/>
      <c r="L837" s="6"/>
      <c r="M837" s="6"/>
      <c r="N837" s="6"/>
      <c r="O837" s="6"/>
      <c r="P837" s="6"/>
      <c r="Q837" s="6"/>
      <c r="R837" s="6"/>
      <c r="S837" s="6"/>
      <c r="T837" s="6"/>
      <c r="U837" s="6"/>
      <c r="V837" s="6"/>
      <c r="W837" s="6"/>
      <c r="X837" s="6"/>
      <c r="Y837" s="6"/>
      <c r="Z837" s="6"/>
      <c r="AA837" s="19"/>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row>
    <row r="838">
      <c r="A838" s="6"/>
      <c r="B838" s="6"/>
      <c r="C838" s="18"/>
      <c r="D838" s="6"/>
      <c r="E838" s="6"/>
      <c r="F838" s="6"/>
      <c r="G838" s="6"/>
      <c r="H838" s="6"/>
      <c r="I838" s="6"/>
      <c r="J838" s="6"/>
      <c r="K838" s="6"/>
      <c r="L838" s="6"/>
      <c r="M838" s="6"/>
      <c r="N838" s="6"/>
      <c r="O838" s="6"/>
      <c r="P838" s="6"/>
      <c r="Q838" s="6"/>
      <c r="R838" s="6"/>
      <c r="S838" s="6"/>
      <c r="T838" s="6"/>
      <c r="U838" s="6"/>
      <c r="V838" s="6"/>
      <c r="W838" s="6"/>
      <c r="X838" s="6"/>
      <c r="Y838" s="6"/>
      <c r="Z838" s="6"/>
      <c r="AA838" s="19"/>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row>
    <row r="839">
      <c r="A839" s="6"/>
      <c r="B839" s="6"/>
      <c r="C839" s="18"/>
      <c r="D839" s="6"/>
      <c r="E839" s="6"/>
      <c r="F839" s="6"/>
      <c r="G839" s="6"/>
      <c r="H839" s="6"/>
      <c r="I839" s="6"/>
      <c r="J839" s="6"/>
      <c r="K839" s="6"/>
      <c r="L839" s="6"/>
      <c r="M839" s="6"/>
      <c r="N839" s="6"/>
      <c r="O839" s="6"/>
      <c r="P839" s="6"/>
      <c r="Q839" s="6"/>
      <c r="R839" s="6"/>
      <c r="S839" s="6"/>
      <c r="T839" s="6"/>
      <c r="U839" s="6"/>
      <c r="V839" s="6"/>
      <c r="W839" s="6"/>
      <c r="X839" s="6"/>
      <c r="Y839" s="6"/>
      <c r="Z839" s="6"/>
      <c r="AA839" s="19"/>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row>
    <row r="840">
      <c r="A840" s="6"/>
      <c r="B840" s="6"/>
      <c r="C840" s="18"/>
      <c r="D840" s="6"/>
      <c r="E840" s="6"/>
      <c r="F840" s="6"/>
      <c r="G840" s="6"/>
      <c r="H840" s="6"/>
      <c r="I840" s="6"/>
      <c r="J840" s="6"/>
      <c r="K840" s="6"/>
      <c r="L840" s="6"/>
      <c r="M840" s="6"/>
      <c r="N840" s="6"/>
      <c r="O840" s="6"/>
      <c r="P840" s="6"/>
      <c r="Q840" s="6"/>
      <c r="R840" s="6"/>
      <c r="S840" s="6"/>
      <c r="T840" s="6"/>
      <c r="U840" s="6"/>
      <c r="V840" s="6"/>
      <c r="W840" s="6"/>
      <c r="X840" s="6"/>
      <c r="Y840" s="6"/>
      <c r="Z840" s="6"/>
      <c r="AA840" s="19"/>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row>
    <row r="841">
      <c r="A841" s="6"/>
      <c r="B841" s="6"/>
      <c r="C841" s="18"/>
      <c r="D841" s="6"/>
      <c r="E841" s="6"/>
      <c r="F841" s="6"/>
      <c r="G841" s="6"/>
      <c r="H841" s="6"/>
      <c r="I841" s="6"/>
      <c r="J841" s="6"/>
      <c r="K841" s="6"/>
      <c r="L841" s="6"/>
      <c r="M841" s="6"/>
      <c r="N841" s="6"/>
      <c r="O841" s="6"/>
      <c r="P841" s="6"/>
      <c r="Q841" s="6"/>
      <c r="R841" s="6"/>
      <c r="S841" s="6"/>
      <c r="T841" s="6"/>
      <c r="U841" s="6"/>
      <c r="V841" s="6"/>
      <c r="W841" s="6"/>
      <c r="X841" s="6"/>
      <c r="Y841" s="6"/>
      <c r="Z841" s="6"/>
      <c r="AA841" s="19"/>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row>
    <row r="842">
      <c r="A842" s="6"/>
      <c r="B842" s="6"/>
      <c r="C842" s="18"/>
      <c r="D842" s="6"/>
      <c r="E842" s="6"/>
      <c r="F842" s="6"/>
      <c r="G842" s="6"/>
      <c r="H842" s="6"/>
      <c r="I842" s="6"/>
      <c r="J842" s="6"/>
      <c r="K842" s="6"/>
      <c r="L842" s="6"/>
      <c r="M842" s="6"/>
      <c r="N842" s="6"/>
      <c r="O842" s="6"/>
      <c r="P842" s="6"/>
      <c r="Q842" s="6"/>
      <c r="R842" s="6"/>
      <c r="S842" s="6"/>
      <c r="T842" s="6"/>
      <c r="U842" s="6"/>
      <c r="V842" s="6"/>
      <c r="W842" s="6"/>
      <c r="X842" s="6"/>
      <c r="Y842" s="6"/>
      <c r="Z842" s="6"/>
      <c r="AA842" s="19"/>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row>
    <row r="843">
      <c r="A843" s="6"/>
      <c r="B843" s="6"/>
      <c r="C843" s="18"/>
      <c r="D843" s="6"/>
      <c r="E843" s="6"/>
      <c r="F843" s="6"/>
      <c r="G843" s="6"/>
      <c r="H843" s="6"/>
      <c r="I843" s="6"/>
      <c r="J843" s="6"/>
      <c r="K843" s="6"/>
      <c r="L843" s="6"/>
      <c r="M843" s="6"/>
      <c r="N843" s="6"/>
      <c r="O843" s="6"/>
      <c r="P843" s="6"/>
      <c r="Q843" s="6"/>
      <c r="R843" s="6"/>
      <c r="S843" s="6"/>
      <c r="T843" s="6"/>
      <c r="U843" s="6"/>
      <c r="V843" s="6"/>
      <c r="W843" s="6"/>
      <c r="X843" s="6"/>
      <c r="Y843" s="6"/>
      <c r="Z843" s="6"/>
      <c r="AA843" s="19"/>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row>
    <row r="844">
      <c r="A844" s="6"/>
      <c r="B844" s="6"/>
      <c r="C844" s="18"/>
      <c r="D844" s="6"/>
      <c r="E844" s="6"/>
      <c r="F844" s="6"/>
      <c r="G844" s="6"/>
      <c r="H844" s="6"/>
      <c r="I844" s="6"/>
      <c r="J844" s="6"/>
      <c r="K844" s="6"/>
      <c r="L844" s="6"/>
      <c r="M844" s="6"/>
      <c r="N844" s="6"/>
      <c r="O844" s="6"/>
      <c r="P844" s="6"/>
      <c r="Q844" s="6"/>
      <c r="R844" s="6"/>
      <c r="S844" s="6"/>
      <c r="T844" s="6"/>
      <c r="U844" s="6"/>
      <c r="V844" s="6"/>
      <c r="W844" s="6"/>
      <c r="X844" s="6"/>
      <c r="Y844" s="6"/>
      <c r="Z844" s="6"/>
      <c r="AA844" s="19"/>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row>
    <row r="845">
      <c r="A845" s="6"/>
      <c r="B845" s="6"/>
      <c r="C845" s="18"/>
      <c r="D845" s="6"/>
      <c r="E845" s="6"/>
      <c r="F845" s="6"/>
      <c r="G845" s="6"/>
      <c r="H845" s="6"/>
      <c r="I845" s="6"/>
      <c r="J845" s="6"/>
      <c r="K845" s="6"/>
      <c r="L845" s="6"/>
      <c r="M845" s="6"/>
      <c r="N845" s="6"/>
      <c r="O845" s="6"/>
      <c r="P845" s="6"/>
      <c r="Q845" s="6"/>
      <c r="R845" s="6"/>
      <c r="S845" s="6"/>
      <c r="T845" s="6"/>
      <c r="U845" s="6"/>
      <c r="V845" s="6"/>
      <c r="W845" s="6"/>
      <c r="X845" s="6"/>
      <c r="Y845" s="6"/>
      <c r="Z845" s="6"/>
      <c r="AA845" s="19"/>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row>
    <row r="846">
      <c r="A846" s="6"/>
      <c r="B846" s="6"/>
      <c r="C846" s="18"/>
      <c r="D846" s="6"/>
      <c r="E846" s="6"/>
      <c r="F846" s="6"/>
      <c r="G846" s="6"/>
      <c r="H846" s="6"/>
      <c r="I846" s="6"/>
      <c r="J846" s="6"/>
      <c r="K846" s="6"/>
      <c r="L846" s="6"/>
      <c r="M846" s="6"/>
      <c r="N846" s="6"/>
      <c r="O846" s="6"/>
      <c r="P846" s="6"/>
      <c r="Q846" s="6"/>
      <c r="R846" s="6"/>
      <c r="S846" s="6"/>
      <c r="T846" s="6"/>
      <c r="U846" s="6"/>
      <c r="V846" s="6"/>
      <c r="W846" s="6"/>
      <c r="X846" s="6"/>
      <c r="Y846" s="6"/>
      <c r="Z846" s="6"/>
      <c r="AA846" s="19"/>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row>
    <row r="847">
      <c r="A847" s="6"/>
      <c r="B847" s="6"/>
      <c r="C847" s="18"/>
      <c r="D847" s="6"/>
      <c r="E847" s="6"/>
      <c r="F847" s="6"/>
      <c r="G847" s="6"/>
      <c r="H847" s="6"/>
      <c r="I847" s="6"/>
      <c r="J847" s="6"/>
      <c r="K847" s="6"/>
      <c r="L847" s="6"/>
      <c r="M847" s="6"/>
      <c r="N847" s="6"/>
      <c r="O847" s="6"/>
      <c r="P847" s="6"/>
      <c r="Q847" s="6"/>
      <c r="R847" s="6"/>
      <c r="S847" s="6"/>
      <c r="T847" s="6"/>
      <c r="U847" s="6"/>
      <c r="V847" s="6"/>
      <c r="W847" s="6"/>
      <c r="X847" s="6"/>
      <c r="Y847" s="6"/>
      <c r="Z847" s="6"/>
      <c r="AA847" s="19"/>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row>
    <row r="848">
      <c r="A848" s="6"/>
      <c r="B848" s="6"/>
      <c r="C848" s="18"/>
      <c r="D848" s="6"/>
      <c r="E848" s="6"/>
      <c r="F848" s="6"/>
      <c r="G848" s="6"/>
      <c r="H848" s="6"/>
      <c r="I848" s="6"/>
      <c r="J848" s="6"/>
      <c r="K848" s="6"/>
      <c r="L848" s="6"/>
      <c r="M848" s="6"/>
      <c r="N848" s="6"/>
      <c r="O848" s="6"/>
      <c r="P848" s="6"/>
      <c r="Q848" s="6"/>
      <c r="R848" s="6"/>
      <c r="S848" s="6"/>
      <c r="T848" s="6"/>
      <c r="U848" s="6"/>
      <c r="V848" s="6"/>
      <c r="W848" s="6"/>
      <c r="X848" s="6"/>
      <c r="Y848" s="6"/>
      <c r="Z848" s="6"/>
      <c r="AA848" s="19"/>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row>
    <row r="849">
      <c r="A849" s="6"/>
      <c r="B849" s="6"/>
      <c r="C849" s="18"/>
      <c r="D849" s="6"/>
      <c r="E849" s="6"/>
      <c r="F849" s="6"/>
      <c r="G849" s="6"/>
      <c r="H849" s="6"/>
      <c r="I849" s="6"/>
      <c r="J849" s="6"/>
      <c r="K849" s="6"/>
      <c r="L849" s="6"/>
      <c r="M849" s="6"/>
      <c r="N849" s="6"/>
      <c r="O849" s="6"/>
      <c r="P849" s="6"/>
      <c r="Q849" s="6"/>
      <c r="R849" s="6"/>
      <c r="S849" s="6"/>
      <c r="T849" s="6"/>
      <c r="U849" s="6"/>
      <c r="V849" s="6"/>
      <c r="W849" s="6"/>
      <c r="X849" s="6"/>
      <c r="Y849" s="6"/>
      <c r="Z849" s="6"/>
      <c r="AA849" s="19"/>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row>
    <row r="850">
      <c r="A850" s="6"/>
      <c r="B850" s="6"/>
      <c r="C850" s="18"/>
      <c r="D850" s="6"/>
      <c r="E850" s="6"/>
      <c r="F850" s="6"/>
      <c r="G850" s="6"/>
      <c r="H850" s="6"/>
      <c r="I850" s="6"/>
      <c r="J850" s="6"/>
      <c r="K850" s="6"/>
      <c r="L850" s="6"/>
      <c r="M850" s="6"/>
      <c r="N850" s="6"/>
      <c r="O850" s="6"/>
      <c r="P850" s="6"/>
      <c r="Q850" s="6"/>
      <c r="R850" s="6"/>
      <c r="S850" s="6"/>
      <c r="T850" s="6"/>
      <c r="U850" s="6"/>
      <c r="V850" s="6"/>
      <c r="W850" s="6"/>
      <c r="X850" s="6"/>
      <c r="Y850" s="6"/>
      <c r="Z850" s="6"/>
      <c r="AA850" s="19"/>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row>
    <row r="851">
      <c r="A851" s="6"/>
      <c r="B851" s="6"/>
      <c r="C851" s="18"/>
      <c r="D851" s="6"/>
      <c r="E851" s="6"/>
      <c r="F851" s="6"/>
      <c r="G851" s="6"/>
      <c r="H851" s="6"/>
      <c r="I851" s="6"/>
      <c r="J851" s="6"/>
      <c r="K851" s="6"/>
      <c r="L851" s="6"/>
      <c r="M851" s="6"/>
      <c r="N851" s="6"/>
      <c r="O851" s="6"/>
      <c r="P851" s="6"/>
      <c r="Q851" s="6"/>
      <c r="R851" s="6"/>
      <c r="S851" s="6"/>
      <c r="T851" s="6"/>
      <c r="U851" s="6"/>
      <c r="V851" s="6"/>
      <c r="W851" s="6"/>
      <c r="X851" s="6"/>
      <c r="Y851" s="6"/>
      <c r="Z851" s="6"/>
      <c r="AA851" s="19"/>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row>
    <row r="852">
      <c r="A852" s="6"/>
      <c r="B852" s="6"/>
      <c r="C852" s="18"/>
      <c r="D852" s="6"/>
      <c r="E852" s="6"/>
      <c r="F852" s="6"/>
      <c r="G852" s="6"/>
      <c r="H852" s="6"/>
      <c r="I852" s="6"/>
      <c r="J852" s="6"/>
      <c r="K852" s="6"/>
      <c r="L852" s="6"/>
      <c r="M852" s="6"/>
      <c r="N852" s="6"/>
      <c r="O852" s="6"/>
      <c r="P852" s="6"/>
      <c r="Q852" s="6"/>
      <c r="R852" s="6"/>
      <c r="S852" s="6"/>
      <c r="T852" s="6"/>
      <c r="U852" s="6"/>
      <c r="V852" s="6"/>
      <c r="W852" s="6"/>
      <c r="X852" s="6"/>
      <c r="Y852" s="6"/>
      <c r="Z852" s="6"/>
      <c r="AA852" s="19"/>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row>
    <row r="853">
      <c r="A853" s="6"/>
      <c r="B853" s="6"/>
      <c r="C853" s="18"/>
      <c r="D853" s="6"/>
      <c r="E853" s="6"/>
      <c r="F853" s="6"/>
      <c r="G853" s="6"/>
      <c r="H853" s="6"/>
      <c r="I853" s="6"/>
      <c r="J853" s="6"/>
      <c r="K853" s="6"/>
      <c r="L853" s="6"/>
      <c r="M853" s="6"/>
      <c r="N853" s="6"/>
      <c r="O853" s="6"/>
      <c r="P853" s="6"/>
      <c r="Q853" s="6"/>
      <c r="R853" s="6"/>
      <c r="S853" s="6"/>
      <c r="T853" s="6"/>
      <c r="U853" s="6"/>
      <c r="V853" s="6"/>
      <c r="W853" s="6"/>
      <c r="X853" s="6"/>
      <c r="Y853" s="6"/>
      <c r="Z853" s="6"/>
      <c r="AA853" s="19"/>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row>
    <row r="854">
      <c r="A854" s="6"/>
      <c r="B854" s="6"/>
      <c r="C854" s="18"/>
      <c r="D854" s="6"/>
      <c r="E854" s="6"/>
      <c r="F854" s="6"/>
      <c r="G854" s="6"/>
      <c r="H854" s="6"/>
      <c r="I854" s="6"/>
      <c r="J854" s="6"/>
      <c r="K854" s="6"/>
      <c r="L854" s="6"/>
      <c r="M854" s="6"/>
      <c r="N854" s="6"/>
      <c r="O854" s="6"/>
      <c r="P854" s="6"/>
      <c r="Q854" s="6"/>
      <c r="R854" s="6"/>
      <c r="S854" s="6"/>
      <c r="T854" s="6"/>
      <c r="U854" s="6"/>
      <c r="V854" s="6"/>
      <c r="W854" s="6"/>
      <c r="X854" s="6"/>
      <c r="Y854" s="6"/>
      <c r="Z854" s="6"/>
      <c r="AA854" s="19"/>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row>
    <row r="855">
      <c r="A855" s="6"/>
      <c r="B855" s="6"/>
      <c r="C855" s="18"/>
      <c r="D855" s="6"/>
      <c r="E855" s="6"/>
      <c r="F855" s="6"/>
      <c r="G855" s="6"/>
      <c r="H855" s="6"/>
      <c r="I855" s="6"/>
      <c r="J855" s="6"/>
      <c r="K855" s="6"/>
      <c r="L855" s="6"/>
      <c r="M855" s="6"/>
      <c r="N855" s="6"/>
      <c r="O855" s="6"/>
      <c r="P855" s="6"/>
      <c r="Q855" s="6"/>
      <c r="R855" s="6"/>
      <c r="S855" s="6"/>
      <c r="T855" s="6"/>
      <c r="U855" s="6"/>
      <c r="V855" s="6"/>
      <c r="W855" s="6"/>
      <c r="X855" s="6"/>
      <c r="Y855" s="6"/>
      <c r="Z855" s="6"/>
      <c r="AA855" s="19"/>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row>
    <row r="856">
      <c r="A856" s="6"/>
      <c r="B856" s="6"/>
      <c r="C856" s="18"/>
      <c r="D856" s="6"/>
      <c r="E856" s="6"/>
      <c r="F856" s="6"/>
      <c r="G856" s="6"/>
      <c r="H856" s="6"/>
      <c r="I856" s="6"/>
      <c r="J856" s="6"/>
      <c r="K856" s="6"/>
      <c r="L856" s="6"/>
      <c r="M856" s="6"/>
      <c r="N856" s="6"/>
      <c r="O856" s="6"/>
      <c r="P856" s="6"/>
      <c r="Q856" s="6"/>
      <c r="R856" s="6"/>
      <c r="S856" s="6"/>
      <c r="T856" s="6"/>
      <c r="U856" s="6"/>
      <c r="V856" s="6"/>
      <c r="W856" s="6"/>
      <c r="X856" s="6"/>
      <c r="Y856" s="6"/>
      <c r="Z856" s="6"/>
      <c r="AA856" s="19"/>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row>
    <row r="857">
      <c r="A857" s="6"/>
      <c r="B857" s="6"/>
      <c r="C857" s="18"/>
      <c r="D857" s="6"/>
      <c r="E857" s="6"/>
      <c r="F857" s="6"/>
      <c r="G857" s="6"/>
      <c r="H857" s="6"/>
      <c r="I857" s="6"/>
      <c r="J857" s="6"/>
      <c r="K857" s="6"/>
      <c r="L857" s="6"/>
      <c r="M857" s="6"/>
      <c r="N857" s="6"/>
      <c r="O857" s="6"/>
      <c r="P857" s="6"/>
      <c r="Q857" s="6"/>
      <c r="R857" s="6"/>
      <c r="S857" s="6"/>
      <c r="T857" s="6"/>
      <c r="U857" s="6"/>
      <c r="V857" s="6"/>
      <c r="W857" s="6"/>
      <c r="X857" s="6"/>
      <c r="Y857" s="6"/>
      <c r="Z857" s="6"/>
      <c r="AA857" s="19"/>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row>
    <row r="858">
      <c r="A858" s="6"/>
      <c r="B858" s="6"/>
      <c r="C858" s="18"/>
      <c r="D858" s="6"/>
      <c r="E858" s="6"/>
      <c r="F858" s="6"/>
      <c r="G858" s="6"/>
      <c r="H858" s="6"/>
      <c r="I858" s="6"/>
      <c r="J858" s="6"/>
      <c r="K858" s="6"/>
      <c r="L858" s="6"/>
      <c r="M858" s="6"/>
      <c r="N858" s="6"/>
      <c r="O858" s="6"/>
      <c r="P858" s="6"/>
      <c r="Q858" s="6"/>
      <c r="R858" s="6"/>
      <c r="S858" s="6"/>
      <c r="T858" s="6"/>
      <c r="U858" s="6"/>
      <c r="V858" s="6"/>
      <c r="W858" s="6"/>
      <c r="X858" s="6"/>
      <c r="Y858" s="6"/>
      <c r="Z858" s="6"/>
      <c r="AA858" s="19"/>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row>
    <row r="859">
      <c r="A859" s="6"/>
      <c r="B859" s="6"/>
      <c r="C859" s="18"/>
      <c r="D859" s="6"/>
      <c r="E859" s="6"/>
      <c r="F859" s="6"/>
      <c r="G859" s="6"/>
      <c r="H859" s="6"/>
      <c r="I859" s="6"/>
      <c r="J859" s="6"/>
      <c r="K859" s="6"/>
      <c r="L859" s="6"/>
      <c r="M859" s="6"/>
      <c r="N859" s="6"/>
      <c r="O859" s="6"/>
      <c r="P859" s="6"/>
      <c r="Q859" s="6"/>
      <c r="R859" s="6"/>
      <c r="S859" s="6"/>
      <c r="T859" s="6"/>
      <c r="U859" s="6"/>
      <c r="V859" s="6"/>
      <c r="W859" s="6"/>
      <c r="X859" s="6"/>
      <c r="Y859" s="6"/>
      <c r="Z859" s="6"/>
      <c r="AA859" s="19"/>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row>
    <row r="860">
      <c r="A860" s="6"/>
      <c r="B860" s="6"/>
      <c r="C860" s="18"/>
      <c r="D860" s="6"/>
      <c r="E860" s="6"/>
      <c r="F860" s="6"/>
      <c r="G860" s="6"/>
      <c r="H860" s="6"/>
      <c r="I860" s="6"/>
      <c r="J860" s="6"/>
      <c r="K860" s="6"/>
      <c r="L860" s="6"/>
      <c r="M860" s="6"/>
      <c r="N860" s="6"/>
      <c r="O860" s="6"/>
      <c r="P860" s="6"/>
      <c r="Q860" s="6"/>
      <c r="R860" s="6"/>
      <c r="S860" s="6"/>
      <c r="T860" s="6"/>
      <c r="U860" s="6"/>
      <c r="V860" s="6"/>
      <c r="W860" s="6"/>
      <c r="X860" s="6"/>
      <c r="Y860" s="6"/>
      <c r="Z860" s="6"/>
      <c r="AA860" s="19"/>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row>
    <row r="861">
      <c r="A861" s="6"/>
      <c r="B861" s="6"/>
      <c r="C861" s="18"/>
      <c r="D861" s="6"/>
      <c r="E861" s="6"/>
      <c r="F861" s="6"/>
      <c r="G861" s="6"/>
      <c r="H861" s="6"/>
      <c r="I861" s="6"/>
      <c r="J861" s="6"/>
      <c r="K861" s="6"/>
      <c r="L861" s="6"/>
      <c r="M861" s="6"/>
      <c r="N861" s="6"/>
      <c r="O861" s="6"/>
      <c r="P861" s="6"/>
      <c r="Q861" s="6"/>
      <c r="R861" s="6"/>
      <c r="S861" s="6"/>
      <c r="T861" s="6"/>
      <c r="U861" s="6"/>
      <c r="V861" s="6"/>
      <c r="W861" s="6"/>
      <c r="X861" s="6"/>
      <c r="Y861" s="6"/>
      <c r="Z861" s="6"/>
      <c r="AA861" s="19"/>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row>
    <row r="862">
      <c r="A862" s="6"/>
      <c r="B862" s="6"/>
      <c r="C862" s="18"/>
      <c r="D862" s="6"/>
      <c r="E862" s="6"/>
      <c r="F862" s="6"/>
      <c r="G862" s="6"/>
      <c r="H862" s="6"/>
      <c r="I862" s="6"/>
      <c r="J862" s="6"/>
      <c r="K862" s="6"/>
      <c r="L862" s="6"/>
      <c r="M862" s="6"/>
      <c r="N862" s="6"/>
      <c r="O862" s="6"/>
      <c r="P862" s="6"/>
      <c r="Q862" s="6"/>
      <c r="R862" s="6"/>
      <c r="S862" s="6"/>
      <c r="T862" s="6"/>
      <c r="U862" s="6"/>
      <c r="V862" s="6"/>
      <c r="W862" s="6"/>
      <c r="X862" s="6"/>
      <c r="Y862" s="6"/>
      <c r="Z862" s="6"/>
      <c r="AA862" s="19"/>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row>
    <row r="863">
      <c r="A863" s="6"/>
      <c r="B863" s="6"/>
      <c r="C863" s="18"/>
      <c r="D863" s="6"/>
      <c r="E863" s="6"/>
      <c r="F863" s="6"/>
      <c r="G863" s="6"/>
      <c r="H863" s="6"/>
      <c r="I863" s="6"/>
      <c r="J863" s="6"/>
      <c r="K863" s="6"/>
      <c r="L863" s="6"/>
      <c r="M863" s="6"/>
      <c r="N863" s="6"/>
      <c r="O863" s="6"/>
      <c r="P863" s="6"/>
      <c r="Q863" s="6"/>
      <c r="R863" s="6"/>
      <c r="S863" s="6"/>
      <c r="T863" s="6"/>
      <c r="U863" s="6"/>
      <c r="V863" s="6"/>
      <c r="W863" s="6"/>
      <c r="X863" s="6"/>
      <c r="Y863" s="6"/>
      <c r="Z863" s="6"/>
      <c r="AA863" s="19"/>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row>
    <row r="864">
      <c r="A864" s="6"/>
      <c r="B864" s="6"/>
      <c r="C864" s="18"/>
      <c r="D864" s="6"/>
      <c r="E864" s="6"/>
      <c r="F864" s="6"/>
      <c r="G864" s="6"/>
      <c r="H864" s="6"/>
      <c r="I864" s="6"/>
      <c r="J864" s="6"/>
      <c r="K864" s="6"/>
      <c r="L864" s="6"/>
      <c r="M864" s="6"/>
      <c r="N864" s="6"/>
      <c r="O864" s="6"/>
      <c r="P864" s="6"/>
      <c r="Q864" s="6"/>
      <c r="R864" s="6"/>
      <c r="S864" s="6"/>
      <c r="T864" s="6"/>
      <c r="U864" s="6"/>
      <c r="V864" s="6"/>
      <c r="W864" s="6"/>
      <c r="X864" s="6"/>
      <c r="Y864" s="6"/>
      <c r="Z864" s="6"/>
      <c r="AA864" s="19"/>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row>
    <row r="865">
      <c r="A865" s="6"/>
      <c r="B865" s="6"/>
      <c r="C865" s="18"/>
      <c r="D865" s="6"/>
      <c r="E865" s="6"/>
      <c r="F865" s="6"/>
      <c r="G865" s="6"/>
      <c r="H865" s="6"/>
      <c r="I865" s="6"/>
      <c r="J865" s="6"/>
      <c r="K865" s="6"/>
      <c r="L865" s="6"/>
      <c r="M865" s="6"/>
      <c r="N865" s="6"/>
      <c r="O865" s="6"/>
      <c r="P865" s="6"/>
      <c r="Q865" s="6"/>
      <c r="R865" s="6"/>
      <c r="S865" s="6"/>
      <c r="T865" s="6"/>
      <c r="U865" s="6"/>
      <c r="V865" s="6"/>
      <c r="W865" s="6"/>
      <c r="X865" s="6"/>
      <c r="Y865" s="6"/>
      <c r="Z865" s="6"/>
      <c r="AA865" s="19"/>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row>
    <row r="866">
      <c r="A866" s="6"/>
      <c r="B866" s="6"/>
      <c r="C866" s="18"/>
      <c r="D866" s="6"/>
      <c r="E866" s="6"/>
      <c r="F866" s="6"/>
      <c r="G866" s="6"/>
      <c r="H866" s="6"/>
      <c r="I866" s="6"/>
      <c r="J866" s="6"/>
      <c r="K866" s="6"/>
      <c r="L866" s="6"/>
      <c r="M866" s="6"/>
      <c r="N866" s="6"/>
      <c r="O866" s="6"/>
      <c r="P866" s="6"/>
      <c r="Q866" s="6"/>
      <c r="R866" s="6"/>
      <c r="S866" s="6"/>
      <c r="T866" s="6"/>
      <c r="U866" s="6"/>
      <c r="V866" s="6"/>
      <c r="W866" s="6"/>
      <c r="X866" s="6"/>
      <c r="Y866" s="6"/>
      <c r="Z866" s="6"/>
      <c r="AA866" s="19"/>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row>
    <row r="867">
      <c r="A867" s="6"/>
      <c r="B867" s="6"/>
      <c r="C867" s="18"/>
      <c r="D867" s="6"/>
      <c r="E867" s="6"/>
      <c r="F867" s="6"/>
      <c r="G867" s="6"/>
      <c r="H867" s="6"/>
      <c r="I867" s="6"/>
      <c r="J867" s="6"/>
      <c r="K867" s="6"/>
      <c r="L867" s="6"/>
      <c r="M867" s="6"/>
      <c r="N867" s="6"/>
      <c r="O867" s="6"/>
      <c r="P867" s="6"/>
      <c r="Q867" s="6"/>
      <c r="R867" s="6"/>
      <c r="S867" s="6"/>
      <c r="T867" s="6"/>
      <c r="U867" s="6"/>
      <c r="V867" s="6"/>
      <c r="W867" s="6"/>
      <c r="X867" s="6"/>
      <c r="Y867" s="6"/>
      <c r="Z867" s="6"/>
      <c r="AA867" s="19"/>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row>
    <row r="868">
      <c r="A868" s="6"/>
      <c r="B868" s="6"/>
      <c r="C868" s="18"/>
      <c r="D868" s="6"/>
      <c r="E868" s="6"/>
      <c r="F868" s="6"/>
      <c r="G868" s="6"/>
      <c r="H868" s="6"/>
      <c r="I868" s="6"/>
      <c r="J868" s="6"/>
      <c r="K868" s="6"/>
      <c r="L868" s="6"/>
      <c r="M868" s="6"/>
      <c r="N868" s="6"/>
      <c r="O868" s="6"/>
      <c r="P868" s="6"/>
      <c r="Q868" s="6"/>
      <c r="R868" s="6"/>
      <c r="S868" s="6"/>
      <c r="T868" s="6"/>
      <c r="U868" s="6"/>
      <c r="V868" s="6"/>
      <c r="W868" s="6"/>
      <c r="X868" s="6"/>
      <c r="Y868" s="6"/>
      <c r="Z868" s="6"/>
      <c r="AA868" s="19"/>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row>
    <row r="869">
      <c r="A869" s="6"/>
      <c r="B869" s="6"/>
      <c r="C869" s="18"/>
      <c r="D869" s="6"/>
      <c r="E869" s="6"/>
      <c r="F869" s="6"/>
      <c r="G869" s="6"/>
      <c r="H869" s="6"/>
      <c r="I869" s="6"/>
      <c r="J869" s="6"/>
      <c r="K869" s="6"/>
      <c r="L869" s="6"/>
      <c r="M869" s="6"/>
      <c r="N869" s="6"/>
      <c r="O869" s="6"/>
      <c r="P869" s="6"/>
      <c r="Q869" s="6"/>
      <c r="R869" s="6"/>
      <c r="S869" s="6"/>
      <c r="T869" s="6"/>
      <c r="U869" s="6"/>
      <c r="V869" s="6"/>
      <c r="W869" s="6"/>
      <c r="X869" s="6"/>
      <c r="Y869" s="6"/>
      <c r="Z869" s="6"/>
      <c r="AA869" s="19"/>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row>
    <row r="870">
      <c r="A870" s="6"/>
      <c r="B870" s="6"/>
      <c r="C870" s="18"/>
      <c r="D870" s="6"/>
      <c r="E870" s="6"/>
      <c r="F870" s="6"/>
      <c r="G870" s="6"/>
      <c r="H870" s="6"/>
      <c r="I870" s="6"/>
      <c r="J870" s="6"/>
      <c r="K870" s="6"/>
      <c r="L870" s="6"/>
      <c r="M870" s="6"/>
      <c r="N870" s="6"/>
      <c r="O870" s="6"/>
      <c r="P870" s="6"/>
      <c r="Q870" s="6"/>
      <c r="R870" s="6"/>
      <c r="S870" s="6"/>
      <c r="T870" s="6"/>
      <c r="U870" s="6"/>
      <c r="V870" s="6"/>
      <c r="W870" s="6"/>
      <c r="X870" s="6"/>
      <c r="Y870" s="6"/>
      <c r="Z870" s="6"/>
      <c r="AA870" s="19"/>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row>
    <row r="871">
      <c r="A871" s="6"/>
      <c r="B871" s="6"/>
      <c r="C871" s="18"/>
      <c r="D871" s="6"/>
      <c r="E871" s="6"/>
      <c r="F871" s="6"/>
      <c r="G871" s="6"/>
      <c r="H871" s="6"/>
      <c r="I871" s="6"/>
      <c r="J871" s="6"/>
      <c r="K871" s="6"/>
      <c r="L871" s="6"/>
      <c r="M871" s="6"/>
      <c r="N871" s="6"/>
      <c r="O871" s="6"/>
      <c r="P871" s="6"/>
      <c r="Q871" s="6"/>
      <c r="R871" s="6"/>
      <c r="S871" s="6"/>
      <c r="T871" s="6"/>
      <c r="U871" s="6"/>
      <c r="V871" s="6"/>
      <c r="W871" s="6"/>
      <c r="X871" s="6"/>
      <c r="Y871" s="6"/>
      <c r="Z871" s="6"/>
      <c r="AA871" s="19"/>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row>
    <row r="872">
      <c r="A872" s="6"/>
      <c r="B872" s="6"/>
      <c r="C872" s="18"/>
      <c r="D872" s="6"/>
      <c r="E872" s="6"/>
      <c r="F872" s="6"/>
      <c r="G872" s="6"/>
      <c r="H872" s="6"/>
      <c r="I872" s="6"/>
      <c r="J872" s="6"/>
      <c r="K872" s="6"/>
      <c r="L872" s="6"/>
      <c r="M872" s="6"/>
      <c r="N872" s="6"/>
      <c r="O872" s="6"/>
      <c r="P872" s="6"/>
      <c r="Q872" s="6"/>
      <c r="R872" s="6"/>
      <c r="S872" s="6"/>
      <c r="T872" s="6"/>
      <c r="U872" s="6"/>
      <c r="V872" s="6"/>
      <c r="W872" s="6"/>
      <c r="X872" s="6"/>
      <c r="Y872" s="6"/>
      <c r="Z872" s="6"/>
      <c r="AA872" s="19"/>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row>
    <row r="873">
      <c r="A873" s="6"/>
      <c r="B873" s="6"/>
      <c r="C873" s="18"/>
      <c r="D873" s="6"/>
      <c r="E873" s="6"/>
      <c r="F873" s="6"/>
      <c r="G873" s="6"/>
      <c r="H873" s="6"/>
      <c r="I873" s="6"/>
      <c r="J873" s="6"/>
      <c r="K873" s="6"/>
      <c r="L873" s="6"/>
      <c r="M873" s="6"/>
      <c r="N873" s="6"/>
      <c r="O873" s="6"/>
      <c r="P873" s="6"/>
      <c r="Q873" s="6"/>
      <c r="R873" s="6"/>
      <c r="S873" s="6"/>
      <c r="T873" s="6"/>
      <c r="U873" s="6"/>
      <c r="V873" s="6"/>
      <c r="W873" s="6"/>
      <c r="X873" s="6"/>
      <c r="Y873" s="6"/>
      <c r="Z873" s="6"/>
      <c r="AA873" s="19"/>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row>
    <row r="874">
      <c r="A874" s="6"/>
      <c r="B874" s="6"/>
      <c r="C874" s="18"/>
      <c r="D874" s="6"/>
      <c r="E874" s="6"/>
      <c r="F874" s="6"/>
      <c r="G874" s="6"/>
      <c r="H874" s="6"/>
      <c r="I874" s="6"/>
      <c r="J874" s="6"/>
      <c r="K874" s="6"/>
      <c r="L874" s="6"/>
      <c r="M874" s="6"/>
      <c r="N874" s="6"/>
      <c r="O874" s="6"/>
      <c r="P874" s="6"/>
      <c r="Q874" s="6"/>
      <c r="R874" s="6"/>
      <c r="S874" s="6"/>
      <c r="T874" s="6"/>
      <c r="U874" s="6"/>
      <c r="V874" s="6"/>
      <c r="W874" s="6"/>
      <c r="X874" s="6"/>
      <c r="Y874" s="6"/>
      <c r="Z874" s="6"/>
      <c r="AA874" s="19"/>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row>
    <row r="875">
      <c r="A875" s="6"/>
      <c r="B875" s="6"/>
      <c r="C875" s="18"/>
      <c r="D875" s="6"/>
      <c r="E875" s="6"/>
      <c r="F875" s="6"/>
      <c r="G875" s="6"/>
      <c r="H875" s="6"/>
      <c r="I875" s="6"/>
      <c r="J875" s="6"/>
      <c r="K875" s="6"/>
      <c r="L875" s="6"/>
      <c r="M875" s="6"/>
      <c r="N875" s="6"/>
      <c r="O875" s="6"/>
      <c r="P875" s="6"/>
      <c r="Q875" s="6"/>
      <c r="R875" s="6"/>
      <c r="S875" s="6"/>
      <c r="T875" s="6"/>
      <c r="U875" s="6"/>
      <c r="V875" s="6"/>
      <c r="W875" s="6"/>
      <c r="X875" s="6"/>
      <c r="Y875" s="6"/>
      <c r="Z875" s="6"/>
      <c r="AA875" s="19"/>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row>
    <row r="876">
      <c r="A876" s="6"/>
      <c r="B876" s="6"/>
      <c r="C876" s="18"/>
      <c r="D876" s="6"/>
      <c r="E876" s="6"/>
      <c r="F876" s="6"/>
      <c r="G876" s="6"/>
      <c r="H876" s="6"/>
      <c r="I876" s="6"/>
      <c r="J876" s="6"/>
      <c r="K876" s="6"/>
      <c r="L876" s="6"/>
      <c r="M876" s="6"/>
      <c r="N876" s="6"/>
      <c r="O876" s="6"/>
      <c r="P876" s="6"/>
      <c r="Q876" s="6"/>
      <c r="R876" s="6"/>
      <c r="S876" s="6"/>
      <c r="T876" s="6"/>
      <c r="U876" s="6"/>
      <c r="V876" s="6"/>
      <c r="W876" s="6"/>
      <c r="X876" s="6"/>
      <c r="Y876" s="6"/>
      <c r="Z876" s="6"/>
      <c r="AA876" s="19"/>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row>
    <row r="877">
      <c r="A877" s="6"/>
      <c r="B877" s="6"/>
      <c r="C877" s="18"/>
      <c r="D877" s="6"/>
      <c r="E877" s="6"/>
      <c r="F877" s="6"/>
      <c r="G877" s="6"/>
      <c r="H877" s="6"/>
      <c r="I877" s="6"/>
      <c r="J877" s="6"/>
      <c r="K877" s="6"/>
      <c r="L877" s="6"/>
      <c r="M877" s="6"/>
      <c r="N877" s="6"/>
      <c r="O877" s="6"/>
      <c r="P877" s="6"/>
      <c r="Q877" s="6"/>
      <c r="R877" s="6"/>
      <c r="S877" s="6"/>
      <c r="T877" s="6"/>
      <c r="U877" s="6"/>
      <c r="V877" s="6"/>
      <c r="W877" s="6"/>
      <c r="X877" s="6"/>
      <c r="Y877" s="6"/>
      <c r="Z877" s="6"/>
      <c r="AA877" s="19"/>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row>
    <row r="878">
      <c r="A878" s="6"/>
      <c r="B878" s="6"/>
      <c r="C878" s="18"/>
      <c r="D878" s="6"/>
      <c r="E878" s="6"/>
      <c r="F878" s="6"/>
      <c r="G878" s="6"/>
      <c r="H878" s="6"/>
      <c r="I878" s="6"/>
      <c r="J878" s="6"/>
      <c r="K878" s="6"/>
      <c r="L878" s="6"/>
      <c r="M878" s="6"/>
      <c r="N878" s="6"/>
      <c r="O878" s="6"/>
      <c r="P878" s="6"/>
      <c r="Q878" s="6"/>
      <c r="R878" s="6"/>
      <c r="S878" s="6"/>
      <c r="T878" s="6"/>
      <c r="U878" s="6"/>
      <c r="V878" s="6"/>
      <c r="W878" s="6"/>
      <c r="X878" s="6"/>
      <c r="Y878" s="6"/>
      <c r="Z878" s="6"/>
      <c r="AA878" s="19"/>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row>
    <row r="879">
      <c r="A879" s="6"/>
      <c r="B879" s="6"/>
      <c r="C879" s="18"/>
      <c r="D879" s="6"/>
      <c r="E879" s="6"/>
      <c r="F879" s="6"/>
      <c r="G879" s="6"/>
      <c r="H879" s="6"/>
      <c r="I879" s="6"/>
      <c r="J879" s="6"/>
      <c r="K879" s="6"/>
      <c r="L879" s="6"/>
      <c r="M879" s="6"/>
      <c r="N879" s="6"/>
      <c r="O879" s="6"/>
      <c r="P879" s="6"/>
      <c r="Q879" s="6"/>
      <c r="R879" s="6"/>
      <c r="S879" s="6"/>
      <c r="T879" s="6"/>
      <c r="U879" s="6"/>
      <c r="V879" s="6"/>
      <c r="W879" s="6"/>
      <c r="X879" s="6"/>
      <c r="Y879" s="6"/>
      <c r="Z879" s="6"/>
      <c r="AA879" s="19"/>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row>
    <row r="880">
      <c r="A880" s="6"/>
      <c r="B880" s="6"/>
      <c r="C880" s="18"/>
      <c r="D880" s="6"/>
      <c r="E880" s="6"/>
      <c r="F880" s="6"/>
      <c r="G880" s="6"/>
      <c r="H880" s="6"/>
      <c r="I880" s="6"/>
      <c r="J880" s="6"/>
      <c r="K880" s="6"/>
      <c r="L880" s="6"/>
      <c r="M880" s="6"/>
      <c r="N880" s="6"/>
      <c r="O880" s="6"/>
      <c r="P880" s="6"/>
      <c r="Q880" s="6"/>
      <c r="R880" s="6"/>
      <c r="S880" s="6"/>
      <c r="T880" s="6"/>
      <c r="U880" s="6"/>
      <c r="V880" s="6"/>
      <c r="W880" s="6"/>
      <c r="X880" s="6"/>
      <c r="Y880" s="6"/>
      <c r="Z880" s="6"/>
      <c r="AA880" s="19"/>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row>
    <row r="881">
      <c r="A881" s="6"/>
      <c r="B881" s="6"/>
      <c r="C881" s="18"/>
      <c r="D881" s="6"/>
      <c r="E881" s="6"/>
      <c r="F881" s="6"/>
      <c r="G881" s="6"/>
      <c r="H881" s="6"/>
      <c r="I881" s="6"/>
      <c r="J881" s="6"/>
      <c r="K881" s="6"/>
      <c r="L881" s="6"/>
      <c r="M881" s="6"/>
      <c r="N881" s="6"/>
      <c r="O881" s="6"/>
      <c r="P881" s="6"/>
      <c r="Q881" s="6"/>
      <c r="R881" s="6"/>
      <c r="S881" s="6"/>
      <c r="T881" s="6"/>
      <c r="U881" s="6"/>
      <c r="V881" s="6"/>
      <c r="W881" s="6"/>
      <c r="X881" s="6"/>
      <c r="Y881" s="6"/>
      <c r="Z881" s="6"/>
      <c r="AA881" s="19"/>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row>
    <row r="882">
      <c r="A882" s="6"/>
      <c r="B882" s="6"/>
      <c r="C882" s="18"/>
      <c r="D882" s="6"/>
      <c r="E882" s="6"/>
      <c r="F882" s="6"/>
      <c r="G882" s="6"/>
      <c r="H882" s="6"/>
      <c r="I882" s="6"/>
      <c r="J882" s="6"/>
      <c r="K882" s="6"/>
      <c r="L882" s="6"/>
      <c r="M882" s="6"/>
      <c r="N882" s="6"/>
      <c r="O882" s="6"/>
      <c r="P882" s="6"/>
      <c r="Q882" s="6"/>
      <c r="R882" s="6"/>
      <c r="S882" s="6"/>
      <c r="T882" s="6"/>
      <c r="U882" s="6"/>
      <c r="V882" s="6"/>
      <c r="W882" s="6"/>
      <c r="X882" s="6"/>
      <c r="Y882" s="6"/>
      <c r="Z882" s="6"/>
      <c r="AA882" s="19"/>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row>
    <row r="883">
      <c r="A883" s="6"/>
      <c r="B883" s="6"/>
      <c r="C883" s="18"/>
      <c r="D883" s="6"/>
      <c r="E883" s="6"/>
      <c r="F883" s="6"/>
      <c r="G883" s="6"/>
      <c r="H883" s="6"/>
      <c r="I883" s="6"/>
      <c r="J883" s="6"/>
      <c r="K883" s="6"/>
      <c r="L883" s="6"/>
      <c r="M883" s="6"/>
      <c r="N883" s="6"/>
      <c r="O883" s="6"/>
      <c r="P883" s="6"/>
      <c r="Q883" s="6"/>
      <c r="R883" s="6"/>
      <c r="S883" s="6"/>
      <c r="T883" s="6"/>
      <c r="U883" s="6"/>
      <c r="V883" s="6"/>
      <c r="W883" s="6"/>
      <c r="X883" s="6"/>
      <c r="Y883" s="6"/>
      <c r="Z883" s="6"/>
      <c r="AA883" s="19"/>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row>
    <row r="884">
      <c r="A884" s="6"/>
      <c r="B884" s="6"/>
      <c r="C884" s="18"/>
      <c r="D884" s="6"/>
      <c r="E884" s="6"/>
      <c r="F884" s="6"/>
      <c r="G884" s="6"/>
      <c r="H884" s="6"/>
      <c r="I884" s="6"/>
      <c r="J884" s="6"/>
      <c r="K884" s="6"/>
      <c r="L884" s="6"/>
      <c r="M884" s="6"/>
      <c r="N884" s="6"/>
      <c r="O884" s="6"/>
      <c r="P884" s="6"/>
      <c r="Q884" s="6"/>
      <c r="R884" s="6"/>
      <c r="S884" s="6"/>
      <c r="T884" s="6"/>
      <c r="U884" s="6"/>
      <c r="V884" s="6"/>
      <c r="W884" s="6"/>
      <c r="X884" s="6"/>
      <c r="Y884" s="6"/>
      <c r="Z884" s="6"/>
      <c r="AA884" s="19"/>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row>
    <row r="885">
      <c r="A885" s="6"/>
      <c r="B885" s="6"/>
      <c r="C885" s="18"/>
      <c r="D885" s="6"/>
      <c r="E885" s="6"/>
      <c r="F885" s="6"/>
      <c r="G885" s="6"/>
      <c r="H885" s="6"/>
      <c r="I885" s="6"/>
      <c r="J885" s="6"/>
      <c r="K885" s="6"/>
      <c r="L885" s="6"/>
      <c r="M885" s="6"/>
      <c r="N885" s="6"/>
      <c r="O885" s="6"/>
      <c r="P885" s="6"/>
      <c r="Q885" s="6"/>
      <c r="R885" s="6"/>
      <c r="S885" s="6"/>
      <c r="T885" s="6"/>
      <c r="U885" s="6"/>
      <c r="V885" s="6"/>
      <c r="W885" s="6"/>
      <c r="X885" s="6"/>
      <c r="Y885" s="6"/>
      <c r="Z885" s="6"/>
      <c r="AA885" s="19"/>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row>
    <row r="886">
      <c r="A886" s="6"/>
      <c r="B886" s="6"/>
      <c r="C886" s="18"/>
      <c r="D886" s="6"/>
      <c r="E886" s="6"/>
      <c r="F886" s="6"/>
      <c r="G886" s="6"/>
      <c r="H886" s="6"/>
      <c r="I886" s="6"/>
      <c r="J886" s="6"/>
      <c r="K886" s="6"/>
      <c r="L886" s="6"/>
      <c r="M886" s="6"/>
      <c r="N886" s="6"/>
      <c r="O886" s="6"/>
      <c r="P886" s="6"/>
      <c r="Q886" s="6"/>
      <c r="R886" s="6"/>
      <c r="S886" s="6"/>
      <c r="T886" s="6"/>
      <c r="U886" s="6"/>
      <c r="V886" s="6"/>
      <c r="W886" s="6"/>
      <c r="X886" s="6"/>
      <c r="Y886" s="6"/>
      <c r="Z886" s="6"/>
      <c r="AA886" s="19"/>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row>
    <row r="887">
      <c r="A887" s="6"/>
      <c r="B887" s="6"/>
      <c r="C887" s="18"/>
      <c r="D887" s="6"/>
      <c r="E887" s="6"/>
      <c r="F887" s="6"/>
      <c r="G887" s="6"/>
      <c r="H887" s="6"/>
      <c r="I887" s="6"/>
      <c r="J887" s="6"/>
      <c r="K887" s="6"/>
      <c r="L887" s="6"/>
      <c r="M887" s="6"/>
      <c r="N887" s="6"/>
      <c r="O887" s="6"/>
      <c r="P887" s="6"/>
      <c r="Q887" s="6"/>
      <c r="R887" s="6"/>
      <c r="S887" s="6"/>
      <c r="T887" s="6"/>
      <c r="U887" s="6"/>
      <c r="V887" s="6"/>
      <c r="W887" s="6"/>
      <c r="X887" s="6"/>
      <c r="Y887" s="6"/>
      <c r="Z887" s="6"/>
      <c r="AA887" s="19"/>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row>
    <row r="888">
      <c r="A888" s="6"/>
      <c r="B888" s="6"/>
      <c r="C888" s="18"/>
      <c r="D888" s="6"/>
      <c r="E888" s="6"/>
      <c r="F888" s="6"/>
      <c r="G888" s="6"/>
      <c r="H888" s="6"/>
      <c r="I888" s="6"/>
      <c r="J888" s="6"/>
      <c r="K888" s="6"/>
      <c r="L888" s="6"/>
      <c r="M888" s="6"/>
      <c r="N888" s="6"/>
      <c r="O888" s="6"/>
      <c r="P888" s="6"/>
      <c r="Q888" s="6"/>
      <c r="R888" s="6"/>
      <c r="S888" s="6"/>
      <c r="T888" s="6"/>
      <c r="U888" s="6"/>
      <c r="V888" s="6"/>
      <c r="W888" s="6"/>
      <c r="X888" s="6"/>
      <c r="Y888" s="6"/>
      <c r="Z888" s="6"/>
      <c r="AA888" s="19"/>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row>
    <row r="889">
      <c r="A889" s="6"/>
      <c r="B889" s="6"/>
      <c r="C889" s="18"/>
      <c r="D889" s="6"/>
      <c r="E889" s="6"/>
      <c r="F889" s="6"/>
      <c r="G889" s="6"/>
      <c r="H889" s="6"/>
      <c r="I889" s="6"/>
      <c r="J889" s="6"/>
      <c r="K889" s="6"/>
      <c r="L889" s="6"/>
      <c r="M889" s="6"/>
      <c r="N889" s="6"/>
      <c r="O889" s="6"/>
      <c r="P889" s="6"/>
      <c r="Q889" s="6"/>
      <c r="R889" s="6"/>
      <c r="S889" s="6"/>
      <c r="T889" s="6"/>
      <c r="U889" s="6"/>
      <c r="V889" s="6"/>
      <c r="W889" s="6"/>
      <c r="X889" s="6"/>
      <c r="Y889" s="6"/>
      <c r="Z889" s="6"/>
      <c r="AA889" s="19"/>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row>
    <row r="890">
      <c r="A890" s="6"/>
      <c r="B890" s="6"/>
      <c r="C890" s="18"/>
      <c r="D890" s="6"/>
      <c r="E890" s="6"/>
      <c r="F890" s="6"/>
      <c r="G890" s="6"/>
      <c r="H890" s="6"/>
      <c r="I890" s="6"/>
      <c r="J890" s="6"/>
      <c r="K890" s="6"/>
      <c r="L890" s="6"/>
      <c r="M890" s="6"/>
      <c r="N890" s="6"/>
      <c r="O890" s="6"/>
      <c r="P890" s="6"/>
      <c r="Q890" s="6"/>
      <c r="R890" s="6"/>
      <c r="S890" s="6"/>
      <c r="T890" s="6"/>
      <c r="U890" s="6"/>
      <c r="V890" s="6"/>
      <c r="W890" s="6"/>
      <c r="X890" s="6"/>
      <c r="Y890" s="6"/>
      <c r="Z890" s="6"/>
      <c r="AA890" s="19"/>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row>
    <row r="891">
      <c r="A891" s="6"/>
      <c r="B891" s="6"/>
      <c r="C891" s="18"/>
      <c r="D891" s="6"/>
      <c r="E891" s="6"/>
      <c r="F891" s="6"/>
      <c r="G891" s="6"/>
      <c r="H891" s="6"/>
      <c r="I891" s="6"/>
      <c r="J891" s="6"/>
      <c r="K891" s="6"/>
      <c r="L891" s="6"/>
      <c r="M891" s="6"/>
      <c r="N891" s="6"/>
      <c r="O891" s="6"/>
      <c r="P891" s="6"/>
      <c r="Q891" s="6"/>
      <c r="R891" s="6"/>
      <c r="S891" s="6"/>
      <c r="T891" s="6"/>
      <c r="U891" s="6"/>
      <c r="V891" s="6"/>
      <c r="W891" s="6"/>
      <c r="X891" s="6"/>
      <c r="Y891" s="6"/>
      <c r="Z891" s="6"/>
      <c r="AA891" s="19"/>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row>
    <row r="892">
      <c r="A892" s="6"/>
      <c r="B892" s="6"/>
      <c r="C892" s="18"/>
      <c r="D892" s="6"/>
      <c r="E892" s="6"/>
      <c r="F892" s="6"/>
      <c r="G892" s="6"/>
      <c r="H892" s="6"/>
      <c r="I892" s="6"/>
      <c r="J892" s="6"/>
      <c r="K892" s="6"/>
      <c r="L892" s="6"/>
      <c r="M892" s="6"/>
      <c r="N892" s="6"/>
      <c r="O892" s="6"/>
      <c r="P892" s="6"/>
      <c r="Q892" s="6"/>
      <c r="R892" s="6"/>
      <c r="S892" s="6"/>
      <c r="T892" s="6"/>
      <c r="U892" s="6"/>
      <c r="V892" s="6"/>
      <c r="W892" s="6"/>
      <c r="X892" s="6"/>
      <c r="Y892" s="6"/>
      <c r="Z892" s="6"/>
      <c r="AA892" s="19"/>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row>
    <row r="893">
      <c r="A893" s="6"/>
      <c r="B893" s="6"/>
      <c r="C893" s="18"/>
      <c r="D893" s="6"/>
      <c r="E893" s="6"/>
      <c r="F893" s="6"/>
      <c r="G893" s="6"/>
      <c r="H893" s="6"/>
      <c r="I893" s="6"/>
      <c r="J893" s="6"/>
      <c r="K893" s="6"/>
      <c r="L893" s="6"/>
      <c r="M893" s="6"/>
      <c r="N893" s="6"/>
      <c r="O893" s="6"/>
      <c r="P893" s="6"/>
      <c r="Q893" s="6"/>
      <c r="R893" s="6"/>
      <c r="S893" s="6"/>
      <c r="T893" s="6"/>
      <c r="U893" s="6"/>
      <c r="V893" s="6"/>
      <c r="W893" s="6"/>
      <c r="X893" s="6"/>
      <c r="Y893" s="6"/>
      <c r="Z893" s="6"/>
      <c r="AA893" s="19"/>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row>
    <row r="894">
      <c r="A894" s="6"/>
      <c r="B894" s="6"/>
      <c r="C894" s="18"/>
      <c r="D894" s="6"/>
      <c r="E894" s="6"/>
      <c r="F894" s="6"/>
      <c r="G894" s="6"/>
      <c r="H894" s="6"/>
      <c r="I894" s="6"/>
      <c r="J894" s="6"/>
      <c r="K894" s="6"/>
      <c r="L894" s="6"/>
      <c r="M894" s="6"/>
      <c r="N894" s="6"/>
      <c r="O894" s="6"/>
      <c r="P894" s="6"/>
      <c r="Q894" s="6"/>
      <c r="R894" s="6"/>
      <c r="S894" s="6"/>
      <c r="T894" s="6"/>
      <c r="U894" s="6"/>
      <c r="V894" s="6"/>
      <c r="W894" s="6"/>
      <c r="X894" s="6"/>
      <c r="Y894" s="6"/>
      <c r="Z894" s="6"/>
      <c r="AA894" s="19"/>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row>
    <row r="895">
      <c r="A895" s="6"/>
      <c r="B895" s="6"/>
      <c r="C895" s="18"/>
      <c r="D895" s="6"/>
      <c r="E895" s="6"/>
      <c r="F895" s="6"/>
      <c r="G895" s="6"/>
      <c r="H895" s="6"/>
      <c r="I895" s="6"/>
      <c r="J895" s="6"/>
      <c r="K895" s="6"/>
      <c r="L895" s="6"/>
      <c r="M895" s="6"/>
      <c r="N895" s="6"/>
      <c r="O895" s="6"/>
      <c r="P895" s="6"/>
      <c r="Q895" s="6"/>
      <c r="R895" s="6"/>
      <c r="S895" s="6"/>
      <c r="T895" s="6"/>
      <c r="U895" s="6"/>
      <c r="V895" s="6"/>
      <c r="W895" s="6"/>
      <c r="X895" s="6"/>
      <c r="Y895" s="6"/>
      <c r="Z895" s="6"/>
      <c r="AA895" s="19"/>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row>
    <row r="896">
      <c r="A896" s="6"/>
      <c r="B896" s="6"/>
      <c r="C896" s="18"/>
      <c r="D896" s="6"/>
      <c r="E896" s="6"/>
      <c r="F896" s="6"/>
      <c r="G896" s="6"/>
      <c r="H896" s="6"/>
      <c r="I896" s="6"/>
      <c r="J896" s="6"/>
      <c r="K896" s="6"/>
      <c r="L896" s="6"/>
      <c r="M896" s="6"/>
      <c r="N896" s="6"/>
      <c r="O896" s="6"/>
      <c r="P896" s="6"/>
      <c r="Q896" s="6"/>
      <c r="R896" s="6"/>
      <c r="S896" s="6"/>
      <c r="T896" s="6"/>
      <c r="U896" s="6"/>
      <c r="V896" s="6"/>
      <c r="W896" s="6"/>
      <c r="X896" s="6"/>
      <c r="Y896" s="6"/>
      <c r="Z896" s="6"/>
      <c r="AA896" s="19"/>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row>
    <row r="897">
      <c r="A897" s="6"/>
      <c r="B897" s="6"/>
      <c r="C897" s="18"/>
      <c r="D897" s="6"/>
      <c r="E897" s="6"/>
      <c r="F897" s="6"/>
      <c r="G897" s="6"/>
      <c r="H897" s="6"/>
      <c r="I897" s="6"/>
      <c r="J897" s="6"/>
      <c r="K897" s="6"/>
      <c r="L897" s="6"/>
      <c r="M897" s="6"/>
      <c r="N897" s="6"/>
      <c r="O897" s="6"/>
      <c r="P897" s="6"/>
      <c r="Q897" s="6"/>
      <c r="R897" s="6"/>
      <c r="S897" s="6"/>
      <c r="T897" s="6"/>
      <c r="U897" s="6"/>
      <c r="V897" s="6"/>
      <c r="W897" s="6"/>
      <c r="X897" s="6"/>
      <c r="Y897" s="6"/>
      <c r="Z897" s="6"/>
      <c r="AA897" s="19"/>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row>
    <row r="898">
      <c r="A898" s="6"/>
      <c r="B898" s="6"/>
      <c r="C898" s="18"/>
      <c r="D898" s="6"/>
      <c r="E898" s="6"/>
      <c r="F898" s="6"/>
      <c r="G898" s="6"/>
      <c r="H898" s="6"/>
      <c r="I898" s="6"/>
      <c r="J898" s="6"/>
      <c r="K898" s="6"/>
      <c r="L898" s="6"/>
      <c r="M898" s="6"/>
      <c r="N898" s="6"/>
      <c r="O898" s="6"/>
      <c r="P898" s="6"/>
      <c r="Q898" s="6"/>
      <c r="R898" s="6"/>
      <c r="S898" s="6"/>
      <c r="T898" s="6"/>
      <c r="U898" s="6"/>
      <c r="V898" s="6"/>
      <c r="W898" s="6"/>
      <c r="X898" s="6"/>
      <c r="Y898" s="6"/>
      <c r="Z898" s="6"/>
      <c r="AA898" s="19"/>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row>
    <row r="899">
      <c r="A899" s="6"/>
      <c r="B899" s="6"/>
      <c r="C899" s="18"/>
      <c r="D899" s="6"/>
      <c r="E899" s="6"/>
      <c r="F899" s="6"/>
      <c r="G899" s="6"/>
      <c r="H899" s="6"/>
      <c r="I899" s="6"/>
      <c r="J899" s="6"/>
      <c r="K899" s="6"/>
      <c r="L899" s="6"/>
      <c r="M899" s="6"/>
      <c r="N899" s="6"/>
      <c r="O899" s="6"/>
      <c r="P899" s="6"/>
      <c r="Q899" s="6"/>
      <c r="R899" s="6"/>
      <c r="S899" s="6"/>
      <c r="T899" s="6"/>
      <c r="U899" s="6"/>
      <c r="V899" s="6"/>
      <c r="W899" s="6"/>
      <c r="X899" s="6"/>
      <c r="Y899" s="6"/>
      <c r="Z899" s="6"/>
      <c r="AA899" s="19"/>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row>
    <row r="900">
      <c r="A900" s="6"/>
      <c r="B900" s="6"/>
      <c r="C900" s="18"/>
      <c r="D900" s="6"/>
      <c r="E900" s="6"/>
      <c r="F900" s="6"/>
      <c r="G900" s="6"/>
      <c r="H900" s="6"/>
      <c r="I900" s="6"/>
      <c r="J900" s="6"/>
      <c r="K900" s="6"/>
      <c r="L900" s="6"/>
      <c r="M900" s="6"/>
      <c r="N900" s="6"/>
      <c r="O900" s="6"/>
      <c r="P900" s="6"/>
      <c r="Q900" s="6"/>
      <c r="R900" s="6"/>
      <c r="S900" s="6"/>
      <c r="T900" s="6"/>
      <c r="U900" s="6"/>
      <c r="V900" s="6"/>
      <c r="W900" s="6"/>
      <c r="X900" s="6"/>
      <c r="Y900" s="6"/>
      <c r="Z900" s="6"/>
      <c r="AA900" s="19"/>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row>
    <row r="901">
      <c r="A901" s="6"/>
      <c r="B901" s="6"/>
      <c r="C901" s="18"/>
      <c r="D901" s="6"/>
      <c r="E901" s="6"/>
      <c r="F901" s="6"/>
      <c r="G901" s="6"/>
      <c r="H901" s="6"/>
      <c r="I901" s="6"/>
      <c r="J901" s="6"/>
      <c r="K901" s="6"/>
      <c r="L901" s="6"/>
      <c r="M901" s="6"/>
      <c r="N901" s="6"/>
      <c r="O901" s="6"/>
      <c r="P901" s="6"/>
      <c r="Q901" s="6"/>
      <c r="R901" s="6"/>
      <c r="S901" s="6"/>
      <c r="T901" s="6"/>
      <c r="U901" s="6"/>
      <c r="V901" s="6"/>
      <c r="W901" s="6"/>
      <c r="X901" s="6"/>
      <c r="Y901" s="6"/>
      <c r="Z901" s="6"/>
      <c r="AA901" s="19"/>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row>
    <row r="902">
      <c r="A902" s="6"/>
      <c r="B902" s="6"/>
      <c r="C902" s="18"/>
      <c r="D902" s="6"/>
      <c r="E902" s="6"/>
      <c r="F902" s="6"/>
      <c r="G902" s="6"/>
      <c r="H902" s="6"/>
      <c r="I902" s="6"/>
      <c r="J902" s="6"/>
      <c r="K902" s="6"/>
      <c r="L902" s="6"/>
      <c r="M902" s="6"/>
      <c r="N902" s="6"/>
      <c r="O902" s="6"/>
      <c r="P902" s="6"/>
      <c r="Q902" s="6"/>
      <c r="R902" s="6"/>
      <c r="S902" s="6"/>
      <c r="T902" s="6"/>
      <c r="U902" s="6"/>
      <c r="V902" s="6"/>
      <c r="W902" s="6"/>
      <c r="X902" s="6"/>
      <c r="Y902" s="6"/>
      <c r="Z902" s="6"/>
      <c r="AA902" s="19"/>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row>
    <row r="903">
      <c r="A903" s="6"/>
      <c r="B903" s="6"/>
      <c r="C903" s="18"/>
      <c r="D903" s="6"/>
      <c r="E903" s="6"/>
      <c r="F903" s="6"/>
      <c r="G903" s="6"/>
      <c r="H903" s="6"/>
      <c r="I903" s="6"/>
      <c r="J903" s="6"/>
      <c r="K903" s="6"/>
      <c r="L903" s="6"/>
      <c r="M903" s="6"/>
      <c r="N903" s="6"/>
      <c r="O903" s="6"/>
      <c r="P903" s="6"/>
      <c r="Q903" s="6"/>
      <c r="R903" s="6"/>
      <c r="S903" s="6"/>
      <c r="T903" s="6"/>
      <c r="U903" s="6"/>
      <c r="V903" s="6"/>
      <c r="W903" s="6"/>
      <c r="X903" s="6"/>
      <c r="Y903" s="6"/>
      <c r="Z903" s="6"/>
      <c r="AA903" s="19"/>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row>
    <row r="904">
      <c r="A904" s="6"/>
      <c r="B904" s="6"/>
      <c r="C904" s="18"/>
      <c r="D904" s="6"/>
      <c r="E904" s="6"/>
      <c r="F904" s="6"/>
      <c r="G904" s="6"/>
      <c r="H904" s="6"/>
      <c r="I904" s="6"/>
      <c r="J904" s="6"/>
      <c r="K904" s="6"/>
      <c r="L904" s="6"/>
      <c r="M904" s="6"/>
      <c r="N904" s="6"/>
      <c r="O904" s="6"/>
      <c r="P904" s="6"/>
      <c r="Q904" s="6"/>
      <c r="R904" s="6"/>
      <c r="S904" s="6"/>
      <c r="T904" s="6"/>
      <c r="U904" s="6"/>
      <c r="V904" s="6"/>
      <c r="W904" s="6"/>
      <c r="X904" s="6"/>
      <c r="Y904" s="6"/>
      <c r="Z904" s="6"/>
      <c r="AA904" s="19"/>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row>
    <row r="905">
      <c r="A905" s="6"/>
      <c r="B905" s="6"/>
      <c r="C905" s="18"/>
      <c r="D905" s="6"/>
      <c r="E905" s="6"/>
      <c r="F905" s="6"/>
      <c r="G905" s="6"/>
      <c r="H905" s="6"/>
      <c r="I905" s="6"/>
      <c r="J905" s="6"/>
      <c r="K905" s="6"/>
      <c r="L905" s="6"/>
      <c r="M905" s="6"/>
      <c r="N905" s="6"/>
      <c r="O905" s="6"/>
      <c r="P905" s="6"/>
      <c r="Q905" s="6"/>
      <c r="R905" s="6"/>
      <c r="S905" s="6"/>
      <c r="T905" s="6"/>
      <c r="U905" s="6"/>
      <c r="V905" s="6"/>
      <c r="W905" s="6"/>
      <c r="X905" s="6"/>
      <c r="Y905" s="6"/>
      <c r="Z905" s="6"/>
      <c r="AA905" s="19"/>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row>
    <row r="906">
      <c r="A906" s="6"/>
      <c r="B906" s="6"/>
      <c r="C906" s="18"/>
      <c r="D906" s="6"/>
      <c r="E906" s="6"/>
      <c r="F906" s="6"/>
      <c r="G906" s="6"/>
      <c r="H906" s="6"/>
      <c r="I906" s="6"/>
      <c r="J906" s="6"/>
      <c r="K906" s="6"/>
      <c r="L906" s="6"/>
      <c r="M906" s="6"/>
      <c r="N906" s="6"/>
      <c r="O906" s="6"/>
      <c r="P906" s="6"/>
      <c r="Q906" s="6"/>
      <c r="R906" s="6"/>
      <c r="S906" s="6"/>
      <c r="T906" s="6"/>
      <c r="U906" s="6"/>
      <c r="V906" s="6"/>
      <c r="W906" s="6"/>
      <c r="X906" s="6"/>
      <c r="Y906" s="6"/>
      <c r="Z906" s="6"/>
      <c r="AA906" s="19"/>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row>
    <row r="907">
      <c r="A907" s="6"/>
      <c r="B907" s="6"/>
      <c r="C907" s="18"/>
      <c r="D907" s="6"/>
      <c r="E907" s="6"/>
      <c r="F907" s="6"/>
      <c r="G907" s="6"/>
      <c r="H907" s="6"/>
      <c r="I907" s="6"/>
      <c r="J907" s="6"/>
      <c r="K907" s="6"/>
      <c r="L907" s="6"/>
      <c r="M907" s="6"/>
      <c r="N907" s="6"/>
      <c r="O907" s="6"/>
      <c r="P907" s="6"/>
      <c r="Q907" s="6"/>
      <c r="R907" s="6"/>
      <c r="S907" s="6"/>
      <c r="T907" s="6"/>
      <c r="U907" s="6"/>
      <c r="V907" s="6"/>
      <c r="W907" s="6"/>
      <c r="X907" s="6"/>
      <c r="Y907" s="6"/>
      <c r="Z907" s="6"/>
      <c r="AA907" s="19"/>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row>
    <row r="908">
      <c r="A908" s="6"/>
      <c r="B908" s="6"/>
      <c r="C908" s="18"/>
      <c r="D908" s="6"/>
      <c r="E908" s="6"/>
      <c r="F908" s="6"/>
      <c r="G908" s="6"/>
      <c r="H908" s="6"/>
      <c r="I908" s="6"/>
      <c r="J908" s="6"/>
      <c r="K908" s="6"/>
      <c r="L908" s="6"/>
      <c r="M908" s="6"/>
      <c r="N908" s="6"/>
      <c r="O908" s="6"/>
      <c r="P908" s="6"/>
      <c r="Q908" s="6"/>
      <c r="R908" s="6"/>
      <c r="S908" s="6"/>
      <c r="T908" s="6"/>
      <c r="U908" s="6"/>
      <c r="V908" s="6"/>
      <c r="W908" s="6"/>
      <c r="X908" s="6"/>
      <c r="Y908" s="6"/>
      <c r="Z908" s="6"/>
      <c r="AA908" s="19"/>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row>
    <row r="909">
      <c r="A909" s="6"/>
      <c r="B909" s="6"/>
      <c r="C909" s="18"/>
      <c r="D909" s="6"/>
      <c r="E909" s="6"/>
      <c r="F909" s="6"/>
      <c r="G909" s="6"/>
      <c r="H909" s="6"/>
      <c r="I909" s="6"/>
      <c r="J909" s="6"/>
      <c r="K909" s="6"/>
      <c r="L909" s="6"/>
      <c r="M909" s="6"/>
      <c r="N909" s="6"/>
      <c r="O909" s="6"/>
      <c r="P909" s="6"/>
      <c r="Q909" s="6"/>
      <c r="R909" s="6"/>
      <c r="S909" s="6"/>
      <c r="T909" s="6"/>
      <c r="U909" s="6"/>
      <c r="V909" s="6"/>
      <c r="W909" s="6"/>
      <c r="X909" s="6"/>
      <c r="Y909" s="6"/>
      <c r="Z909" s="6"/>
      <c r="AA909" s="19"/>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row>
    <row r="910">
      <c r="A910" s="6"/>
      <c r="B910" s="6"/>
      <c r="C910" s="18"/>
      <c r="D910" s="6"/>
      <c r="E910" s="6"/>
      <c r="F910" s="6"/>
      <c r="G910" s="6"/>
      <c r="H910" s="6"/>
      <c r="I910" s="6"/>
      <c r="J910" s="6"/>
      <c r="K910" s="6"/>
      <c r="L910" s="6"/>
      <c r="M910" s="6"/>
      <c r="N910" s="6"/>
      <c r="O910" s="6"/>
      <c r="P910" s="6"/>
      <c r="Q910" s="6"/>
      <c r="R910" s="6"/>
      <c r="S910" s="6"/>
      <c r="T910" s="6"/>
      <c r="U910" s="6"/>
      <c r="V910" s="6"/>
      <c r="W910" s="6"/>
      <c r="X910" s="6"/>
      <c r="Y910" s="6"/>
      <c r="Z910" s="6"/>
      <c r="AA910" s="19"/>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row>
    <row r="911">
      <c r="A911" s="6"/>
      <c r="B911" s="6"/>
      <c r="C911" s="18"/>
      <c r="D911" s="6"/>
      <c r="E911" s="6"/>
      <c r="F911" s="6"/>
      <c r="G911" s="6"/>
      <c r="H911" s="6"/>
      <c r="I911" s="6"/>
      <c r="J911" s="6"/>
      <c r="K911" s="6"/>
      <c r="L911" s="6"/>
      <c r="M911" s="6"/>
      <c r="N911" s="6"/>
      <c r="O911" s="6"/>
      <c r="P911" s="6"/>
      <c r="Q911" s="6"/>
      <c r="R911" s="6"/>
      <c r="S911" s="6"/>
      <c r="T911" s="6"/>
      <c r="U911" s="6"/>
      <c r="V911" s="6"/>
      <c r="W911" s="6"/>
      <c r="X911" s="6"/>
      <c r="Y911" s="6"/>
      <c r="Z911" s="6"/>
      <c r="AA911" s="19"/>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row>
    <row r="912">
      <c r="A912" s="6"/>
      <c r="B912" s="6"/>
      <c r="C912" s="18"/>
      <c r="D912" s="6"/>
      <c r="E912" s="6"/>
      <c r="F912" s="6"/>
      <c r="G912" s="6"/>
      <c r="H912" s="6"/>
      <c r="I912" s="6"/>
      <c r="J912" s="6"/>
      <c r="K912" s="6"/>
      <c r="L912" s="6"/>
      <c r="M912" s="6"/>
      <c r="N912" s="6"/>
      <c r="O912" s="6"/>
      <c r="P912" s="6"/>
      <c r="Q912" s="6"/>
      <c r="R912" s="6"/>
      <c r="S912" s="6"/>
      <c r="T912" s="6"/>
      <c r="U912" s="6"/>
      <c r="V912" s="6"/>
      <c r="W912" s="6"/>
      <c r="X912" s="6"/>
      <c r="Y912" s="6"/>
      <c r="Z912" s="6"/>
      <c r="AA912" s="19"/>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row>
    <row r="913">
      <c r="A913" s="6"/>
      <c r="B913" s="6"/>
      <c r="C913" s="18"/>
      <c r="D913" s="6"/>
      <c r="E913" s="6"/>
      <c r="F913" s="6"/>
      <c r="G913" s="6"/>
      <c r="H913" s="6"/>
      <c r="I913" s="6"/>
      <c r="J913" s="6"/>
      <c r="K913" s="6"/>
      <c r="L913" s="6"/>
      <c r="M913" s="6"/>
      <c r="N913" s="6"/>
      <c r="O913" s="6"/>
      <c r="P913" s="6"/>
      <c r="Q913" s="6"/>
      <c r="R913" s="6"/>
      <c r="S913" s="6"/>
      <c r="T913" s="6"/>
      <c r="U913" s="6"/>
      <c r="V913" s="6"/>
      <c r="W913" s="6"/>
      <c r="X913" s="6"/>
      <c r="Y913" s="6"/>
      <c r="Z913" s="6"/>
      <c r="AA913" s="19"/>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row>
    <row r="914">
      <c r="A914" s="6"/>
      <c r="B914" s="6"/>
      <c r="C914" s="18"/>
      <c r="D914" s="6"/>
      <c r="E914" s="6"/>
      <c r="F914" s="6"/>
      <c r="G914" s="6"/>
      <c r="H914" s="6"/>
      <c r="I914" s="6"/>
      <c r="J914" s="6"/>
      <c r="K914" s="6"/>
      <c r="L914" s="6"/>
      <c r="M914" s="6"/>
      <c r="N914" s="6"/>
      <c r="O914" s="6"/>
      <c r="P914" s="6"/>
      <c r="Q914" s="6"/>
      <c r="R914" s="6"/>
      <c r="S914" s="6"/>
      <c r="T914" s="6"/>
      <c r="U914" s="6"/>
      <c r="V914" s="6"/>
      <c r="W914" s="6"/>
      <c r="X914" s="6"/>
      <c r="Y914" s="6"/>
      <c r="Z914" s="6"/>
      <c r="AA914" s="19"/>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row>
    <row r="915">
      <c r="A915" s="6"/>
      <c r="B915" s="6"/>
      <c r="C915" s="18"/>
      <c r="D915" s="6"/>
      <c r="E915" s="6"/>
      <c r="F915" s="6"/>
      <c r="G915" s="6"/>
      <c r="H915" s="6"/>
      <c r="I915" s="6"/>
      <c r="J915" s="6"/>
      <c r="K915" s="6"/>
      <c r="L915" s="6"/>
      <c r="M915" s="6"/>
      <c r="N915" s="6"/>
      <c r="O915" s="6"/>
      <c r="P915" s="6"/>
      <c r="Q915" s="6"/>
      <c r="R915" s="6"/>
      <c r="S915" s="6"/>
      <c r="T915" s="6"/>
      <c r="U915" s="6"/>
      <c r="V915" s="6"/>
      <c r="W915" s="6"/>
      <c r="X915" s="6"/>
      <c r="Y915" s="6"/>
      <c r="Z915" s="6"/>
      <c r="AA915" s="19"/>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row>
    <row r="916">
      <c r="A916" s="6"/>
      <c r="B916" s="6"/>
      <c r="C916" s="18"/>
      <c r="D916" s="6"/>
      <c r="E916" s="6"/>
      <c r="F916" s="6"/>
      <c r="G916" s="6"/>
      <c r="H916" s="6"/>
      <c r="I916" s="6"/>
      <c r="J916" s="6"/>
      <c r="K916" s="6"/>
      <c r="L916" s="6"/>
      <c r="M916" s="6"/>
      <c r="N916" s="6"/>
      <c r="O916" s="6"/>
      <c r="P916" s="6"/>
      <c r="Q916" s="6"/>
      <c r="R916" s="6"/>
      <c r="S916" s="6"/>
      <c r="T916" s="6"/>
      <c r="U916" s="6"/>
      <c r="V916" s="6"/>
      <c r="W916" s="6"/>
      <c r="X916" s="6"/>
      <c r="Y916" s="6"/>
      <c r="Z916" s="6"/>
      <c r="AA916" s="19"/>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row>
    <row r="917">
      <c r="A917" s="6"/>
      <c r="B917" s="6"/>
      <c r="C917" s="18"/>
      <c r="D917" s="6"/>
      <c r="E917" s="6"/>
      <c r="F917" s="6"/>
      <c r="G917" s="6"/>
      <c r="H917" s="6"/>
      <c r="I917" s="6"/>
      <c r="J917" s="6"/>
      <c r="K917" s="6"/>
      <c r="L917" s="6"/>
      <c r="M917" s="6"/>
      <c r="N917" s="6"/>
      <c r="O917" s="6"/>
      <c r="P917" s="6"/>
      <c r="Q917" s="6"/>
      <c r="R917" s="6"/>
      <c r="S917" s="6"/>
      <c r="T917" s="6"/>
      <c r="U917" s="6"/>
      <c r="V917" s="6"/>
      <c r="W917" s="6"/>
      <c r="X917" s="6"/>
      <c r="Y917" s="6"/>
      <c r="Z917" s="6"/>
      <c r="AA917" s="19"/>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row>
    <row r="918">
      <c r="A918" s="6"/>
      <c r="B918" s="6"/>
      <c r="C918" s="18"/>
      <c r="D918" s="6"/>
      <c r="E918" s="6"/>
      <c r="F918" s="6"/>
      <c r="G918" s="6"/>
      <c r="H918" s="6"/>
      <c r="I918" s="6"/>
      <c r="J918" s="6"/>
      <c r="K918" s="6"/>
      <c r="L918" s="6"/>
      <c r="M918" s="6"/>
      <c r="N918" s="6"/>
      <c r="O918" s="6"/>
      <c r="P918" s="6"/>
      <c r="Q918" s="6"/>
      <c r="R918" s="6"/>
      <c r="S918" s="6"/>
      <c r="T918" s="6"/>
      <c r="U918" s="6"/>
      <c r="V918" s="6"/>
      <c r="W918" s="6"/>
      <c r="X918" s="6"/>
      <c r="Y918" s="6"/>
      <c r="Z918" s="6"/>
      <c r="AA918" s="19"/>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row>
    <row r="919">
      <c r="A919" s="6"/>
      <c r="B919" s="6"/>
      <c r="C919" s="18"/>
      <c r="D919" s="6"/>
      <c r="E919" s="6"/>
      <c r="F919" s="6"/>
      <c r="G919" s="6"/>
      <c r="H919" s="6"/>
      <c r="I919" s="6"/>
      <c r="J919" s="6"/>
      <c r="K919" s="6"/>
      <c r="L919" s="6"/>
      <c r="M919" s="6"/>
      <c r="N919" s="6"/>
      <c r="O919" s="6"/>
      <c r="P919" s="6"/>
      <c r="Q919" s="6"/>
      <c r="R919" s="6"/>
      <c r="S919" s="6"/>
      <c r="T919" s="6"/>
      <c r="U919" s="6"/>
      <c r="V919" s="6"/>
      <c r="W919" s="6"/>
      <c r="X919" s="6"/>
      <c r="Y919" s="6"/>
      <c r="Z919" s="6"/>
      <c r="AA919" s="19"/>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row>
    <row r="920">
      <c r="A920" s="6"/>
      <c r="B920" s="6"/>
      <c r="C920" s="18"/>
      <c r="D920" s="6"/>
      <c r="E920" s="6"/>
      <c r="F920" s="6"/>
      <c r="G920" s="6"/>
      <c r="H920" s="6"/>
      <c r="I920" s="6"/>
      <c r="J920" s="6"/>
      <c r="K920" s="6"/>
      <c r="L920" s="6"/>
      <c r="M920" s="6"/>
      <c r="N920" s="6"/>
      <c r="O920" s="6"/>
      <c r="P920" s="6"/>
      <c r="Q920" s="6"/>
      <c r="R920" s="6"/>
      <c r="S920" s="6"/>
      <c r="T920" s="6"/>
      <c r="U920" s="6"/>
      <c r="V920" s="6"/>
      <c r="W920" s="6"/>
      <c r="X920" s="6"/>
      <c r="Y920" s="6"/>
      <c r="Z920" s="6"/>
      <c r="AA920" s="19"/>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row>
    <row r="921">
      <c r="A921" s="6"/>
      <c r="B921" s="6"/>
      <c r="C921" s="18"/>
      <c r="D921" s="6"/>
      <c r="E921" s="6"/>
      <c r="F921" s="6"/>
      <c r="G921" s="6"/>
      <c r="H921" s="6"/>
      <c r="I921" s="6"/>
      <c r="J921" s="6"/>
      <c r="K921" s="6"/>
      <c r="L921" s="6"/>
      <c r="M921" s="6"/>
      <c r="N921" s="6"/>
      <c r="O921" s="6"/>
      <c r="P921" s="6"/>
      <c r="Q921" s="6"/>
      <c r="R921" s="6"/>
      <c r="S921" s="6"/>
      <c r="T921" s="6"/>
      <c r="U921" s="6"/>
      <c r="V921" s="6"/>
      <c r="W921" s="6"/>
      <c r="X921" s="6"/>
      <c r="Y921" s="6"/>
      <c r="Z921" s="6"/>
      <c r="AA921" s="19"/>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row>
    <row r="922">
      <c r="A922" s="6"/>
      <c r="B922" s="6"/>
      <c r="C922" s="18"/>
      <c r="D922" s="6"/>
      <c r="E922" s="6"/>
      <c r="F922" s="6"/>
      <c r="G922" s="6"/>
      <c r="H922" s="6"/>
      <c r="I922" s="6"/>
      <c r="J922" s="6"/>
      <c r="K922" s="6"/>
      <c r="L922" s="6"/>
      <c r="M922" s="6"/>
      <c r="N922" s="6"/>
      <c r="O922" s="6"/>
      <c r="P922" s="6"/>
      <c r="Q922" s="6"/>
      <c r="R922" s="6"/>
      <c r="S922" s="6"/>
      <c r="T922" s="6"/>
      <c r="U922" s="6"/>
      <c r="V922" s="6"/>
      <c r="W922" s="6"/>
      <c r="X922" s="6"/>
      <c r="Y922" s="6"/>
      <c r="Z922" s="6"/>
      <c r="AA922" s="19"/>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row>
    <row r="923">
      <c r="A923" s="6"/>
      <c r="B923" s="6"/>
      <c r="C923" s="18"/>
      <c r="D923" s="6"/>
      <c r="E923" s="6"/>
      <c r="F923" s="6"/>
      <c r="G923" s="6"/>
      <c r="H923" s="6"/>
      <c r="I923" s="6"/>
      <c r="J923" s="6"/>
      <c r="K923" s="6"/>
      <c r="L923" s="6"/>
      <c r="M923" s="6"/>
      <c r="N923" s="6"/>
      <c r="O923" s="6"/>
      <c r="P923" s="6"/>
      <c r="Q923" s="6"/>
      <c r="R923" s="6"/>
      <c r="S923" s="6"/>
      <c r="T923" s="6"/>
      <c r="U923" s="6"/>
      <c r="V923" s="6"/>
      <c r="W923" s="6"/>
      <c r="X923" s="6"/>
      <c r="Y923" s="6"/>
      <c r="Z923" s="6"/>
      <c r="AA923" s="19"/>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row>
    <row r="924">
      <c r="A924" s="6"/>
      <c r="B924" s="6"/>
      <c r="C924" s="18"/>
      <c r="D924" s="6"/>
      <c r="E924" s="6"/>
      <c r="F924" s="6"/>
      <c r="G924" s="6"/>
      <c r="H924" s="6"/>
      <c r="I924" s="6"/>
      <c r="J924" s="6"/>
      <c r="K924" s="6"/>
      <c r="L924" s="6"/>
      <c r="M924" s="6"/>
      <c r="N924" s="6"/>
      <c r="O924" s="6"/>
      <c r="P924" s="6"/>
      <c r="Q924" s="6"/>
      <c r="R924" s="6"/>
      <c r="S924" s="6"/>
      <c r="T924" s="6"/>
      <c r="U924" s="6"/>
      <c r="V924" s="6"/>
      <c r="W924" s="6"/>
      <c r="X924" s="6"/>
      <c r="Y924" s="6"/>
      <c r="Z924" s="6"/>
      <c r="AA924" s="19"/>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row>
    <row r="925">
      <c r="A925" s="6"/>
      <c r="B925" s="6"/>
      <c r="C925" s="18"/>
      <c r="D925" s="6"/>
      <c r="E925" s="6"/>
      <c r="F925" s="6"/>
      <c r="G925" s="6"/>
      <c r="H925" s="6"/>
      <c r="I925" s="6"/>
      <c r="J925" s="6"/>
      <c r="K925" s="6"/>
      <c r="L925" s="6"/>
      <c r="M925" s="6"/>
      <c r="N925" s="6"/>
      <c r="O925" s="6"/>
      <c r="P925" s="6"/>
      <c r="Q925" s="6"/>
      <c r="R925" s="6"/>
      <c r="S925" s="6"/>
      <c r="T925" s="6"/>
      <c r="U925" s="6"/>
      <c r="V925" s="6"/>
      <c r="W925" s="6"/>
      <c r="X925" s="6"/>
      <c r="Y925" s="6"/>
      <c r="Z925" s="6"/>
      <c r="AA925" s="19"/>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row>
    <row r="926">
      <c r="A926" s="6"/>
      <c r="B926" s="6"/>
      <c r="C926" s="18"/>
      <c r="D926" s="6"/>
      <c r="E926" s="6"/>
      <c r="F926" s="6"/>
      <c r="G926" s="6"/>
      <c r="H926" s="6"/>
      <c r="I926" s="6"/>
      <c r="J926" s="6"/>
      <c r="K926" s="6"/>
      <c r="L926" s="6"/>
      <c r="M926" s="6"/>
      <c r="N926" s="6"/>
      <c r="O926" s="6"/>
      <c r="P926" s="6"/>
      <c r="Q926" s="6"/>
      <c r="R926" s="6"/>
      <c r="S926" s="6"/>
      <c r="T926" s="6"/>
      <c r="U926" s="6"/>
      <c r="V926" s="6"/>
      <c r="W926" s="6"/>
      <c r="X926" s="6"/>
      <c r="Y926" s="6"/>
      <c r="Z926" s="6"/>
      <c r="AA926" s="19"/>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row>
    <row r="927">
      <c r="A927" s="6"/>
      <c r="B927" s="6"/>
      <c r="C927" s="18"/>
      <c r="D927" s="6"/>
      <c r="E927" s="6"/>
      <c r="F927" s="6"/>
      <c r="G927" s="6"/>
      <c r="H927" s="6"/>
      <c r="I927" s="6"/>
      <c r="J927" s="6"/>
      <c r="K927" s="6"/>
      <c r="L927" s="6"/>
      <c r="M927" s="6"/>
      <c r="N927" s="6"/>
      <c r="O927" s="6"/>
      <c r="P927" s="6"/>
      <c r="Q927" s="6"/>
      <c r="R927" s="6"/>
      <c r="S927" s="6"/>
      <c r="T927" s="6"/>
      <c r="U927" s="6"/>
      <c r="V927" s="6"/>
      <c r="W927" s="6"/>
      <c r="X927" s="6"/>
      <c r="Y927" s="6"/>
      <c r="Z927" s="6"/>
      <c r="AA927" s="19"/>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row>
    <row r="928">
      <c r="A928" s="6"/>
      <c r="B928" s="6"/>
      <c r="C928" s="18"/>
      <c r="D928" s="6"/>
      <c r="E928" s="6"/>
      <c r="F928" s="6"/>
      <c r="G928" s="6"/>
      <c r="H928" s="6"/>
      <c r="I928" s="6"/>
      <c r="J928" s="6"/>
      <c r="K928" s="6"/>
      <c r="L928" s="6"/>
      <c r="M928" s="6"/>
      <c r="N928" s="6"/>
      <c r="O928" s="6"/>
      <c r="P928" s="6"/>
      <c r="Q928" s="6"/>
      <c r="R928" s="6"/>
      <c r="S928" s="6"/>
      <c r="T928" s="6"/>
      <c r="U928" s="6"/>
      <c r="V928" s="6"/>
      <c r="W928" s="6"/>
      <c r="X928" s="6"/>
      <c r="Y928" s="6"/>
      <c r="Z928" s="6"/>
      <c r="AA928" s="19"/>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row>
    <row r="929">
      <c r="A929" s="6"/>
      <c r="B929" s="6"/>
      <c r="C929" s="18"/>
      <c r="D929" s="6"/>
      <c r="E929" s="6"/>
      <c r="F929" s="6"/>
      <c r="G929" s="6"/>
      <c r="H929" s="6"/>
      <c r="I929" s="6"/>
      <c r="J929" s="6"/>
      <c r="K929" s="6"/>
      <c r="L929" s="6"/>
      <c r="M929" s="6"/>
      <c r="N929" s="6"/>
      <c r="O929" s="6"/>
      <c r="P929" s="6"/>
      <c r="Q929" s="6"/>
      <c r="R929" s="6"/>
      <c r="S929" s="6"/>
      <c r="T929" s="6"/>
      <c r="U929" s="6"/>
      <c r="V929" s="6"/>
      <c r="W929" s="6"/>
      <c r="X929" s="6"/>
      <c r="Y929" s="6"/>
      <c r="Z929" s="6"/>
      <c r="AA929" s="19"/>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row>
    <row r="930">
      <c r="A930" s="6"/>
      <c r="B930" s="6"/>
      <c r="C930" s="18"/>
      <c r="D930" s="6"/>
      <c r="E930" s="6"/>
      <c r="F930" s="6"/>
      <c r="G930" s="6"/>
      <c r="H930" s="6"/>
      <c r="I930" s="6"/>
      <c r="J930" s="6"/>
      <c r="K930" s="6"/>
      <c r="L930" s="6"/>
      <c r="M930" s="6"/>
      <c r="N930" s="6"/>
      <c r="O930" s="6"/>
      <c r="P930" s="6"/>
      <c r="Q930" s="6"/>
      <c r="R930" s="6"/>
      <c r="S930" s="6"/>
      <c r="T930" s="6"/>
      <c r="U930" s="6"/>
      <c r="V930" s="6"/>
      <c r="W930" s="6"/>
      <c r="X930" s="6"/>
      <c r="Y930" s="6"/>
      <c r="Z930" s="6"/>
      <c r="AA930" s="19"/>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row>
    <row r="931">
      <c r="A931" s="6"/>
      <c r="B931" s="6"/>
      <c r="C931" s="18"/>
      <c r="D931" s="6"/>
      <c r="E931" s="6"/>
      <c r="F931" s="6"/>
      <c r="G931" s="6"/>
      <c r="H931" s="6"/>
      <c r="I931" s="6"/>
      <c r="J931" s="6"/>
      <c r="K931" s="6"/>
      <c r="L931" s="6"/>
      <c r="M931" s="6"/>
      <c r="N931" s="6"/>
      <c r="O931" s="6"/>
      <c r="P931" s="6"/>
      <c r="Q931" s="6"/>
      <c r="R931" s="6"/>
      <c r="S931" s="6"/>
      <c r="T931" s="6"/>
      <c r="U931" s="6"/>
      <c r="V931" s="6"/>
      <c r="W931" s="6"/>
      <c r="X931" s="6"/>
      <c r="Y931" s="6"/>
      <c r="Z931" s="6"/>
      <c r="AA931" s="19"/>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row>
    <row r="932">
      <c r="A932" s="6"/>
      <c r="B932" s="6"/>
      <c r="C932" s="18"/>
      <c r="D932" s="6"/>
      <c r="E932" s="6"/>
      <c r="F932" s="6"/>
      <c r="G932" s="6"/>
      <c r="H932" s="6"/>
      <c r="I932" s="6"/>
      <c r="J932" s="6"/>
      <c r="K932" s="6"/>
      <c r="L932" s="6"/>
      <c r="M932" s="6"/>
      <c r="N932" s="6"/>
      <c r="O932" s="6"/>
      <c r="P932" s="6"/>
      <c r="Q932" s="6"/>
      <c r="R932" s="6"/>
      <c r="S932" s="6"/>
      <c r="T932" s="6"/>
      <c r="U932" s="6"/>
      <c r="V932" s="6"/>
      <c r="W932" s="6"/>
      <c r="X932" s="6"/>
      <c r="Y932" s="6"/>
      <c r="Z932" s="6"/>
      <c r="AA932" s="19"/>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row>
    <row r="933">
      <c r="A933" s="6"/>
      <c r="B933" s="6"/>
      <c r="C933" s="18"/>
      <c r="D933" s="6"/>
      <c r="E933" s="6"/>
      <c r="F933" s="6"/>
      <c r="G933" s="6"/>
      <c r="H933" s="6"/>
      <c r="I933" s="6"/>
      <c r="J933" s="6"/>
      <c r="K933" s="6"/>
      <c r="L933" s="6"/>
      <c r="M933" s="6"/>
      <c r="N933" s="6"/>
      <c r="O933" s="6"/>
      <c r="P933" s="6"/>
      <c r="Q933" s="6"/>
      <c r="R933" s="6"/>
      <c r="S933" s="6"/>
      <c r="T933" s="6"/>
      <c r="U933" s="6"/>
      <c r="V933" s="6"/>
      <c r="W933" s="6"/>
      <c r="X933" s="6"/>
      <c r="Y933" s="6"/>
      <c r="Z933" s="6"/>
      <c r="AA933" s="19"/>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row>
    <row r="934">
      <c r="A934" s="6"/>
      <c r="B934" s="6"/>
      <c r="C934" s="18"/>
      <c r="D934" s="6"/>
      <c r="E934" s="6"/>
      <c r="F934" s="6"/>
      <c r="G934" s="6"/>
      <c r="H934" s="6"/>
      <c r="I934" s="6"/>
      <c r="J934" s="6"/>
      <c r="K934" s="6"/>
      <c r="L934" s="6"/>
      <c r="M934" s="6"/>
      <c r="N934" s="6"/>
      <c r="O934" s="6"/>
      <c r="P934" s="6"/>
      <c r="Q934" s="6"/>
      <c r="R934" s="6"/>
      <c r="S934" s="6"/>
      <c r="T934" s="6"/>
      <c r="U934" s="6"/>
      <c r="V934" s="6"/>
      <c r="W934" s="6"/>
      <c r="X934" s="6"/>
      <c r="Y934" s="6"/>
      <c r="Z934" s="6"/>
      <c r="AA934" s="19"/>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row>
    <row r="935">
      <c r="A935" s="6"/>
      <c r="B935" s="6"/>
      <c r="C935" s="18"/>
      <c r="D935" s="6"/>
      <c r="E935" s="6"/>
      <c r="F935" s="6"/>
      <c r="G935" s="6"/>
      <c r="H935" s="6"/>
      <c r="I935" s="6"/>
      <c r="J935" s="6"/>
      <c r="K935" s="6"/>
      <c r="L935" s="6"/>
      <c r="M935" s="6"/>
      <c r="N935" s="6"/>
      <c r="O935" s="6"/>
      <c r="P935" s="6"/>
      <c r="Q935" s="6"/>
      <c r="R935" s="6"/>
      <c r="S935" s="6"/>
      <c r="T935" s="6"/>
      <c r="U935" s="6"/>
      <c r="V935" s="6"/>
      <c r="W935" s="6"/>
      <c r="X935" s="6"/>
      <c r="Y935" s="6"/>
      <c r="Z935" s="6"/>
      <c r="AA935" s="19"/>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row>
    <row r="936">
      <c r="A936" s="6"/>
      <c r="B936" s="6"/>
      <c r="C936" s="18"/>
      <c r="D936" s="6"/>
      <c r="E936" s="6"/>
      <c r="F936" s="6"/>
      <c r="G936" s="6"/>
      <c r="H936" s="6"/>
      <c r="I936" s="6"/>
      <c r="J936" s="6"/>
      <c r="K936" s="6"/>
      <c r="L936" s="6"/>
      <c r="M936" s="6"/>
      <c r="N936" s="6"/>
      <c r="O936" s="6"/>
      <c r="P936" s="6"/>
      <c r="Q936" s="6"/>
      <c r="R936" s="6"/>
      <c r="S936" s="6"/>
      <c r="T936" s="6"/>
      <c r="U936" s="6"/>
      <c r="V936" s="6"/>
      <c r="W936" s="6"/>
      <c r="X936" s="6"/>
      <c r="Y936" s="6"/>
      <c r="Z936" s="6"/>
      <c r="AA936" s="19"/>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row>
    <row r="937">
      <c r="A937" s="6"/>
      <c r="B937" s="6"/>
      <c r="C937" s="18"/>
      <c r="D937" s="6"/>
      <c r="E937" s="6"/>
      <c r="F937" s="6"/>
      <c r="G937" s="6"/>
      <c r="H937" s="6"/>
      <c r="I937" s="6"/>
      <c r="J937" s="6"/>
      <c r="K937" s="6"/>
      <c r="L937" s="6"/>
      <c r="M937" s="6"/>
      <c r="N937" s="6"/>
      <c r="O937" s="6"/>
      <c r="P937" s="6"/>
      <c r="Q937" s="6"/>
      <c r="R937" s="6"/>
      <c r="S937" s="6"/>
      <c r="T937" s="6"/>
      <c r="U937" s="6"/>
      <c r="V937" s="6"/>
      <c r="W937" s="6"/>
      <c r="X937" s="6"/>
      <c r="Y937" s="6"/>
      <c r="Z937" s="6"/>
      <c r="AA937" s="19"/>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row>
    <row r="938">
      <c r="A938" s="6"/>
      <c r="B938" s="6"/>
      <c r="C938" s="18"/>
      <c r="D938" s="6"/>
      <c r="E938" s="6"/>
      <c r="F938" s="6"/>
      <c r="G938" s="6"/>
      <c r="H938" s="6"/>
      <c r="I938" s="6"/>
      <c r="J938" s="6"/>
      <c r="K938" s="6"/>
      <c r="L938" s="6"/>
      <c r="M938" s="6"/>
      <c r="N938" s="6"/>
      <c r="O938" s="6"/>
      <c r="P938" s="6"/>
      <c r="Q938" s="6"/>
      <c r="R938" s="6"/>
      <c r="S938" s="6"/>
      <c r="T938" s="6"/>
      <c r="U938" s="6"/>
      <c r="V938" s="6"/>
      <c r="W938" s="6"/>
      <c r="X938" s="6"/>
      <c r="Y938" s="6"/>
      <c r="Z938" s="6"/>
      <c r="AA938" s="19"/>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row>
    <row r="939">
      <c r="A939" s="6"/>
      <c r="B939" s="6"/>
      <c r="C939" s="18"/>
      <c r="D939" s="6"/>
      <c r="E939" s="6"/>
      <c r="F939" s="6"/>
      <c r="G939" s="6"/>
      <c r="H939" s="6"/>
      <c r="I939" s="6"/>
      <c r="J939" s="6"/>
      <c r="K939" s="6"/>
      <c r="L939" s="6"/>
      <c r="M939" s="6"/>
      <c r="N939" s="6"/>
      <c r="O939" s="6"/>
      <c r="P939" s="6"/>
      <c r="Q939" s="6"/>
      <c r="R939" s="6"/>
      <c r="S939" s="6"/>
      <c r="T939" s="6"/>
      <c r="U939" s="6"/>
      <c r="V939" s="6"/>
      <c r="W939" s="6"/>
      <c r="X939" s="6"/>
      <c r="Y939" s="6"/>
      <c r="Z939" s="6"/>
      <c r="AA939" s="19"/>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row>
    <row r="940">
      <c r="A940" s="6"/>
      <c r="B940" s="6"/>
      <c r="C940" s="18"/>
      <c r="D940" s="6"/>
      <c r="E940" s="6"/>
      <c r="F940" s="6"/>
      <c r="G940" s="6"/>
      <c r="H940" s="6"/>
      <c r="I940" s="6"/>
      <c r="J940" s="6"/>
      <c r="K940" s="6"/>
      <c r="L940" s="6"/>
      <c r="M940" s="6"/>
      <c r="N940" s="6"/>
      <c r="O940" s="6"/>
      <c r="P940" s="6"/>
      <c r="Q940" s="6"/>
      <c r="R940" s="6"/>
      <c r="S940" s="6"/>
      <c r="T940" s="6"/>
      <c r="U940" s="6"/>
      <c r="V940" s="6"/>
      <c r="W940" s="6"/>
      <c r="X940" s="6"/>
      <c r="Y940" s="6"/>
      <c r="Z940" s="6"/>
      <c r="AA940" s="19"/>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row>
    <row r="941">
      <c r="A941" s="6"/>
      <c r="B941" s="6"/>
      <c r="C941" s="18"/>
      <c r="D941" s="6"/>
      <c r="E941" s="6"/>
      <c r="F941" s="6"/>
      <c r="G941" s="6"/>
      <c r="H941" s="6"/>
      <c r="I941" s="6"/>
      <c r="J941" s="6"/>
      <c r="K941" s="6"/>
      <c r="L941" s="6"/>
      <c r="M941" s="6"/>
      <c r="N941" s="6"/>
      <c r="O941" s="6"/>
      <c r="P941" s="6"/>
      <c r="Q941" s="6"/>
      <c r="R941" s="6"/>
      <c r="S941" s="6"/>
      <c r="T941" s="6"/>
      <c r="U941" s="6"/>
      <c r="V941" s="6"/>
      <c r="W941" s="6"/>
      <c r="X941" s="6"/>
      <c r="Y941" s="6"/>
      <c r="Z941" s="6"/>
      <c r="AA941" s="19"/>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row>
    <row r="942">
      <c r="A942" s="6"/>
      <c r="B942" s="6"/>
      <c r="C942" s="18"/>
      <c r="D942" s="6"/>
      <c r="E942" s="6"/>
      <c r="F942" s="6"/>
      <c r="G942" s="6"/>
      <c r="H942" s="6"/>
      <c r="I942" s="6"/>
      <c r="J942" s="6"/>
      <c r="K942" s="6"/>
      <c r="L942" s="6"/>
      <c r="M942" s="6"/>
      <c r="N942" s="6"/>
      <c r="O942" s="6"/>
      <c r="P942" s="6"/>
      <c r="Q942" s="6"/>
      <c r="R942" s="6"/>
      <c r="S942" s="6"/>
      <c r="T942" s="6"/>
      <c r="U942" s="6"/>
      <c r="V942" s="6"/>
      <c r="W942" s="6"/>
      <c r="X942" s="6"/>
      <c r="Y942" s="6"/>
      <c r="Z942" s="6"/>
      <c r="AA942" s="19"/>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row>
    <row r="943">
      <c r="A943" s="6"/>
      <c r="B943" s="6"/>
      <c r="C943" s="18"/>
      <c r="D943" s="6"/>
      <c r="E943" s="6"/>
      <c r="F943" s="6"/>
      <c r="G943" s="6"/>
      <c r="H943" s="6"/>
      <c r="I943" s="6"/>
      <c r="J943" s="6"/>
      <c r="K943" s="6"/>
      <c r="L943" s="6"/>
      <c r="M943" s="6"/>
      <c r="N943" s="6"/>
      <c r="O943" s="6"/>
      <c r="P943" s="6"/>
      <c r="Q943" s="6"/>
      <c r="R943" s="6"/>
      <c r="S943" s="6"/>
      <c r="T943" s="6"/>
      <c r="U943" s="6"/>
      <c r="V943" s="6"/>
      <c r="W943" s="6"/>
      <c r="X943" s="6"/>
      <c r="Y943" s="6"/>
      <c r="Z943" s="6"/>
      <c r="AA943" s="19"/>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row>
    <row r="944">
      <c r="A944" s="6"/>
      <c r="B944" s="6"/>
      <c r="C944" s="18"/>
      <c r="D944" s="6"/>
      <c r="E944" s="6"/>
      <c r="F944" s="6"/>
      <c r="G944" s="6"/>
      <c r="H944" s="6"/>
      <c r="I944" s="6"/>
      <c r="J944" s="6"/>
      <c r="K944" s="6"/>
      <c r="L944" s="6"/>
      <c r="M944" s="6"/>
      <c r="N944" s="6"/>
      <c r="O944" s="6"/>
      <c r="P944" s="6"/>
      <c r="Q944" s="6"/>
      <c r="R944" s="6"/>
      <c r="S944" s="6"/>
      <c r="T944" s="6"/>
      <c r="U944" s="6"/>
      <c r="V944" s="6"/>
      <c r="W944" s="6"/>
      <c r="X944" s="6"/>
      <c r="Y944" s="6"/>
      <c r="Z944" s="6"/>
      <c r="AA944" s="19"/>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row>
    <row r="945">
      <c r="A945" s="6"/>
      <c r="B945" s="6"/>
      <c r="C945" s="18"/>
      <c r="D945" s="6"/>
      <c r="E945" s="6"/>
      <c r="F945" s="6"/>
      <c r="G945" s="6"/>
      <c r="H945" s="6"/>
      <c r="I945" s="6"/>
      <c r="J945" s="6"/>
      <c r="K945" s="6"/>
      <c r="L945" s="6"/>
      <c r="M945" s="6"/>
      <c r="N945" s="6"/>
      <c r="O945" s="6"/>
      <c r="P945" s="6"/>
      <c r="Q945" s="6"/>
      <c r="R945" s="6"/>
      <c r="S945" s="6"/>
      <c r="T945" s="6"/>
      <c r="U945" s="6"/>
      <c r="V945" s="6"/>
      <c r="W945" s="6"/>
      <c r="X945" s="6"/>
      <c r="Y945" s="6"/>
      <c r="Z945" s="6"/>
      <c r="AA945" s="19"/>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row>
    <row r="946">
      <c r="A946" s="6"/>
      <c r="B946" s="6"/>
      <c r="C946" s="18"/>
      <c r="D946" s="6"/>
      <c r="E946" s="6"/>
      <c r="F946" s="6"/>
      <c r="G946" s="6"/>
      <c r="H946" s="6"/>
      <c r="I946" s="6"/>
      <c r="J946" s="6"/>
      <c r="K946" s="6"/>
      <c r="L946" s="6"/>
      <c r="M946" s="6"/>
      <c r="N946" s="6"/>
      <c r="O946" s="6"/>
      <c r="P946" s="6"/>
      <c r="Q946" s="6"/>
      <c r="R946" s="6"/>
      <c r="S946" s="6"/>
      <c r="T946" s="6"/>
      <c r="U946" s="6"/>
      <c r="V946" s="6"/>
      <c r="W946" s="6"/>
      <c r="X946" s="6"/>
      <c r="Y946" s="6"/>
      <c r="Z946" s="6"/>
      <c r="AA946" s="19"/>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row>
    <row r="947">
      <c r="A947" s="6"/>
      <c r="B947" s="6"/>
      <c r="C947" s="18"/>
      <c r="D947" s="6"/>
      <c r="E947" s="6"/>
      <c r="F947" s="6"/>
      <c r="G947" s="6"/>
      <c r="H947" s="6"/>
      <c r="I947" s="6"/>
      <c r="J947" s="6"/>
      <c r="K947" s="6"/>
      <c r="L947" s="6"/>
      <c r="M947" s="6"/>
      <c r="N947" s="6"/>
      <c r="O947" s="6"/>
      <c r="P947" s="6"/>
      <c r="Q947" s="6"/>
      <c r="R947" s="6"/>
      <c r="S947" s="6"/>
      <c r="T947" s="6"/>
      <c r="U947" s="6"/>
      <c r="V947" s="6"/>
      <c r="W947" s="6"/>
      <c r="X947" s="6"/>
      <c r="Y947" s="6"/>
      <c r="Z947" s="6"/>
      <c r="AA947" s="19"/>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row>
    <row r="948">
      <c r="A948" s="6"/>
      <c r="B948" s="6"/>
      <c r="C948" s="18"/>
      <c r="D948" s="6"/>
      <c r="E948" s="6"/>
      <c r="F948" s="6"/>
      <c r="G948" s="6"/>
      <c r="H948" s="6"/>
      <c r="I948" s="6"/>
      <c r="J948" s="6"/>
      <c r="K948" s="6"/>
      <c r="L948" s="6"/>
      <c r="M948" s="6"/>
      <c r="N948" s="6"/>
      <c r="O948" s="6"/>
      <c r="P948" s="6"/>
      <c r="Q948" s="6"/>
      <c r="R948" s="6"/>
      <c r="S948" s="6"/>
      <c r="T948" s="6"/>
      <c r="U948" s="6"/>
      <c r="V948" s="6"/>
      <c r="W948" s="6"/>
      <c r="X948" s="6"/>
      <c r="Y948" s="6"/>
      <c r="Z948" s="6"/>
      <c r="AA948" s="19"/>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row>
    <row r="949">
      <c r="A949" s="6"/>
      <c r="B949" s="6"/>
      <c r="C949" s="18"/>
      <c r="D949" s="6"/>
      <c r="E949" s="6"/>
      <c r="F949" s="6"/>
      <c r="G949" s="6"/>
      <c r="H949" s="6"/>
      <c r="I949" s="6"/>
      <c r="J949" s="6"/>
      <c r="K949" s="6"/>
      <c r="L949" s="6"/>
      <c r="M949" s="6"/>
      <c r="N949" s="6"/>
      <c r="O949" s="6"/>
      <c r="P949" s="6"/>
      <c r="Q949" s="6"/>
      <c r="R949" s="6"/>
      <c r="S949" s="6"/>
      <c r="T949" s="6"/>
      <c r="U949" s="6"/>
      <c r="V949" s="6"/>
      <c r="W949" s="6"/>
      <c r="X949" s="6"/>
      <c r="Y949" s="6"/>
      <c r="Z949" s="6"/>
      <c r="AA949" s="19"/>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row>
    <row r="950">
      <c r="A950" s="6"/>
      <c r="B950" s="6"/>
      <c r="C950" s="18"/>
      <c r="D950" s="6"/>
      <c r="E950" s="6"/>
      <c r="F950" s="6"/>
      <c r="G950" s="6"/>
      <c r="H950" s="6"/>
      <c r="I950" s="6"/>
      <c r="J950" s="6"/>
      <c r="K950" s="6"/>
      <c r="L950" s="6"/>
      <c r="M950" s="6"/>
      <c r="N950" s="6"/>
      <c r="O950" s="6"/>
      <c r="P950" s="6"/>
      <c r="Q950" s="6"/>
      <c r="R950" s="6"/>
      <c r="S950" s="6"/>
      <c r="T950" s="6"/>
      <c r="U950" s="6"/>
      <c r="V950" s="6"/>
      <c r="W950" s="6"/>
      <c r="X950" s="6"/>
      <c r="Y950" s="6"/>
      <c r="Z950" s="6"/>
      <c r="AA950" s="19"/>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row>
    <row r="951">
      <c r="A951" s="6"/>
      <c r="B951" s="6"/>
      <c r="C951" s="18"/>
      <c r="D951" s="6"/>
      <c r="E951" s="6"/>
      <c r="F951" s="6"/>
      <c r="G951" s="6"/>
      <c r="H951" s="6"/>
      <c r="I951" s="6"/>
      <c r="J951" s="6"/>
      <c r="K951" s="6"/>
      <c r="L951" s="6"/>
      <c r="M951" s="6"/>
      <c r="N951" s="6"/>
      <c r="O951" s="6"/>
      <c r="P951" s="6"/>
      <c r="Q951" s="6"/>
      <c r="R951" s="6"/>
      <c r="S951" s="6"/>
      <c r="T951" s="6"/>
      <c r="U951" s="6"/>
      <c r="V951" s="6"/>
      <c r="W951" s="6"/>
      <c r="X951" s="6"/>
      <c r="Y951" s="6"/>
      <c r="Z951" s="6"/>
      <c r="AA951" s="19"/>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row>
    <row r="952">
      <c r="A952" s="6"/>
      <c r="B952" s="6"/>
      <c r="C952" s="18"/>
      <c r="D952" s="6"/>
      <c r="E952" s="6"/>
      <c r="F952" s="6"/>
      <c r="G952" s="6"/>
      <c r="H952" s="6"/>
      <c r="I952" s="6"/>
      <c r="J952" s="6"/>
      <c r="K952" s="6"/>
      <c r="L952" s="6"/>
      <c r="M952" s="6"/>
      <c r="N952" s="6"/>
      <c r="O952" s="6"/>
      <c r="P952" s="6"/>
      <c r="Q952" s="6"/>
      <c r="R952" s="6"/>
      <c r="S952" s="6"/>
      <c r="T952" s="6"/>
      <c r="U952" s="6"/>
      <c r="V952" s="6"/>
      <c r="W952" s="6"/>
      <c r="X952" s="6"/>
      <c r="Y952" s="6"/>
      <c r="Z952" s="6"/>
      <c r="AA952" s="19"/>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row>
    <row r="953">
      <c r="A953" s="6"/>
      <c r="B953" s="6"/>
      <c r="C953" s="18"/>
      <c r="D953" s="6"/>
      <c r="E953" s="6"/>
      <c r="F953" s="6"/>
      <c r="G953" s="6"/>
      <c r="H953" s="6"/>
      <c r="I953" s="6"/>
      <c r="J953" s="6"/>
      <c r="K953" s="6"/>
      <c r="L953" s="6"/>
      <c r="M953" s="6"/>
      <c r="N953" s="6"/>
      <c r="O953" s="6"/>
      <c r="P953" s="6"/>
      <c r="Q953" s="6"/>
      <c r="R953" s="6"/>
      <c r="S953" s="6"/>
      <c r="T953" s="6"/>
      <c r="U953" s="6"/>
      <c r="V953" s="6"/>
      <c r="W953" s="6"/>
      <c r="X953" s="6"/>
      <c r="Y953" s="6"/>
      <c r="Z953" s="6"/>
      <c r="AA953" s="19"/>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row>
    <row r="954">
      <c r="A954" s="6"/>
      <c r="B954" s="6"/>
      <c r="C954" s="18"/>
      <c r="D954" s="6"/>
      <c r="E954" s="6"/>
      <c r="F954" s="6"/>
      <c r="G954" s="6"/>
      <c r="H954" s="6"/>
      <c r="I954" s="6"/>
      <c r="J954" s="6"/>
      <c r="K954" s="6"/>
      <c r="L954" s="6"/>
      <c r="M954" s="6"/>
      <c r="N954" s="6"/>
      <c r="O954" s="6"/>
      <c r="P954" s="6"/>
      <c r="Q954" s="6"/>
      <c r="R954" s="6"/>
      <c r="S954" s="6"/>
      <c r="T954" s="6"/>
      <c r="U954" s="6"/>
      <c r="V954" s="6"/>
      <c r="W954" s="6"/>
      <c r="X954" s="6"/>
      <c r="Y954" s="6"/>
      <c r="Z954" s="6"/>
      <c r="AA954" s="19"/>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row>
    <row r="955">
      <c r="A955" s="6"/>
      <c r="B955" s="6"/>
      <c r="C955" s="18"/>
      <c r="D955" s="6"/>
      <c r="E955" s="6"/>
      <c r="F955" s="6"/>
      <c r="G955" s="6"/>
      <c r="H955" s="6"/>
      <c r="I955" s="6"/>
      <c r="J955" s="6"/>
      <c r="K955" s="6"/>
      <c r="L955" s="6"/>
      <c r="M955" s="6"/>
      <c r="N955" s="6"/>
      <c r="O955" s="6"/>
      <c r="P955" s="6"/>
      <c r="Q955" s="6"/>
      <c r="R955" s="6"/>
      <c r="S955" s="6"/>
      <c r="T955" s="6"/>
      <c r="U955" s="6"/>
      <c r="V955" s="6"/>
      <c r="W955" s="6"/>
      <c r="X955" s="6"/>
      <c r="Y955" s="6"/>
      <c r="Z955" s="6"/>
      <c r="AA955" s="19"/>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row>
    <row r="956">
      <c r="A956" s="6"/>
      <c r="B956" s="6"/>
      <c r="C956" s="18"/>
      <c r="D956" s="6"/>
      <c r="E956" s="6"/>
      <c r="F956" s="6"/>
      <c r="G956" s="6"/>
      <c r="H956" s="6"/>
      <c r="I956" s="6"/>
      <c r="J956" s="6"/>
      <c r="K956" s="6"/>
      <c r="L956" s="6"/>
      <c r="M956" s="6"/>
      <c r="N956" s="6"/>
      <c r="O956" s="6"/>
      <c r="P956" s="6"/>
      <c r="Q956" s="6"/>
      <c r="R956" s="6"/>
      <c r="S956" s="6"/>
      <c r="T956" s="6"/>
      <c r="U956" s="6"/>
      <c r="V956" s="6"/>
      <c r="W956" s="6"/>
      <c r="X956" s="6"/>
      <c r="Y956" s="6"/>
      <c r="Z956" s="6"/>
      <c r="AA956" s="19"/>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row>
    <row r="957">
      <c r="A957" s="6"/>
      <c r="B957" s="6"/>
      <c r="C957" s="18"/>
      <c r="D957" s="6"/>
      <c r="E957" s="6"/>
      <c r="F957" s="6"/>
      <c r="G957" s="6"/>
      <c r="H957" s="6"/>
      <c r="I957" s="6"/>
      <c r="J957" s="6"/>
      <c r="K957" s="6"/>
      <c r="L957" s="6"/>
      <c r="M957" s="6"/>
      <c r="N957" s="6"/>
      <c r="O957" s="6"/>
      <c r="P957" s="6"/>
      <c r="Q957" s="6"/>
      <c r="R957" s="6"/>
      <c r="S957" s="6"/>
      <c r="T957" s="6"/>
      <c r="U957" s="6"/>
      <c r="V957" s="6"/>
      <c r="W957" s="6"/>
      <c r="X957" s="6"/>
      <c r="Y957" s="6"/>
      <c r="Z957" s="6"/>
      <c r="AA957" s="19"/>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row>
    <row r="958">
      <c r="A958" s="6"/>
      <c r="B958" s="6"/>
      <c r="C958" s="18"/>
      <c r="D958" s="6"/>
      <c r="E958" s="6"/>
      <c r="F958" s="6"/>
      <c r="G958" s="6"/>
      <c r="H958" s="6"/>
      <c r="I958" s="6"/>
      <c r="J958" s="6"/>
      <c r="K958" s="6"/>
      <c r="L958" s="6"/>
      <c r="M958" s="6"/>
      <c r="N958" s="6"/>
      <c r="O958" s="6"/>
      <c r="P958" s="6"/>
      <c r="Q958" s="6"/>
      <c r="R958" s="6"/>
      <c r="S958" s="6"/>
      <c r="T958" s="6"/>
      <c r="U958" s="6"/>
      <c r="V958" s="6"/>
      <c r="W958" s="6"/>
      <c r="X958" s="6"/>
      <c r="Y958" s="6"/>
      <c r="Z958" s="6"/>
      <c r="AA958" s="19"/>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row>
    <row r="959">
      <c r="A959" s="6"/>
      <c r="B959" s="6"/>
      <c r="C959" s="18"/>
      <c r="D959" s="6"/>
      <c r="E959" s="6"/>
      <c r="F959" s="6"/>
      <c r="G959" s="6"/>
      <c r="H959" s="6"/>
      <c r="I959" s="6"/>
      <c r="J959" s="6"/>
      <c r="K959" s="6"/>
      <c r="L959" s="6"/>
      <c r="M959" s="6"/>
      <c r="N959" s="6"/>
      <c r="O959" s="6"/>
      <c r="P959" s="6"/>
      <c r="Q959" s="6"/>
      <c r="R959" s="6"/>
      <c r="S959" s="6"/>
      <c r="T959" s="6"/>
      <c r="U959" s="6"/>
      <c r="V959" s="6"/>
      <c r="W959" s="6"/>
      <c r="X959" s="6"/>
      <c r="Y959" s="6"/>
      <c r="Z959" s="6"/>
      <c r="AA959" s="19"/>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row>
    <row r="960">
      <c r="A960" s="6"/>
      <c r="B960" s="6"/>
      <c r="C960" s="18"/>
      <c r="D960" s="6"/>
      <c r="E960" s="6"/>
      <c r="F960" s="6"/>
      <c r="G960" s="6"/>
      <c r="H960" s="6"/>
      <c r="I960" s="6"/>
      <c r="J960" s="6"/>
      <c r="K960" s="6"/>
      <c r="L960" s="6"/>
      <c r="M960" s="6"/>
      <c r="N960" s="6"/>
      <c r="O960" s="6"/>
      <c r="P960" s="6"/>
      <c r="Q960" s="6"/>
      <c r="R960" s="6"/>
      <c r="S960" s="6"/>
      <c r="T960" s="6"/>
      <c r="U960" s="6"/>
      <c r="V960" s="6"/>
      <c r="W960" s="6"/>
      <c r="X960" s="6"/>
      <c r="Y960" s="6"/>
      <c r="Z960" s="6"/>
      <c r="AA960" s="19"/>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row>
    <row r="961">
      <c r="A961" s="6"/>
      <c r="B961" s="6"/>
      <c r="C961" s="18"/>
      <c r="D961" s="6"/>
      <c r="E961" s="6"/>
      <c r="F961" s="6"/>
      <c r="G961" s="6"/>
      <c r="H961" s="6"/>
      <c r="I961" s="6"/>
      <c r="J961" s="6"/>
      <c r="K961" s="6"/>
      <c r="L961" s="6"/>
      <c r="M961" s="6"/>
      <c r="N961" s="6"/>
      <c r="O961" s="6"/>
      <c r="P961" s="6"/>
      <c r="Q961" s="6"/>
      <c r="R961" s="6"/>
      <c r="S961" s="6"/>
      <c r="T961" s="6"/>
      <c r="U961" s="6"/>
      <c r="V961" s="6"/>
      <c r="W961" s="6"/>
      <c r="X961" s="6"/>
      <c r="Y961" s="6"/>
      <c r="Z961" s="6"/>
      <c r="AA961" s="19"/>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row>
    <row r="962">
      <c r="A962" s="6"/>
      <c r="B962" s="6"/>
      <c r="C962" s="18"/>
      <c r="D962" s="6"/>
      <c r="E962" s="6"/>
      <c r="F962" s="6"/>
      <c r="G962" s="6"/>
      <c r="H962" s="6"/>
      <c r="I962" s="6"/>
      <c r="J962" s="6"/>
      <c r="K962" s="6"/>
      <c r="L962" s="6"/>
      <c r="M962" s="6"/>
      <c r="N962" s="6"/>
      <c r="O962" s="6"/>
      <c r="P962" s="6"/>
      <c r="Q962" s="6"/>
      <c r="R962" s="6"/>
      <c r="S962" s="6"/>
      <c r="T962" s="6"/>
      <c r="U962" s="6"/>
      <c r="V962" s="6"/>
      <c r="W962" s="6"/>
      <c r="X962" s="6"/>
      <c r="Y962" s="6"/>
      <c r="Z962" s="6"/>
      <c r="AA962" s="19"/>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row>
    <row r="963">
      <c r="A963" s="6"/>
      <c r="B963" s="6"/>
      <c r="C963" s="18"/>
      <c r="D963" s="6"/>
      <c r="E963" s="6"/>
      <c r="F963" s="6"/>
      <c r="G963" s="6"/>
      <c r="H963" s="6"/>
      <c r="I963" s="6"/>
      <c r="J963" s="6"/>
      <c r="K963" s="6"/>
      <c r="L963" s="6"/>
      <c r="M963" s="6"/>
      <c r="N963" s="6"/>
      <c r="O963" s="6"/>
      <c r="P963" s="6"/>
      <c r="Q963" s="6"/>
      <c r="R963" s="6"/>
      <c r="S963" s="6"/>
      <c r="T963" s="6"/>
      <c r="U963" s="6"/>
      <c r="V963" s="6"/>
      <c r="W963" s="6"/>
      <c r="X963" s="6"/>
      <c r="Y963" s="6"/>
      <c r="Z963" s="6"/>
      <c r="AA963" s="19"/>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row>
    <row r="964">
      <c r="A964" s="6"/>
      <c r="B964" s="6"/>
      <c r="C964" s="18"/>
      <c r="D964" s="6"/>
      <c r="E964" s="6"/>
      <c r="F964" s="6"/>
      <c r="G964" s="6"/>
      <c r="H964" s="6"/>
      <c r="I964" s="6"/>
      <c r="J964" s="6"/>
      <c r="K964" s="6"/>
      <c r="L964" s="6"/>
      <c r="M964" s="6"/>
      <c r="N964" s="6"/>
      <c r="O964" s="6"/>
      <c r="P964" s="6"/>
      <c r="Q964" s="6"/>
      <c r="R964" s="6"/>
      <c r="S964" s="6"/>
      <c r="T964" s="6"/>
      <c r="U964" s="6"/>
      <c r="V964" s="6"/>
      <c r="W964" s="6"/>
      <c r="X964" s="6"/>
      <c r="Y964" s="6"/>
      <c r="Z964" s="6"/>
      <c r="AA964" s="19"/>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row>
    <row r="965">
      <c r="A965" s="6"/>
      <c r="B965" s="6"/>
      <c r="C965" s="18"/>
      <c r="D965" s="6"/>
      <c r="E965" s="6"/>
      <c r="F965" s="6"/>
      <c r="G965" s="6"/>
      <c r="H965" s="6"/>
      <c r="I965" s="6"/>
      <c r="J965" s="6"/>
      <c r="K965" s="6"/>
      <c r="L965" s="6"/>
      <c r="M965" s="6"/>
      <c r="N965" s="6"/>
      <c r="O965" s="6"/>
      <c r="P965" s="6"/>
      <c r="Q965" s="6"/>
      <c r="R965" s="6"/>
      <c r="S965" s="6"/>
      <c r="T965" s="6"/>
      <c r="U965" s="6"/>
      <c r="V965" s="6"/>
      <c r="W965" s="6"/>
      <c r="X965" s="6"/>
      <c r="Y965" s="6"/>
      <c r="Z965" s="6"/>
      <c r="AA965" s="19"/>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row>
    <row r="966">
      <c r="A966" s="6"/>
      <c r="B966" s="6"/>
      <c r="C966" s="18"/>
      <c r="D966" s="6"/>
      <c r="E966" s="6"/>
      <c r="F966" s="6"/>
      <c r="G966" s="6"/>
      <c r="H966" s="6"/>
      <c r="I966" s="6"/>
      <c r="J966" s="6"/>
      <c r="K966" s="6"/>
      <c r="L966" s="6"/>
      <c r="M966" s="6"/>
      <c r="N966" s="6"/>
      <c r="O966" s="6"/>
      <c r="P966" s="6"/>
      <c r="Q966" s="6"/>
      <c r="R966" s="6"/>
      <c r="S966" s="6"/>
      <c r="T966" s="6"/>
      <c r="U966" s="6"/>
      <c r="V966" s="6"/>
      <c r="W966" s="6"/>
      <c r="X966" s="6"/>
      <c r="Y966" s="6"/>
      <c r="Z966" s="6"/>
      <c r="AA966" s="19"/>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row>
    <row r="967">
      <c r="A967" s="6"/>
      <c r="B967" s="6"/>
      <c r="C967" s="18"/>
      <c r="D967" s="6"/>
      <c r="E967" s="6"/>
      <c r="F967" s="6"/>
      <c r="G967" s="6"/>
      <c r="H967" s="6"/>
      <c r="I967" s="6"/>
      <c r="J967" s="6"/>
      <c r="K967" s="6"/>
      <c r="L967" s="6"/>
      <c r="M967" s="6"/>
      <c r="N967" s="6"/>
      <c r="O967" s="6"/>
      <c r="P967" s="6"/>
      <c r="Q967" s="6"/>
      <c r="R967" s="6"/>
      <c r="S967" s="6"/>
      <c r="T967" s="6"/>
      <c r="U967" s="6"/>
      <c r="V967" s="6"/>
      <c r="W967" s="6"/>
      <c r="X967" s="6"/>
      <c r="Y967" s="6"/>
      <c r="Z967" s="6"/>
      <c r="AA967" s="19"/>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row>
    <row r="968">
      <c r="A968" s="6"/>
      <c r="B968" s="6"/>
      <c r="C968" s="18"/>
      <c r="D968" s="6"/>
      <c r="E968" s="6"/>
      <c r="F968" s="6"/>
      <c r="G968" s="6"/>
      <c r="H968" s="6"/>
      <c r="I968" s="6"/>
      <c r="J968" s="6"/>
      <c r="K968" s="6"/>
      <c r="L968" s="6"/>
      <c r="M968" s="6"/>
      <c r="N968" s="6"/>
      <c r="O968" s="6"/>
      <c r="P968" s="6"/>
      <c r="Q968" s="6"/>
      <c r="R968" s="6"/>
      <c r="S968" s="6"/>
      <c r="T968" s="6"/>
      <c r="U968" s="6"/>
      <c r="V968" s="6"/>
      <c r="W968" s="6"/>
      <c r="X968" s="6"/>
      <c r="Y968" s="6"/>
      <c r="Z968" s="6"/>
      <c r="AA968" s="19"/>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row>
    <row r="969">
      <c r="A969" s="6"/>
      <c r="B969" s="6"/>
      <c r="C969" s="18"/>
      <c r="D969" s="6"/>
      <c r="E969" s="6"/>
      <c r="F969" s="6"/>
      <c r="G969" s="6"/>
      <c r="H969" s="6"/>
      <c r="I969" s="6"/>
      <c r="J969" s="6"/>
      <c r="K969" s="6"/>
      <c r="L969" s="6"/>
      <c r="M969" s="6"/>
      <c r="N969" s="6"/>
      <c r="O969" s="6"/>
      <c r="P969" s="6"/>
      <c r="Q969" s="6"/>
      <c r="R969" s="6"/>
      <c r="S969" s="6"/>
      <c r="T969" s="6"/>
      <c r="U969" s="6"/>
      <c r="V969" s="6"/>
      <c r="W969" s="6"/>
      <c r="X969" s="6"/>
      <c r="Y969" s="6"/>
      <c r="Z969" s="6"/>
      <c r="AA969" s="19"/>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row>
    <row r="970">
      <c r="A970" s="6"/>
      <c r="B970" s="6"/>
      <c r="C970" s="18"/>
      <c r="D970" s="6"/>
      <c r="E970" s="6"/>
      <c r="F970" s="6"/>
      <c r="G970" s="6"/>
      <c r="H970" s="6"/>
      <c r="I970" s="6"/>
      <c r="J970" s="6"/>
      <c r="K970" s="6"/>
      <c r="L970" s="6"/>
      <c r="M970" s="6"/>
      <c r="N970" s="6"/>
      <c r="O970" s="6"/>
      <c r="P970" s="6"/>
      <c r="Q970" s="6"/>
      <c r="R970" s="6"/>
      <c r="S970" s="6"/>
      <c r="T970" s="6"/>
      <c r="U970" s="6"/>
      <c r="V970" s="6"/>
      <c r="W970" s="6"/>
      <c r="X970" s="6"/>
      <c r="Y970" s="6"/>
      <c r="Z970" s="6"/>
      <c r="AA970" s="19"/>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row>
    <row r="971">
      <c r="A971" s="6"/>
      <c r="B971" s="6"/>
      <c r="C971" s="18"/>
      <c r="D971" s="6"/>
      <c r="E971" s="6"/>
      <c r="F971" s="6"/>
      <c r="G971" s="6"/>
      <c r="H971" s="6"/>
      <c r="I971" s="6"/>
      <c r="J971" s="6"/>
      <c r="K971" s="6"/>
      <c r="L971" s="6"/>
      <c r="M971" s="6"/>
      <c r="N971" s="6"/>
      <c r="O971" s="6"/>
      <c r="P971" s="6"/>
      <c r="Q971" s="6"/>
      <c r="R971" s="6"/>
      <c r="S971" s="6"/>
      <c r="T971" s="6"/>
      <c r="U971" s="6"/>
      <c r="V971" s="6"/>
      <c r="W971" s="6"/>
      <c r="X971" s="6"/>
      <c r="Y971" s="6"/>
      <c r="Z971" s="6"/>
      <c r="AA971" s="19"/>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row>
    <row r="972">
      <c r="A972" s="6"/>
      <c r="B972" s="6"/>
      <c r="C972" s="18"/>
      <c r="D972" s="6"/>
      <c r="E972" s="6"/>
      <c r="F972" s="6"/>
      <c r="G972" s="6"/>
      <c r="H972" s="6"/>
      <c r="I972" s="6"/>
      <c r="J972" s="6"/>
      <c r="K972" s="6"/>
      <c r="L972" s="6"/>
      <c r="M972" s="6"/>
      <c r="N972" s="6"/>
      <c r="O972" s="6"/>
      <c r="P972" s="6"/>
      <c r="Q972" s="6"/>
      <c r="R972" s="6"/>
      <c r="S972" s="6"/>
      <c r="T972" s="6"/>
      <c r="U972" s="6"/>
      <c r="V972" s="6"/>
      <c r="W972" s="6"/>
      <c r="X972" s="6"/>
      <c r="Y972" s="6"/>
      <c r="Z972" s="6"/>
      <c r="AA972" s="19"/>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row>
    <row r="973">
      <c r="A973" s="6"/>
      <c r="B973" s="6"/>
      <c r="C973" s="18"/>
      <c r="D973" s="6"/>
      <c r="E973" s="6"/>
      <c r="F973" s="6"/>
      <c r="G973" s="6"/>
      <c r="H973" s="6"/>
      <c r="I973" s="6"/>
      <c r="J973" s="6"/>
      <c r="K973" s="6"/>
      <c r="L973" s="6"/>
      <c r="M973" s="6"/>
      <c r="N973" s="6"/>
      <c r="O973" s="6"/>
      <c r="P973" s="6"/>
      <c r="Q973" s="6"/>
      <c r="R973" s="6"/>
      <c r="S973" s="6"/>
      <c r="T973" s="6"/>
      <c r="U973" s="6"/>
      <c r="V973" s="6"/>
      <c r="W973" s="6"/>
      <c r="X973" s="6"/>
      <c r="Y973" s="6"/>
      <c r="Z973" s="6"/>
      <c r="AA973" s="19"/>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row>
    <row r="974">
      <c r="A974" s="6"/>
      <c r="B974" s="6"/>
      <c r="C974" s="18"/>
      <c r="D974" s="6"/>
      <c r="E974" s="6"/>
      <c r="F974" s="6"/>
      <c r="G974" s="6"/>
      <c r="H974" s="6"/>
      <c r="I974" s="6"/>
      <c r="J974" s="6"/>
      <c r="K974" s="6"/>
      <c r="L974" s="6"/>
      <c r="M974" s="6"/>
      <c r="N974" s="6"/>
      <c r="O974" s="6"/>
      <c r="P974" s="6"/>
      <c r="Q974" s="6"/>
      <c r="R974" s="6"/>
      <c r="S974" s="6"/>
      <c r="T974" s="6"/>
      <c r="U974" s="6"/>
      <c r="V974" s="6"/>
      <c r="W974" s="6"/>
      <c r="X974" s="6"/>
      <c r="Y974" s="6"/>
      <c r="Z974" s="6"/>
      <c r="AA974" s="19"/>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row>
    <row r="975">
      <c r="A975" s="6"/>
      <c r="B975" s="6"/>
      <c r="C975" s="18"/>
      <c r="D975" s="6"/>
      <c r="E975" s="6"/>
      <c r="F975" s="6"/>
      <c r="G975" s="6"/>
      <c r="H975" s="6"/>
      <c r="I975" s="6"/>
      <c r="J975" s="6"/>
      <c r="K975" s="6"/>
      <c r="L975" s="6"/>
      <c r="M975" s="6"/>
      <c r="N975" s="6"/>
      <c r="O975" s="6"/>
      <c r="P975" s="6"/>
      <c r="Q975" s="6"/>
      <c r="R975" s="6"/>
      <c r="S975" s="6"/>
      <c r="T975" s="6"/>
      <c r="U975" s="6"/>
      <c r="V975" s="6"/>
      <c r="W975" s="6"/>
      <c r="X975" s="6"/>
      <c r="Y975" s="6"/>
      <c r="Z975" s="6"/>
      <c r="AA975" s="19"/>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row>
    <row r="976">
      <c r="A976" s="6"/>
      <c r="B976" s="6"/>
      <c r="C976" s="18"/>
      <c r="D976" s="6"/>
      <c r="E976" s="6"/>
      <c r="F976" s="6"/>
      <c r="G976" s="6"/>
      <c r="H976" s="6"/>
      <c r="I976" s="6"/>
      <c r="J976" s="6"/>
      <c r="K976" s="6"/>
      <c r="L976" s="6"/>
      <c r="M976" s="6"/>
      <c r="N976" s="6"/>
      <c r="O976" s="6"/>
      <c r="P976" s="6"/>
      <c r="Q976" s="6"/>
      <c r="R976" s="6"/>
      <c r="S976" s="6"/>
      <c r="T976" s="6"/>
      <c r="U976" s="6"/>
      <c r="V976" s="6"/>
      <c r="W976" s="6"/>
      <c r="X976" s="6"/>
      <c r="Y976" s="6"/>
      <c r="Z976" s="6"/>
      <c r="AA976" s="19"/>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row>
    <row r="977">
      <c r="A977" s="6"/>
      <c r="B977" s="6"/>
      <c r="C977" s="18"/>
      <c r="D977" s="6"/>
      <c r="E977" s="6"/>
      <c r="F977" s="6"/>
      <c r="G977" s="6"/>
      <c r="H977" s="6"/>
      <c r="I977" s="6"/>
      <c r="J977" s="6"/>
      <c r="K977" s="6"/>
      <c r="L977" s="6"/>
      <c r="M977" s="6"/>
      <c r="N977" s="6"/>
      <c r="O977" s="6"/>
      <c r="P977" s="6"/>
      <c r="Q977" s="6"/>
      <c r="R977" s="6"/>
      <c r="S977" s="6"/>
      <c r="T977" s="6"/>
      <c r="U977" s="6"/>
      <c r="V977" s="6"/>
      <c r="W977" s="6"/>
      <c r="X977" s="6"/>
      <c r="Y977" s="6"/>
      <c r="Z977" s="6"/>
      <c r="AA977" s="19"/>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row>
    <row r="978">
      <c r="A978" s="6"/>
      <c r="B978" s="6"/>
      <c r="C978" s="18"/>
      <c r="D978" s="6"/>
      <c r="E978" s="6"/>
      <c r="F978" s="6"/>
      <c r="G978" s="6"/>
      <c r="H978" s="6"/>
      <c r="I978" s="6"/>
      <c r="J978" s="6"/>
      <c r="K978" s="6"/>
      <c r="L978" s="6"/>
      <c r="M978" s="6"/>
      <c r="N978" s="6"/>
      <c r="O978" s="6"/>
      <c r="P978" s="6"/>
      <c r="Q978" s="6"/>
      <c r="R978" s="6"/>
      <c r="S978" s="6"/>
      <c r="T978" s="6"/>
      <c r="U978" s="6"/>
      <c r="V978" s="6"/>
      <c r="W978" s="6"/>
      <c r="X978" s="6"/>
      <c r="Y978" s="6"/>
      <c r="Z978" s="6"/>
      <c r="AA978" s="19"/>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row>
    <row r="979">
      <c r="A979" s="6"/>
      <c r="B979" s="6"/>
      <c r="C979" s="18"/>
      <c r="D979" s="6"/>
      <c r="E979" s="6"/>
      <c r="F979" s="6"/>
      <c r="G979" s="6"/>
      <c r="H979" s="6"/>
      <c r="I979" s="6"/>
      <c r="J979" s="6"/>
      <c r="K979" s="6"/>
      <c r="L979" s="6"/>
      <c r="M979" s="6"/>
      <c r="N979" s="6"/>
      <c r="O979" s="6"/>
      <c r="P979" s="6"/>
      <c r="Q979" s="6"/>
      <c r="R979" s="6"/>
      <c r="S979" s="6"/>
      <c r="T979" s="6"/>
      <c r="U979" s="6"/>
      <c r="V979" s="6"/>
      <c r="W979" s="6"/>
      <c r="X979" s="6"/>
      <c r="Y979" s="6"/>
      <c r="Z979" s="6"/>
      <c r="AA979" s="19"/>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row>
    <row r="980">
      <c r="A980" s="6"/>
      <c r="B980" s="6"/>
      <c r="C980" s="18"/>
      <c r="D980" s="6"/>
      <c r="E980" s="6"/>
      <c r="F980" s="6"/>
      <c r="G980" s="6"/>
      <c r="H980" s="6"/>
      <c r="I980" s="6"/>
      <c r="J980" s="6"/>
      <c r="K980" s="6"/>
      <c r="L980" s="6"/>
      <c r="M980" s="6"/>
      <c r="N980" s="6"/>
      <c r="O980" s="6"/>
      <c r="P980" s="6"/>
      <c r="Q980" s="6"/>
      <c r="R980" s="6"/>
      <c r="S980" s="6"/>
      <c r="T980" s="6"/>
      <c r="U980" s="6"/>
      <c r="V980" s="6"/>
      <c r="W980" s="6"/>
      <c r="X980" s="6"/>
      <c r="Y980" s="6"/>
      <c r="Z980" s="6"/>
      <c r="AA980" s="19"/>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row>
    <row r="981">
      <c r="A981" s="6"/>
      <c r="B981" s="6"/>
      <c r="C981" s="18"/>
      <c r="D981" s="6"/>
      <c r="E981" s="6"/>
      <c r="F981" s="6"/>
      <c r="G981" s="6"/>
      <c r="H981" s="6"/>
      <c r="I981" s="6"/>
      <c r="J981" s="6"/>
      <c r="K981" s="6"/>
      <c r="L981" s="6"/>
      <c r="M981" s="6"/>
      <c r="N981" s="6"/>
      <c r="O981" s="6"/>
      <c r="P981" s="6"/>
      <c r="Q981" s="6"/>
      <c r="R981" s="6"/>
      <c r="S981" s="6"/>
      <c r="T981" s="6"/>
      <c r="U981" s="6"/>
      <c r="V981" s="6"/>
      <c r="W981" s="6"/>
      <c r="X981" s="6"/>
      <c r="Y981" s="6"/>
      <c r="Z981" s="6"/>
      <c r="AA981" s="19"/>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row>
    <row r="982">
      <c r="A982" s="6"/>
      <c r="B982" s="6"/>
      <c r="C982" s="18"/>
      <c r="D982" s="6"/>
      <c r="E982" s="6"/>
      <c r="F982" s="6"/>
      <c r="G982" s="6"/>
      <c r="H982" s="6"/>
      <c r="I982" s="6"/>
      <c r="J982" s="6"/>
      <c r="K982" s="6"/>
      <c r="L982" s="6"/>
      <c r="M982" s="6"/>
      <c r="N982" s="6"/>
      <c r="O982" s="6"/>
      <c r="P982" s="6"/>
      <c r="Q982" s="6"/>
      <c r="R982" s="6"/>
      <c r="S982" s="6"/>
      <c r="T982" s="6"/>
      <c r="U982" s="6"/>
      <c r="V982" s="6"/>
      <c r="W982" s="6"/>
      <c r="X982" s="6"/>
      <c r="Y982" s="6"/>
      <c r="Z982" s="6"/>
      <c r="AA982" s="19"/>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row>
    <row r="983">
      <c r="A983" s="6"/>
      <c r="B983" s="6"/>
      <c r="C983" s="18"/>
      <c r="D983" s="6"/>
      <c r="E983" s="6"/>
      <c r="F983" s="6"/>
      <c r="G983" s="6"/>
      <c r="H983" s="6"/>
      <c r="I983" s="6"/>
      <c r="J983" s="6"/>
      <c r="K983" s="6"/>
      <c r="L983" s="6"/>
      <c r="M983" s="6"/>
      <c r="N983" s="6"/>
      <c r="O983" s="6"/>
      <c r="P983" s="6"/>
      <c r="Q983" s="6"/>
      <c r="R983" s="6"/>
      <c r="S983" s="6"/>
      <c r="T983" s="6"/>
      <c r="U983" s="6"/>
      <c r="V983" s="6"/>
      <c r="W983" s="6"/>
      <c r="X983" s="6"/>
      <c r="Y983" s="6"/>
      <c r="Z983" s="6"/>
      <c r="AA983" s="19"/>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row>
    <row r="984">
      <c r="A984" s="6"/>
      <c r="B984" s="6"/>
      <c r="C984" s="18"/>
      <c r="D984" s="6"/>
      <c r="E984" s="6"/>
      <c r="F984" s="6"/>
      <c r="G984" s="6"/>
      <c r="H984" s="6"/>
      <c r="I984" s="6"/>
      <c r="J984" s="6"/>
      <c r="K984" s="6"/>
      <c r="L984" s="6"/>
      <c r="M984" s="6"/>
      <c r="N984" s="6"/>
      <c r="O984" s="6"/>
      <c r="P984" s="6"/>
      <c r="Q984" s="6"/>
      <c r="R984" s="6"/>
      <c r="S984" s="6"/>
      <c r="T984" s="6"/>
      <c r="U984" s="6"/>
      <c r="V984" s="6"/>
      <c r="W984" s="6"/>
      <c r="X984" s="6"/>
      <c r="Y984" s="6"/>
      <c r="Z984" s="6"/>
      <c r="AA984" s="19"/>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row>
    <row r="985">
      <c r="A985" s="6"/>
      <c r="B985" s="6"/>
      <c r="C985" s="18"/>
      <c r="D985" s="6"/>
      <c r="E985" s="6"/>
      <c r="F985" s="6"/>
      <c r="G985" s="6"/>
      <c r="H985" s="6"/>
      <c r="I985" s="6"/>
      <c r="J985" s="6"/>
      <c r="K985" s="6"/>
      <c r="L985" s="6"/>
      <c r="M985" s="6"/>
      <c r="N985" s="6"/>
      <c r="O985" s="6"/>
      <c r="P985" s="6"/>
      <c r="Q985" s="6"/>
      <c r="R985" s="6"/>
      <c r="S985" s="6"/>
      <c r="T985" s="6"/>
      <c r="U985" s="6"/>
      <c r="V985" s="6"/>
      <c r="W985" s="6"/>
      <c r="X985" s="6"/>
      <c r="Y985" s="6"/>
      <c r="Z985" s="6"/>
      <c r="AA985" s="19"/>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row>
    <row r="986">
      <c r="A986" s="6"/>
      <c r="B986" s="6"/>
      <c r="C986" s="18"/>
      <c r="D986" s="6"/>
      <c r="E986" s="6"/>
      <c r="F986" s="6"/>
      <c r="G986" s="6"/>
      <c r="H986" s="6"/>
      <c r="I986" s="6"/>
      <c r="J986" s="6"/>
      <c r="K986" s="6"/>
      <c r="L986" s="6"/>
      <c r="M986" s="6"/>
      <c r="N986" s="6"/>
      <c r="O986" s="6"/>
      <c r="P986" s="6"/>
      <c r="Q986" s="6"/>
      <c r="R986" s="6"/>
      <c r="S986" s="6"/>
      <c r="T986" s="6"/>
      <c r="U986" s="6"/>
      <c r="V986" s="6"/>
      <c r="W986" s="6"/>
      <c r="X986" s="6"/>
      <c r="Y986" s="6"/>
      <c r="Z986" s="6"/>
      <c r="AA986" s="19"/>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row>
    <row r="987">
      <c r="A987" s="6"/>
      <c r="B987" s="6"/>
      <c r="C987" s="18"/>
      <c r="D987" s="6"/>
      <c r="E987" s="6"/>
      <c r="F987" s="6"/>
      <c r="G987" s="6"/>
      <c r="H987" s="6"/>
      <c r="I987" s="6"/>
      <c r="J987" s="6"/>
      <c r="K987" s="6"/>
      <c r="L987" s="6"/>
      <c r="M987" s="6"/>
      <c r="N987" s="6"/>
      <c r="O987" s="6"/>
      <c r="P987" s="6"/>
      <c r="Q987" s="6"/>
      <c r="R987" s="6"/>
      <c r="S987" s="6"/>
      <c r="T987" s="6"/>
      <c r="U987" s="6"/>
      <c r="V987" s="6"/>
      <c r="W987" s="6"/>
      <c r="X987" s="6"/>
      <c r="Y987" s="6"/>
      <c r="Z987" s="6"/>
      <c r="AA987" s="19"/>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row>
    <row r="988">
      <c r="A988" s="6"/>
      <c r="B988" s="6"/>
      <c r="C988" s="18"/>
      <c r="D988" s="6"/>
      <c r="E988" s="6"/>
      <c r="F988" s="6"/>
      <c r="G988" s="6"/>
      <c r="H988" s="6"/>
      <c r="I988" s="6"/>
      <c r="J988" s="6"/>
      <c r="K988" s="6"/>
      <c r="L988" s="6"/>
      <c r="M988" s="6"/>
      <c r="N988" s="6"/>
      <c r="O988" s="6"/>
      <c r="P988" s="6"/>
      <c r="Q988" s="6"/>
      <c r="R988" s="6"/>
      <c r="S988" s="6"/>
      <c r="T988" s="6"/>
      <c r="U988" s="6"/>
      <c r="V988" s="6"/>
      <c r="W988" s="6"/>
      <c r="X988" s="6"/>
      <c r="Y988" s="6"/>
      <c r="Z988" s="6"/>
      <c r="AA988" s="19"/>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row>
    <row r="989">
      <c r="A989" s="6"/>
      <c r="B989" s="6"/>
      <c r="C989" s="18"/>
      <c r="D989" s="6"/>
      <c r="E989" s="6"/>
      <c r="F989" s="6"/>
      <c r="G989" s="6"/>
      <c r="H989" s="6"/>
      <c r="I989" s="6"/>
      <c r="J989" s="6"/>
      <c r="K989" s="6"/>
      <c r="L989" s="6"/>
      <c r="M989" s="6"/>
      <c r="N989" s="6"/>
      <c r="O989" s="6"/>
      <c r="P989" s="6"/>
      <c r="Q989" s="6"/>
      <c r="R989" s="6"/>
      <c r="S989" s="6"/>
      <c r="T989" s="6"/>
      <c r="U989" s="6"/>
      <c r="V989" s="6"/>
      <c r="W989" s="6"/>
      <c r="X989" s="6"/>
      <c r="Y989" s="6"/>
      <c r="Z989" s="6"/>
      <c r="AA989" s="19"/>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row>
    <row r="990">
      <c r="A990" s="6"/>
      <c r="B990" s="6"/>
      <c r="C990" s="18"/>
      <c r="D990" s="6"/>
      <c r="E990" s="6"/>
      <c r="F990" s="6"/>
      <c r="G990" s="6"/>
      <c r="H990" s="6"/>
      <c r="I990" s="6"/>
      <c r="J990" s="6"/>
      <c r="K990" s="6"/>
      <c r="L990" s="6"/>
      <c r="M990" s="6"/>
      <c r="N990" s="6"/>
      <c r="O990" s="6"/>
      <c r="P990" s="6"/>
      <c r="Q990" s="6"/>
      <c r="R990" s="6"/>
      <c r="S990" s="6"/>
      <c r="T990" s="6"/>
      <c r="U990" s="6"/>
      <c r="V990" s="6"/>
      <c r="W990" s="6"/>
      <c r="X990" s="6"/>
      <c r="Y990" s="6"/>
      <c r="Z990" s="6"/>
      <c r="AA990" s="19"/>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row>
    <row r="991">
      <c r="A991" s="6"/>
      <c r="B991" s="6"/>
      <c r="C991" s="18"/>
      <c r="D991" s="6"/>
      <c r="E991" s="6"/>
      <c r="F991" s="6"/>
      <c r="G991" s="6"/>
      <c r="H991" s="6"/>
      <c r="I991" s="6"/>
      <c r="J991" s="6"/>
      <c r="K991" s="6"/>
      <c r="L991" s="6"/>
      <c r="M991" s="6"/>
      <c r="N991" s="6"/>
      <c r="O991" s="6"/>
      <c r="P991" s="6"/>
      <c r="Q991" s="6"/>
      <c r="R991" s="6"/>
      <c r="S991" s="6"/>
      <c r="T991" s="6"/>
      <c r="U991" s="6"/>
      <c r="V991" s="6"/>
      <c r="W991" s="6"/>
      <c r="X991" s="6"/>
      <c r="Y991" s="6"/>
      <c r="Z991" s="6"/>
      <c r="AA991" s="19"/>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row>
    <row r="992">
      <c r="A992" s="6"/>
      <c r="B992" s="6"/>
      <c r="C992" s="18"/>
      <c r="D992" s="6"/>
      <c r="E992" s="6"/>
      <c r="F992" s="6"/>
      <c r="G992" s="6"/>
      <c r="H992" s="6"/>
      <c r="I992" s="6"/>
      <c r="J992" s="6"/>
      <c r="K992" s="6"/>
      <c r="L992" s="6"/>
      <c r="M992" s="6"/>
      <c r="N992" s="6"/>
      <c r="O992" s="6"/>
      <c r="P992" s="6"/>
      <c r="Q992" s="6"/>
      <c r="R992" s="6"/>
      <c r="S992" s="6"/>
      <c r="T992" s="6"/>
      <c r="U992" s="6"/>
      <c r="V992" s="6"/>
      <c r="W992" s="6"/>
      <c r="X992" s="6"/>
      <c r="Y992" s="6"/>
      <c r="Z992" s="6"/>
      <c r="AA992" s="19"/>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row>
    <row r="993">
      <c r="A993" s="6"/>
      <c r="B993" s="6"/>
      <c r="C993" s="18"/>
      <c r="D993" s="6"/>
      <c r="E993" s="6"/>
      <c r="F993" s="6"/>
      <c r="G993" s="6"/>
      <c r="H993" s="6"/>
      <c r="I993" s="6"/>
      <c r="J993" s="6"/>
      <c r="K993" s="6"/>
      <c r="L993" s="6"/>
      <c r="M993" s="6"/>
      <c r="N993" s="6"/>
      <c r="O993" s="6"/>
      <c r="P993" s="6"/>
      <c r="Q993" s="6"/>
      <c r="R993" s="6"/>
      <c r="S993" s="6"/>
      <c r="T993" s="6"/>
      <c r="U993" s="6"/>
      <c r="V993" s="6"/>
      <c r="W993" s="6"/>
      <c r="X993" s="6"/>
      <c r="Y993" s="6"/>
      <c r="Z993" s="6"/>
      <c r="AA993" s="19"/>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row>
    <row r="994">
      <c r="A994" s="6"/>
      <c r="B994" s="6"/>
      <c r="C994" s="18"/>
      <c r="D994" s="6"/>
      <c r="E994" s="6"/>
      <c r="F994" s="6"/>
      <c r="G994" s="6"/>
      <c r="H994" s="6"/>
      <c r="I994" s="6"/>
      <c r="J994" s="6"/>
      <c r="K994" s="6"/>
      <c r="L994" s="6"/>
      <c r="M994" s="6"/>
      <c r="N994" s="6"/>
      <c r="O994" s="6"/>
      <c r="P994" s="6"/>
      <c r="Q994" s="6"/>
      <c r="R994" s="6"/>
      <c r="S994" s="6"/>
      <c r="T994" s="6"/>
      <c r="U994" s="6"/>
      <c r="V994" s="6"/>
      <c r="W994" s="6"/>
      <c r="X994" s="6"/>
      <c r="Y994" s="6"/>
      <c r="Z994" s="6"/>
      <c r="AA994" s="19"/>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row>
    <row r="995">
      <c r="A995" s="6"/>
      <c r="B995" s="6"/>
      <c r="C995" s="18"/>
      <c r="D995" s="6"/>
      <c r="E995" s="6"/>
      <c r="F995" s="6"/>
      <c r="G995" s="6"/>
      <c r="H995" s="6"/>
      <c r="I995" s="6"/>
      <c r="J995" s="6"/>
      <c r="K995" s="6"/>
      <c r="L995" s="6"/>
      <c r="M995" s="6"/>
      <c r="N995" s="6"/>
      <c r="O995" s="6"/>
      <c r="P995" s="6"/>
      <c r="Q995" s="6"/>
      <c r="R995" s="6"/>
      <c r="S995" s="6"/>
      <c r="T995" s="6"/>
      <c r="U995" s="6"/>
      <c r="V995" s="6"/>
      <c r="W995" s="6"/>
      <c r="X995" s="6"/>
      <c r="Y995" s="6"/>
      <c r="Z995" s="6"/>
      <c r="AA995" s="19"/>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row>
    <row r="996">
      <c r="A996" s="6"/>
      <c r="B996" s="6"/>
      <c r="C996" s="18"/>
      <c r="D996" s="6"/>
      <c r="E996" s="6"/>
      <c r="F996" s="6"/>
      <c r="G996" s="6"/>
      <c r="H996" s="6"/>
      <c r="I996" s="6"/>
      <c r="J996" s="6"/>
      <c r="K996" s="6"/>
      <c r="L996" s="6"/>
      <c r="M996" s="6"/>
      <c r="N996" s="6"/>
      <c r="O996" s="6"/>
      <c r="P996" s="6"/>
      <c r="Q996" s="6"/>
      <c r="R996" s="6"/>
      <c r="S996" s="6"/>
      <c r="T996" s="6"/>
      <c r="U996" s="6"/>
      <c r="V996" s="6"/>
      <c r="W996" s="6"/>
      <c r="X996" s="6"/>
      <c r="Y996" s="6"/>
      <c r="Z996" s="6"/>
      <c r="AA996" s="19"/>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row>
    <row r="997">
      <c r="A997" s="6"/>
      <c r="B997" s="6"/>
      <c r="C997" s="18"/>
      <c r="D997" s="6"/>
      <c r="E997" s="6"/>
      <c r="F997" s="6"/>
      <c r="G997" s="6"/>
      <c r="H997" s="6"/>
      <c r="I997" s="6"/>
      <c r="J997" s="6"/>
      <c r="K997" s="6"/>
      <c r="L997" s="6"/>
      <c r="M997" s="6"/>
      <c r="N997" s="6"/>
      <c r="O997" s="6"/>
      <c r="P997" s="6"/>
      <c r="Q997" s="6"/>
      <c r="R997" s="6"/>
      <c r="S997" s="6"/>
      <c r="T997" s="6"/>
      <c r="U997" s="6"/>
      <c r="V997" s="6"/>
      <c r="W997" s="6"/>
      <c r="X997" s="6"/>
      <c r="Y997" s="6"/>
      <c r="Z997" s="6"/>
      <c r="AA997" s="19"/>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row>
    <row r="998">
      <c r="A998" s="6"/>
      <c r="B998" s="6"/>
      <c r="C998" s="18"/>
      <c r="D998" s="6"/>
      <c r="E998" s="6"/>
      <c r="F998" s="6"/>
      <c r="G998" s="6"/>
      <c r="H998" s="6"/>
      <c r="I998" s="6"/>
      <c r="J998" s="6"/>
      <c r="K998" s="6"/>
      <c r="L998" s="6"/>
      <c r="M998" s="6"/>
      <c r="N998" s="6"/>
      <c r="O998" s="6"/>
      <c r="P998" s="6"/>
      <c r="Q998" s="6"/>
      <c r="R998" s="6"/>
      <c r="S998" s="6"/>
      <c r="T998" s="6"/>
      <c r="U998" s="6"/>
      <c r="V998" s="6"/>
      <c r="W998" s="6"/>
      <c r="X998" s="6"/>
      <c r="Y998" s="6"/>
      <c r="Z998" s="6"/>
      <c r="AA998" s="19"/>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row>
    <row r="999">
      <c r="A999" s="6"/>
      <c r="B999" s="6"/>
      <c r="C999" s="18"/>
      <c r="D999" s="6"/>
      <c r="E999" s="6"/>
      <c r="F999" s="6"/>
      <c r="G999" s="6"/>
      <c r="H999" s="6"/>
      <c r="I999" s="6"/>
      <c r="J999" s="6"/>
      <c r="K999" s="6"/>
      <c r="L999" s="6"/>
      <c r="M999" s="6"/>
      <c r="N999" s="6"/>
      <c r="O999" s="6"/>
      <c r="P999" s="6"/>
      <c r="Q999" s="6"/>
      <c r="R999" s="6"/>
      <c r="S999" s="6"/>
      <c r="T999" s="6"/>
      <c r="U999" s="6"/>
      <c r="V999" s="6"/>
      <c r="W999" s="6"/>
      <c r="X999" s="6"/>
      <c r="Y999" s="6"/>
      <c r="Z999" s="6"/>
      <c r="AA999" s="19"/>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row>
    <row r="1000">
      <c r="A1000" s="6"/>
      <c r="B1000" s="6"/>
      <c r="C1000" s="18"/>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19"/>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row>
    <row r="1001">
      <c r="A1001" s="6"/>
      <c r="B1001" s="6"/>
      <c r="C1001" s="18"/>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19"/>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row>
    <row r="1002">
      <c r="A1002" s="6"/>
      <c r="B1002" s="6"/>
      <c r="C1002" s="18"/>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19"/>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row>
    <row r="1003">
      <c r="A1003" s="6"/>
      <c r="B1003" s="6"/>
      <c r="C1003" s="18"/>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19"/>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row>
    <row r="1004">
      <c r="A1004" s="6"/>
      <c r="B1004" s="6"/>
      <c r="C1004" s="18"/>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19"/>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row>
    <row r="1005">
      <c r="A1005" s="6"/>
      <c r="B1005" s="6"/>
      <c r="C1005" s="18"/>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19"/>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row>
    <row r="1006">
      <c r="A1006" s="6"/>
      <c r="B1006" s="6"/>
      <c r="C1006" s="18"/>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19"/>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row>
    <row r="1007">
      <c r="A1007" s="6"/>
      <c r="B1007" s="6"/>
      <c r="C1007" s="18"/>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19"/>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row>
    <row r="1008">
      <c r="A1008" s="6"/>
      <c r="B1008" s="6"/>
      <c r="C1008" s="18"/>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19"/>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row>
    <row r="1009">
      <c r="A1009" s="6"/>
      <c r="B1009" s="6"/>
      <c r="C1009" s="18"/>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19"/>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25"/>
    <col customWidth="1" min="2" max="2" width="12.0"/>
    <col customWidth="1" min="3" max="3" width="16.38"/>
    <col customWidth="1" min="4" max="4" width="15.63"/>
    <col customWidth="1" min="5" max="5" width="19.25"/>
    <col customWidth="1" min="6" max="6" width="18.88"/>
    <col customWidth="1" min="7" max="7" width="21.13"/>
    <col customWidth="1" min="8" max="8" width="23.13"/>
    <col customWidth="1" min="9" max="9" width="25.88"/>
    <col customWidth="1" min="10" max="10" width="28.38"/>
    <col customWidth="1" min="11" max="11" width="22.5"/>
    <col customWidth="1" min="12" max="12" width="27.63"/>
    <col customWidth="1" min="13" max="13" width="43.38"/>
    <col customWidth="1" min="14" max="14" width="21.0"/>
    <col customWidth="1" min="15" max="15" width="33.63"/>
    <col customWidth="1" min="16" max="16" width="34.25"/>
    <col customWidth="1" min="17" max="17" width="23.25"/>
    <col customWidth="1" min="18" max="18" width="18.38"/>
    <col customWidth="1" min="19" max="19" width="15.0"/>
    <col customWidth="1" min="20" max="20" width="50.88"/>
    <col customWidth="1" min="21" max="21" width="16.5"/>
    <col customWidth="1" min="22" max="22" width="14.38"/>
    <col customWidth="1" min="23" max="23" width="18.63"/>
    <col customWidth="1" min="24" max="24" width="16.75"/>
    <col customWidth="1" min="25" max="25" width="18.75"/>
    <col customWidth="1" min="26" max="26" width="16.88"/>
    <col customWidth="1" min="27" max="27" width="39.25"/>
    <col customWidth="1" min="28" max="28" width="49.25"/>
    <col customWidth="1" min="29" max="29" width="31.38"/>
    <col customWidth="1" min="30" max="30" width="56.75"/>
    <col customWidth="1" min="31" max="31" width="32.0"/>
    <col customWidth="1" min="32" max="32" width="38.63"/>
  </cols>
  <sheetData>
    <row r="1">
      <c r="A1" s="20" t="s">
        <v>124</v>
      </c>
      <c r="B1" s="20" t="s">
        <v>125</v>
      </c>
      <c r="C1" s="20" t="s">
        <v>126</v>
      </c>
      <c r="D1" s="21" t="s">
        <v>127</v>
      </c>
      <c r="E1" s="20" t="s">
        <v>1</v>
      </c>
      <c r="F1" s="20" t="s">
        <v>2</v>
      </c>
      <c r="G1" s="20" t="s">
        <v>5</v>
      </c>
      <c r="H1" s="22" t="s">
        <v>128</v>
      </c>
      <c r="I1" s="20" t="s">
        <v>129</v>
      </c>
      <c r="J1" s="20" t="s">
        <v>8</v>
      </c>
      <c r="K1" s="20" t="s">
        <v>130</v>
      </c>
      <c r="L1" s="20" t="s">
        <v>10</v>
      </c>
      <c r="M1" s="20" t="s">
        <v>11</v>
      </c>
      <c r="N1" s="20" t="s">
        <v>12</v>
      </c>
      <c r="O1" s="20" t="s">
        <v>131</v>
      </c>
      <c r="P1" s="20" t="s">
        <v>132</v>
      </c>
      <c r="Q1" s="20" t="s">
        <v>15</v>
      </c>
      <c r="R1" s="20" t="s">
        <v>16</v>
      </c>
      <c r="S1" s="21" t="s">
        <v>133</v>
      </c>
      <c r="T1" s="20" t="s">
        <v>18</v>
      </c>
      <c r="U1" s="20" t="s">
        <v>19</v>
      </c>
      <c r="V1" s="20" t="s">
        <v>20</v>
      </c>
      <c r="W1" s="20" t="s">
        <v>21</v>
      </c>
      <c r="X1" s="20" t="s">
        <v>22</v>
      </c>
      <c r="Y1" s="20" t="s">
        <v>134</v>
      </c>
      <c r="Z1" s="23" t="s">
        <v>24</v>
      </c>
      <c r="AA1" s="20" t="s">
        <v>25</v>
      </c>
      <c r="AB1" s="20" t="s">
        <v>26</v>
      </c>
      <c r="AC1" s="24" t="s">
        <v>135</v>
      </c>
      <c r="AD1" s="20" t="s">
        <v>136</v>
      </c>
      <c r="AE1" s="20" t="s">
        <v>137</v>
      </c>
      <c r="AF1" s="20" t="s">
        <v>138</v>
      </c>
    </row>
    <row r="2" hidden="1">
      <c r="A2" s="20" t="s">
        <v>139</v>
      </c>
      <c r="B2" s="20" t="s">
        <v>140</v>
      </c>
      <c r="C2" s="25" t="s">
        <v>141</v>
      </c>
      <c r="D2" s="26" t="s">
        <v>142</v>
      </c>
      <c r="E2" s="27" t="s">
        <v>143</v>
      </c>
      <c r="F2" s="28">
        <v>45876.0</v>
      </c>
      <c r="G2" s="27" t="s">
        <v>90</v>
      </c>
      <c r="H2" s="29">
        <f>IFERROR(__xludf.DUMMYFUNCTION("IF(ISDATE(S2), DATEDIF(S2, TODAY(), ""Y""), """")"),17.0)</f>
        <v>17</v>
      </c>
      <c r="I2" s="27" t="s">
        <v>144</v>
      </c>
      <c r="J2" s="27" t="s">
        <v>145</v>
      </c>
      <c r="K2" s="30" t="s">
        <v>146</v>
      </c>
      <c r="L2" s="27" t="s">
        <v>147</v>
      </c>
      <c r="M2" s="27" t="s">
        <v>148</v>
      </c>
      <c r="N2" s="27" t="s">
        <v>36</v>
      </c>
      <c r="O2" s="27" t="s">
        <v>149</v>
      </c>
      <c r="P2" s="31"/>
      <c r="Q2" s="27" t="s">
        <v>150</v>
      </c>
      <c r="R2" s="27">
        <v>2174500.0</v>
      </c>
      <c r="S2" s="32">
        <v>39638.0</v>
      </c>
      <c r="T2" s="27" t="s">
        <v>151</v>
      </c>
      <c r="U2" s="27" t="s">
        <v>152</v>
      </c>
      <c r="V2" s="27" t="s">
        <v>55</v>
      </c>
      <c r="W2" s="33" t="s">
        <v>153</v>
      </c>
      <c r="X2" s="27" t="s">
        <v>154</v>
      </c>
      <c r="Y2" s="33" t="s">
        <v>146</v>
      </c>
      <c r="Z2" s="26" t="s">
        <v>43</v>
      </c>
      <c r="AA2" s="34">
        <v>3.0</v>
      </c>
      <c r="AB2" s="35" t="s">
        <v>155</v>
      </c>
      <c r="AC2" s="35" t="s">
        <v>156</v>
      </c>
      <c r="AD2" s="31"/>
      <c r="AE2" s="31"/>
      <c r="AF2" s="31"/>
    </row>
    <row r="3" hidden="1">
      <c r="A3" s="20" t="s">
        <v>157</v>
      </c>
      <c r="B3" s="20" t="s">
        <v>158</v>
      </c>
      <c r="C3" s="20" t="s">
        <v>159</v>
      </c>
      <c r="D3" s="26" t="s">
        <v>142</v>
      </c>
      <c r="E3" s="27" t="s">
        <v>160</v>
      </c>
      <c r="F3" s="28" t="s">
        <v>161</v>
      </c>
      <c r="G3" s="27" t="s">
        <v>31</v>
      </c>
      <c r="H3" s="29" t="str">
        <f>IFERROR(__xludf.DUMMYFUNCTION("IF(ISDATE(S3), DATEDIF(S3, TODAY(), ""Y""), """")"),"")</f>
        <v/>
      </c>
      <c r="I3" s="27" t="s">
        <v>162</v>
      </c>
      <c r="J3" s="27" t="s">
        <v>163</v>
      </c>
      <c r="K3" s="31">
        <v>5.02576943E8</v>
      </c>
      <c r="L3" s="27" t="s">
        <v>164</v>
      </c>
      <c r="M3" s="27" t="s">
        <v>165</v>
      </c>
      <c r="N3" s="27" t="s">
        <v>44</v>
      </c>
      <c r="O3" s="27"/>
      <c r="P3" s="31"/>
      <c r="Q3" s="27" t="s">
        <v>44</v>
      </c>
      <c r="R3" s="27">
        <v>2.4697496E7</v>
      </c>
      <c r="S3" s="36"/>
      <c r="T3" s="27" t="s">
        <v>166</v>
      </c>
      <c r="U3" s="27">
        <v>39656.0</v>
      </c>
      <c r="V3" s="27" t="s">
        <v>84</v>
      </c>
      <c r="W3" s="27">
        <v>5.0E8</v>
      </c>
      <c r="X3" s="27" t="s">
        <v>167</v>
      </c>
      <c r="Y3" s="27">
        <v>5.02576932E8</v>
      </c>
      <c r="Z3" s="26" t="s">
        <v>168</v>
      </c>
      <c r="AA3" s="34">
        <v>4.0</v>
      </c>
      <c r="AB3" s="35"/>
      <c r="AC3" s="20" t="s">
        <v>169</v>
      </c>
      <c r="AD3" s="31"/>
      <c r="AE3" s="31"/>
      <c r="AF3" s="31"/>
    </row>
    <row r="4" ht="48.0" hidden="1" customHeight="1">
      <c r="A4" s="20" t="s">
        <v>157</v>
      </c>
      <c r="B4" s="20" t="s">
        <v>158</v>
      </c>
      <c r="C4" s="20" t="s">
        <v>159</v>
      </c>
      <c r="D4" s="26" t="s">
        <v>142</v>
      </c>
      <c r="E4" s="27" t="s">
        <v>170</v>
      </c>
      <c r="F4" s="28" t="s">
        <v>161</v>
      </c>
      <c r="G4" s="27" t="s">
        <v>90</v>
      </c>
      <c r="H4" s="29">
        <f>IFERROR(__xludf.DUMMYFUNCTION("IF(ISDATE(S4), DATEDIF(S4, TODAY(), ""Y""), """")"),6.0)</f>
        <v>6</v>
      </c>
      <c r="I4" s="27" t="s">
        <v>171</v>
      </c>
      <c r="J4" s="27" t="s">
        <v>172</v>
      </c>
      <c r="K4" s="31">
        <v>5.22500325E8</v>
      </c>
      <c r="L4" s="27" t="s">
        <v>92</v>
      </c>
      <c r="M4" s="27" t="s">
        <v>173</v>
      </c>
      <c r="N4" s="27" t="s">
        <v>44</v>
      </c>
      <c r="O4" s="27"/>
      <c r="P4" s="31"/>
      <c r="Q4" s="27" t="s">
        <v>36</v>
      </c>
      <c r="R4" s="27">
        <v>2.5354085E7</v>
      </c>
      <c r="S4" s="32">
        <v>43588.0</v>
      </c>
      <c r="T4" s="27" t="s">
        <v>174</v>
      </c>
      <c r="U4" s="27">
        <v>44254.0</v>
      </c>
      <c r="V4" s="27" t="s">
        <v>175</v>
      </c>
      <c r="W4" s="27">
        <v>5.2265475E8</v>
      </c>
      <c r="X4" s="27" t="s">
        <v>176</v>
      </c>
      <c r="Y4" s="27">
        <v>5.22500325E8</v>
      </c>
      <c r="Z4" s="26" t="s">
        <v>43</v>
      </c>
      <c r="AA4" s="34">
        <v>5.0</v>
      </c>
      <c r="AB4" s="35"/>
      <c r="AC4" s="35" t="s">
        <v>169</v>
      </c>
      <c r="AD4" s="31"/>
      <c r="AE4" s="31"/>
      <c r="AF4" s="31"/>
    </row>
    <row r="5" hidden="1">
      <c r="A5" s="20" t="s">
        <v>139</v>
      </c>
      <c r="B5" s="20" t="s">
        <v>158</v>
      </c>
      <c r="C5" s="20" t="s">
        <v>159</v>
      </c>
      <c r="D5" s="26" t="s">
        <v>142</v>
      </c>
      <c r="E5" s="27" t="s">
        <v>177</v>
      </c>
      <c r="F5" s="28" t="s">
        <v>178</v>
      </c>
      <c r="G5" s="27" t="s">
        <v>31</v>
      </c>
      <c r="H5" s="29">
        <f>IFERROR(__xludf.DUMMYFUNCTION("IF(ISDATE(S5), DATEDIF(S5, TODAY(), ""Y""), """")"),18.0)</f>
        <v>18</v>
      </c>
      <c r="I5" s="27" t="s">
        <v>179</v>
      </c>
      <c r="J5" s="27" t="s">
        <v>180</v>
      </c>
      <c r="K5" s="31">
        <v>5.23350485E8</v>
      </c>
      <c r="L5" s="27" t="s">
        <v>92</v>
      </c>
      <c r="M5" s="27" t="s">
        <v>181</v>
      </c>
      <c r="N5" s="27" t="s">
        <v>44</v>
      </c>
      <c r="O5" s="27"/>
      <c r="P5" s="31"/>
      <c r="Q5" s="27" t="s">
        <v>182</v>
      </c>
      <c r="R5" s="27">
        <v>2.8623007E7</v>
      </c>
      <c r="S5" s="32">
        <v>39240.0</v>
      </c>
      <c r="T5" s="27" t="s">
        <v>38</v>
      </c>
      <c r="U5" s="27">
        <v>44490.0</v>
      </c>
      <c r="V5" s="27" t="s">
        <v>183</v>
      </c>
      <c r="W5" s="27">
        <v>5.28997532E8</v>
      </c>
      <c r="X5" s="27" t="s">
        <v>184</v>
      </c>
      <c r="Y5" s="27">
        <v>5.23240594E8</v>
      </c>
      <c r="Z5" s="26" t="s">
        <v>43</v>
      </c>
      <c r="AA5" s="34">
        <v>3.0</v>
      </c>
      <c r="AB5" s="35"/>
      <c r="AC5" s="35" t="s">
        <v>169</v>
      </c>
      <c r="AD5" s="31"/>
      <c r="AE5" s="31"/>
      <c r="AF5" s="31"/>
    </row>
    <row r="6" hidden="1">
      <c r="A6" s="20" t="s">
        <v>139</v>
      </c>
      <c r="B6" s="20" t="s">
        <v>158</v>
      </c>
      <c r="C6" s="20" t="s">
        <v>159</v>
      </c>
      <c r="D6" s="26" t="s">
        <v>142</v>
      </c>
      <c r="E6" s="27" t="s">
        <v>185</v>
      </c>
      <c r="F6" s="28" t="s">
        <v>186</v>
      </c>
      <c r="G6" s="27" t="s">
        <v>90</v>
      </c>
      <c r="H6" s="29">
        <f>IFERROR(__xludf.DUMMYFUNCTION("IF(ISDATE(S6), DATEDIF(S6, TODAY(), ""Y""), """")"),21.0)</f>
        <v>21</v>
      </c>
      <c r="I6" s="27" t="s">
        <v>187</v>
      </c>
      <c r="J6" s="27" t="s">
        <v>188</v>
      </c>
      <c r="K6" s="31">
        <v>5.86608028E8</v>
      </c>
      <c r="L6" s="27" t="s">
        <v>189</v>
      </c>
      <c r="M6" s="27" t="s">
        <v>190</v>
      </c>
      <c r="N6" s="27" t="s">
        <v>44</v>
      </c>
      <c r="O6" s="27"/>
      <c r="P6" s="31"/>
      <c r="Q6" s="27" t="s">
        <v>44</v>
      </c>
      <c r="R6" s="27">
        <v>3.2606438E7</v>
      </c>
      <c r="S6" s="32">
        <v>38008.0</v>
      </c>
      <c r="T6" s="27" t="s">
        <v>191</v>
      </c>
      <c r="U6" s="27">
        <v>43794.0</v>
      </c>
      <c r="V6" s="27" t="s">
        <v>192</v>
      </c>
      <c r="W6" s="27">
        <v>5.42290828E8</v>
      </c>
      <c r="X6" s="27" t="s">
        <v>193</v>
      </c>
      <c r="Y6" s="27">
        <v>5.46608028E8</v>
      </c>
      <c r="Z6" s="26" t="s">
        <v>43</v>
      </c>
      <c r="AA6" s="34">
        <v>4.0</v>
      </c>
      <c r="AB6" s="35"/>
      <c r="AC6" s="35" t="s">
        <v>169</v>
      </c>
      <c r="AD6" s="31"/>
      <c r="AE6" s="31"/>
      <c r="AF6" s="31"/>
    </row>
    <row r="7" ht="15.75" hidden="1" customHeight="1">
      <c r="A7" s="20" t="s">
        <v>157</v>
      </c>
      <c r="B7" s="20" t="s">
        <v>158</v>
      </c>
      <c r="C7" s="20" t="s">
        <v>159</v>
      </c>
      <c r="D7" s="26" t="s">
        <v>142</v>
      </c>
      <c r="E7" s="27" t="s">
        <v>194</v>
      </c>
      <c r="F7" s="28" t="s">
        <v>195</v>
      </c>
      <c r="G7" s="27" t="s">
        <v>31</v>
      </c>
      <c r="H7" s="29">
        <f>IFERROR(__xludf.DUMMYFUNCTION("IF(ISDATE(S7), DATEDIF(S7, TODAY(), ""Y""), """")"),7.0)</f>
        <v>7</v>
      </c>
      <c r="I7" s="27" t="s">
        <v>196</v>
      </c>
      <c r="J7" s="27" t="s">
        <v>197</v>
      </c>
      <c r="K7" s="31" t="s">
        <v>198</v>
      </c>
      <c r="L7" s="27" t="s">
        <v>92</v>
      </c>
      <c r="M7" s="27" t="s">
        <v>199</v>
      </c>
      <c r="N7" s="27" t="s">
        <v>44</v>
      </c>
      <c r="O7" s="27"/>
      <c r="P7" s="31"/>
      <c r="Q7" s="27" t="s">
        <v>44</v>
      </c>
      <c r="R7" s="27">
        <v>3.4471199E7</v>
      </c>
      <c r="S7" s="32">
        <v>43218.0</v>
      </c>
      <c r="T7" s="27" t="s">
        <v>200</v>
      </c>
      <c r="U7" s="27" t="s">
        <v>201</v>
      </c>
      <c r="V7" s="27" t="s">
        <v>202</v>
      </c>
      <c r="W7" s="27">
        <v>5.44900978E8</v>
      </c>
      <c r="X7" s="27" t="s">
        <v>203</v>
      </c>
      <c r="Y7" s="27">
        <v>5.0838577E8</v>
      </c>
      <c r="Z7" s="26" t="s">
        <v>43</v>
      </c>
      <c r="AA7" s="34">
        <v>3.0</v>
      </c>
      <c r="AB7" s="35"/>
      <c r="AC7" s="35" t="s">
        <v>169</v>
      </c>
      <c r="AD7" s="31"/>
      <c r="AE7" s="31"/>
      <c r="AF7" s="31"/>
    </row>
    <row r="8" hidden="1">
      <c r="A8" s="20" t="s">
        <v>157</v>
      </c>
      <c r="B8" s="20" t="s">
        <v>158</v>
      </c>
      <c r="C8" s="20" t="s">
        <v>159</v>
      </c>
      <c r="D8" s="37" t="s">
        <v>204</v>
      </c>
      <c r="E8" s="20" t="s">
        <v>205</v>
      </c>
      <c r="F8" s="38">
        <v>44875.0</v>
      </c>
      <c r="G8" s="20" t="s">
        <v>90</v>
      </c>
      <c r="H8" s="22">
        <f>IFERROR(__xludf.DUMMYFUNCTION("IF(ISDATE(S8), DATEDIF(S8, TODAY(), ""Y""), """")"),16.0)</f>
        <v>16</v>
      </c>
      <c r="I8" s="20" t="s">
        <v>206</v>
      </c>
      <c r="J8" s="20" t="s">
        <v>207</v>
      </c>
      <c r="K8" s="25">
        <v>5.58835547E8</v>
      </c>
      <c r="L8" s="20" t="s">
        <v>208</v>
      </c>
      <c r="M8" s="20" t="s">
        <v>209</v>
      </c>
      <c r="N8" s="20" t="s">
        <v>44</v>
      </c>
      <c r="O8" s="39"/>
      <c r="P8" s="39"/>
      <c r="Q8" s="20" t="s">
        <v>44</v>
      </c>
      <c r="R8" s="25">
        <v>3.8218681E7</v>
      </c>
      <c r="S8" s="37">
        <v>40177.0</v>
      </c>
      <c r="T8" s="25" t="s">
        <v>210</v>
      </c>
      <c r="U8" s="38">
        <v>44735.0</v>
      </c>
      <c r="V8" s="20" t="s">
        <v>211</v>
      </c>
      <c r="W8" s="25">
        <v>5.42240909E8</v>
      </c>
      <c r="X8" s="20" t="s">
        <v>212</v>
      </c>
      <c r="Y8" s="25">
        <v>5.58835547E8</v>
      </c>
      <c r="Z8" s="23"/>
      <c r="AA8" s="25">
        <v>5.0</v>
      </c>
      <c r="AB8" s="20" t="s">
        <v>213</v>
      </c>
      <c r="AC8" s="20" t="s">
        <v>169</v>
      </c>
      <c r="AD8" s="20" t="s">
        <v>214</v>
      </c>
      <c r="AE8" s="20"/>
      <c r="AF8" s="20" t="s">
        <v>215</v>
      </c>
    </row>
    <row r="9" hidden="1">
      <c r="A9" s="20" t="s">
        <v>157</v>
      </c>
      <c r="B9" s="20" t="s">
        <v>158</v>
      </c>
      <c r="C9" s="20" t="s">
        <v>159</v>
      </c>
      <c r="D9" s="26" t="s">
        <v>142</v>
      </c>
      <c r="E9" s="27" t="s">
        <v>216</v>
      </c>
      <c r="F9" s="28" t="s">
        <v>217</v>
      </c>
      <c r="G9" s="27" t="s">
        <v>31</v>
      </c>
      <c r="H9" s="29">
        <f>IFERROR(__xludf.DUMMYFUNCTION("IF(ISDATE(S9), DATEDIF(S9, TODAY(), ""Y""), """")"),10.0)</f>
        <v>10</v>
      </c>
      <c r="I9" s="27" t="s">
        <v>218</v>
      </c>
      <c r="J9" s="27" t="s">
        <v>219</v>
      </c>
      <c r="K9" s="31"/>
      <c r="L9" s="27" t="s">
        <v>164</v>
      </c>
      <c r="M9" s="27" t="s">
        <v>220</v>
      </c>
      <c r="N9" s="27" t="s">
        <v>44</v>
      </c>
      <c r="O9" s="27"/>
      <c r="P9" s="31"/>
      <c r="Q9" s="27" t="s">
        <v>44</v>
      </c>
      <c r="R9" s="27">
        <v>4.0964058E7</v>
      </c>
      <c r="S9" s="32">
        <v>42243.0</v>
      </c>
      <c r="T9" s="27" t="s">
        <v>38</v>
      </c>
      <c r="U9" s="27">
        <v>44254.0</v>
      </c>
      <c r="V9" s="27" t="s">
        <v>221</v>
      </c>
      <c r="W9" s="27">
        <v>5.05749117E8</v>
      </c>
      <c r="X9" s="27" t="s">
        <v>222</v>
      </c>
      <c r="Y9" s="27">
        <v>5.24551169E8</v>
      </c>
      <c r="Z9" s="26" t="s">
        <v>43</v>
      </c>
      <c r="AA9" s="34">
        <v>2.0</v>
      </c>
      <c r="AB9" s="35"/>
      <c r="AC9" s="35" t="s">
        <v>169</v>
      </c>
      <c r="AD9" s="31"/>
      <c r="AE9" s="31"/>
      <c r="AF9" s="31"/>
    </row>
    <row r="10" hidden="1">
      <c r="A10" s="20" t="s">
        <v>139</v>
      </c>
      <c r="B10" s="25" t="s">
        <v>158</v>
      </c>
      <c r="C10" s="20" t="s">
        <v>159</v>
      </c>
      <c r="D10" s="26" t="s">
        <v>142</v>
      </c>
      <c r="E10" s="40" t="s">
        <v>223</v>
      </c>
      <c r="F10" s="41">
        <v>45727.70476137732</v>
      </c>
      <c r="G10" s="40" t="s">
        <v>90</v>
      </c>
      <c r="H10" s="29">
        <f>IFERROR(__xludf.DUMMYFUNCTION("IF(ISDATE(S10), DATEDIF(S10, TODAY(), ""Y""), """")"),27.0)</f>
        <v>27</v>
      </c>
      <c r="I10" s="40" t="s">
        <v>224</v>
      </c>
      <c r="J10" s="42" t="s">
        <v>225</v>
      </c>
      <c r="K10" s="43" t="s">
        <v>226</v>
      </c>
      <c r="L10" s="39"/>
      <c r="M10" s="40" t="s">
        <v>227</v>
      </c>
      <c r="N10" s="27" t="s">
        <v>44</v>
      </c>
      <c r="O10" s="39"/>
      <c r="P10" s="44">
        <v>45277.0</v>
      </c>
      <c r="Q10" s="39"/>
      <c r="R10" s="40">
        <v>2.06563868E8</v>
      </c>
      <c r="S10" s="45">
        <v>35964.0</v>
      </c>
      <c r="T10" s="40" t="s">
        <v>228</v>
      </c>
      <c r="U10" s="39"/>
      <c r="V10" s="39"/>
      <c r="W10" s="39"/>
      <c r="X10" s="40" t="s">
        <v>229</v>
      </c>
      <c r="Y10" s="43" t="s">
        <v>230</v>
      </c>
      <c r="Z10" s="31"/>
      <c r="AA10" s="39"/>
      <c r="AB10" s="46" t="s">
        <v>231</v>
      </c>
      <c r="AC10" s="20" t="s">
        <v>169</v>
      </c>
      <c r="AD10" s="39"/>
      <c r="AE10" s="39"/>
      <c r="AF10" s="39"/>
    </row>
    <row r="11" hidden="1">
      <c r="A11" s="20" t="s">
        <v>139</v>
      </c>
      <c r="B11" s="25" t="s">
        <v>158</v>
      </c>
      <c r="C11" s="20" t="s">
        <v>159</v>
      </c>
      <c r="D11" s="26" t="s">
        <v>142</v>
      </c>
      <c r="E11" s="40" t="s">
        <v>232</v>
      </c>
      <c r="F11" s="41">
        <v>45575.777219791664</v>
      </c>
      <c r="G11" s="40" t="s">
        <v>90</v>
      </c>
      <c r="H11" s="29">
        <f>IFERROR(__xludf.DUMMYFUNCTION("IF(ISDATE(S11), DATEDIF(S11, TODAY(), ""Y""), """")"),26.0)</f>
        <v>26</v>
      </c>
      <c r="I11" s="40" t="s">
        <v>233</v>
      </c>
      <c r="J11" s="42" t="s">
        <v>172</v>
      </c>
      <c r="K11" s="47">
        <v>5.37437349E8</v>
      </c>
      <c r="L11" s="39"/>
      <c r="M11" s="40" t="s">
        <v>234</v>
      </c>
      <c r="N11" s="27" t="s">
        <v>44</v>
      </c>
      <c r="O11" s="39"/>
      <c r="P11" s="44">
        <v>45474.0</v>
      </c>
      <c r="Q11" s="39"/>
      <c r="R11" s="40">
        <v>2.06594202E8</v>
      </c>
      <c r="S11" s="45">
        <v>36490.0</v>
      </c>
      <c r="T11" s="40" t="s">
        <v>235</v>
      </c>
      <c r="U11" s="39"/>
      <c r="V11" s="39"/>
      <c r="W11" s="39"/>
      <c r="X11" s="40" t="s">
        <v>236</v>
      </c>
      <c r="Y11" s="43" t="s">
        <v>237</v>
      </c>
      <c r="Z11" s="31"/>
      <c r="AA11" s="39"/>
      <c r="AB11" s="46"/>
      <c r="AC11" s="20" t="s">
        <v>169</v>
      </c>
      <c r="AD11" s="39"/>
      <c r="AE11" s="39"/>
      <c r="AF11" s="39"/>
    </row>
    <row r="12" hidden="1">
      <c r="A12" s="20" t="s">
        <v>139</v>
      </c>
      <c r="B12" s="20" t="s">
        <v>140</v>
      </c>
      <c r="C12" s="20" t="s">
        <v>238</v>
      </c>
      <c r="D12" s="26" t="s">
        <v>142</v>
      </c>
      <c r="E12" s="40" t="s">
        <v>239</v>
      </c>
      <c r="F12" s="41">
        <v>45809.58799693287</v>
      </c>
      <c r="G12" s="40" t="s">
        <v>90</v>
      </c>
      <c r="H12" s="29">
        <f>IFERROR(__xludf.DUMMYFUNCTION("IF(ISDATE(S12), DATEDIF(S12, TODAY(), ""Y""), """")"),27.0)</f>
        <v>27</v>
      </c>
      <c r="I12" s="40" t="s">
        <v>240</v>
      </c>
      <c r="J12" s="42" t="s">
        <v>241</v>
      </c>
      <c r="K12" s="43" t="s">
        <v>242</v>
      </c>
      <c r="L12" s="39"/>
      <c r="M12" s="40" t="s">
        <v>243</v>
      </c>
      <c r="N12" s="48" t="s">
        <v>36</v>
      </c>
      <c r="O12" s="39"/>
      <c r="P12" s="40"/>
      <c r="Q12" s="25" t="s">
        <v>36</v>
      </c>
      <c r="R12" s="40">
        <v>2.07146572E8</v>
      </c>
      <c r="S12" s="45">
        <v>35934.0</v>
      </c>
      <c r="T12" s="40" t="s">
        <v>244</v>
      </c>
      <c r="U12" s="39"/>
      <c r="V12" s="39"/>
      <c r="W12" s="39"/>
      <c r="X12" s="40" t="s">
        <v>245</v>
      </c>
      <c r="Y12" s="43" t="s">
        <v>246</v>
      </c>
      <c r="Z12" s="31"/>
      <c r="AA12" s="39"/>
      <c r="AB12" s="46" t="s">
        <v>247</v>
      </c>
      <c r="AC12" s="20" t="s">
        <v>169</v>
      </c>
      <c r="AD12" s="39"/>
      <c r="AE12" s="39"/>
      <c r="AF12" s="39"/>
    </row>
    <row r="13" hidden="1">
      <c r="A13" s="49" t="s">
        <v>139</v>
      </c>
      <c r="B13" s="49" t="s">
        <v>140</v>
      </c>
      <c r="C13" s="49" t="s">
        <v>238</v>
      </c>
      <c r="D13" s="50" t="s">
        <v>142</v>
      </c>
      <c r="E13" s="51" t="s">
        <v>248</v>
      </c>
      <c r="F13" s="52">
        <v>45575.706018854165</v>
      </c>
      <c r="G13" s="51" t="s">
        <v>31</v>
      </c>
      <c r="H13" s="53">
        <f>IFERROR(__xludf.DUMMYFUNCTION("IF(ISDATE(S13), DATEDIF(S13, TODAY(), ""Y""), """")"),23.0)</f>
        <v>23</v>
      </c>
      <c r="I13" s="51" t="s">
        <v>249</v>
      </c>
      <c r="J13" s="54" t="s">
        <v>188</v>
      </c>
      <c r="K13" s="55">
        <v>5.37145758E8</v>
      </c>
      <c r="L13" s="56"/>
      <c r="M13" s="57" t="s">
        <v>250</v>
      </c>
      <c r="N13" s="49" t="s">
        <v>36</v>
      </c>
      <c r="O13" s="56"/>
      <c r="P13" s="51"/>
      <c r="Q13" s="58" t="s">
        <v>36</v>
      </c>
      <c r="R13" s="51">
        <v>2.09950575E8</v>
      </c>
      <c r="S13" s="59">
        <v>37294.0</v>
      </c>
      <c r="T13" s="51" t="s">
        <v>251</v>
      </c>
      <c r="U13" s="56"/>
      <c r="V13" s="56"/>
      <c r="W13" s="56"/>
      <c r="X13" s="51" t="s">
        <v>252</v>
      </c>
      <c r="Y13" s="60" t="s">
        <v>253</v>
      </c>
      <c r="Z13" s="61"/>
      <c r="AA13" s="56"/>
      <c r="AB13" s="62"/>
      <c r="AC13" s="49" t="s">
        <v>169</v>
      </c>
      <c r="AD13" s="56"/>
      <c r="AE13" s="56"/>
      <c r="AF13" s="56"/>
    </row>
    <row r="14" hidden="1">
      <c r="A14" s="20" t="s">
        <v>139</v>
      </c>
      <c r="B14" s="20" t="s">
        <v>158</v>
      </c>
      <c r="C14" s="20" t="s">
        <v>159</v>
      </c>
      <c r="D14" s="26" t="s">
        <v>142</v>
      </c>
      <c r="E14" s="27" t="s">
        <v>254</v>
      </c>
      <c r="F14" s="28" t="s">
        <v>255</v>
      </c>
      <c r="G14" s="27" t="s">
        <v>31</v>
      </c>
      <c r="H14" s="29">
        <f>IFERROR(__xludf.DUMMYFUNCTION("IF(ISDATE(S14), DATEDIF(S14, TODAY(), ""Y""), """")"),23.0)</f>
        <v>23</v>
      </c>
      <c r="I14" s="27" t="s">
        <v>256</v>
      </c>
      <c r="J14" s="27" t="s">
        <v>257</v>
      </c>
      <c r="K14" s="31">
        <v>5.87920339E8</v>
      </c>
      <c r="L14" s="27" t="s">
        <v>92</v>
      </c>
      <c r="M14" s="27" t="s">
        <v>258</v>
      </c>
      <c r="N14" s="27" t="s">
        <v>44</v>
      </c>
      <c r="O14" s="27"/>
      <c r="P14" s="31"/>
      <c r="Q14" s="27" t="s">
        <v>36</v>
      </c>
      <c r="R14" s="27">
        <v>2.11334669E8</v>
      </c>
      <c r="S14" s="32">
        <v>37292.0</v>
      </c>
      <c r="T14" s="27" t="s">
        <v>259</v>
      </c>
      <c r="U14" s="27">
        <v>43864.0</v>
      </c>
      <c r="V14" s="27" t="s">
        <v>84</v>
      </c>
      <c r="W14" s="27">
        <v>5.8538327E8</v>
      </c>
      <c r="X14" s="27" t="s">
        <v>260</v>
      </c>
      <c r="Y14" s="27">
        <v>5.26383217E8</v>
      </c>
      <c r="Z14" s="26" t="s">
        <v>168</v>
      </c>
      <c r="AA14" s="34">
        <v>7.0</v>
      </c>
      <c r="AB14" s="35"/>
      <c r="AC14" s="20" t="s">
        <v>169</v>
      </c>
      <c r="AD14" s="31"/>
      <c r="AE14" s="31"/>
      <c r="AF14" s="31"/>
    </row>
    <row r="15" hidden="1">
      <c r="A15" s="20" t="s">
        <v>139</v>
      </c>
      <c r="B15" s="20" t="s">
        <v>158</v>
      </c>
      <c r="C15" s="20" t="s">
        <v>159</v>
      </c>
      <c r="D15" s="26" t="s">
        <v>142</v>
      </c>
      <c r="E15" s="27" t="s">
        <v>261</v>
      </c>
      <c r="F15" s="28" t="s">
        <v>262</v>
      </c>
      <c r="G15" s="27" t="s">
        <v>90</v>
      </c>
      <c r="H15" s="29">
        <f>IFERROR(__xludf.DUMMYFUNCTION("IF(ISDATE(S15), DATEDIF(S15, TODAY(), ""Y""), """")"),25.0)</f>
        <v>25</v>
      </c>
      <c r="I15" s="27" t="s">
        <v>263</v>
      </c>
      <c r="J15" s="27" t="s">
        <v>264</v>
      </c>
      <c r="K15" s="31">
        <v>5.86111615E8</v>
      </c>
      <c r="L15" s="27" t="s">
        <v>189</v>
      </c>
      <c r="M15" s="27" t="s">
        <v>265</v>
      </c>
      <c r="N15" s="27" t="s">
        <v>44</v>
      </c>
      <c r="O15" s="27"/>
      <c r="P15" s="31"/>
      <c r="Q15" s="27" t="s">
        <v>44</v>
      </c>
      <c r="R15" s="27">
        <v>2.11647045E8</v>
      </c>
      <c r="S15" s="32">
        <v>36741.0</v>
      </c>
      <c r="T15" s="27" t="s">
        <v>266</v>
      </c>
      <c r="U15" s="27">
        <v>43559.0</v>
      </c>
      <c r="V15" s="27" t="s">
        <v>267</v>
      </c>
      <c r="W15" s="27">
        <v>5.86111615E8</v>
      </c>
      <c r="X15" s="27" t="s">
        <v>268</v>
      </c>
      <c r="Y15" s="27">
        <v>5.86111615E8</v>
      </c>
      <c r="Z15" s="26" t="s">
        <v>43</v>
      </c>
      <c r="AA15" s="34">
        <v>4.0</v>
      </c>
      <c r="AB15" s="35"/>
      <c r="AC15" s="35" t="s">
        <v>169</v>
      </c>
      <c r="AD15" s="31"/>
      <c r="AE15" s="31"/>
      <c r="AF15" s="31"/>
    </row>
    <row r="16" ht="64.5" hidden="1" customHeight="1">
      <c r="A16" s="20" t="s">
        <v>139</v>
      </c>
      <c r="B16" s="25" t="s">
        <v>158</v>
      </c>
      <c r="C16" s="20" t="s">
        <v>159</v>
      </c>
      <c r="D16" s="26" t="s">
        <v>142</v>
      </c>
      <c r="E16" s="40" t="s">
        <v>269</v>
      </c>
      <c r="F16" s="41">
        <v>45679.49286840278</v>
      </c>
      <c r="G16" s="40" t="s">
        <v>31</v>
      </c>
      <c r="H16" s="29">
        <f>IFERROR(__xludf.DUMMYFUNCTION("IF(ISDATE(S16), DATEDIF(S16, TODAY(), ""Y""), """")"),25.0)</f>
        <v>25</v>
      </c>
      <c r="I16" s="40" t="s">
        <v>270</v>
      </c>
      <c r="J16" s="42" t="s">
        <v>188</v>
      </c>
      <c r="K16" s="43" t="s">
        <v>271</v>
      </c>
      <c r="L16" s="39"/>
      <c r="M16" s="40" t="s">
        <v>272</v>
      </c>
      <c r="N16" s="27" t="s">
        <v>44</v>
      </c>
      <c r="O16" s="39"/>
      <c r="P16" s="44">
        <v>45620.0</v>
      </c>
      <c r="Q16" s="39"/>
      <c r="R16" s="40">
        <v>2.1169252E8</v>
      </c>
      <c r="S16" s="45">
        <v>36850.0</v>
      </c>
      <c r="T16" s="40" t="s">
        <v>273</v>
      </c>
      <c r="U16" s="39"/>
      <c r="V16" s="39"/>
      <c r="W16" s="39"/>
      <c r="X16" s="40" t="s">
        <v>274</v>
      </c>
      <c r="Y16" s="43" t="s">
        <v>275</v>
      </c>
      <c r="Z16" s="31"/>
      <c r="AA16" s="39"/>
      <c r="AB16" s="46"/>
      <c r="AC16" s="20" t="s">
        <v>169</v>
      </c>
      <c r="AD16" s="39"/>
      <c r="AE16" s="39"/>
      <c r="AF16" s="39"/>
    </row>
    <row r="17" hidden="1">
      <c r="A17" s="20" t="s">
        <v>139</v>
      </c>
      <c r="B17" s="25" t="s">
        <v>158</v>
      </c>
      <c r="C17" s="20" t="s">
        <v>159</v>
      </c>
      <c r="D17" s="26" t="s">
        <v>142</v>
      </c>
      <c r="E17" s="40" t="s">
        <v>276</v>
      </c>
      <c r="F17" s="41">
        <v>45598.877666898145</v>
      </c>
      <c r="G17" s="40" t="s">
        <v>90</v>
      </c>
      <c r="H17" s="29">
        <f>IFERROR(__xludf.DUMMYFUNCTION("IF(ISDATE(S17), DATEDIF(S17, TODAY(), ""Y""), """")"),25.0)</f>
        <v>25</v>
      </c>
      <c r="I17" s="40" t="s">
        <v>277</v>
      </c>
      <c r="J17" s="42" t="s">
        <v>188</v>
      </c>
      <c r="K17" s="43" t="s">
        <v>278</v>
      </c>
      <c r="L17" s="39"/>
      <c r="M17" s="40" t="s">
        <v>279</v>
      </c>
      <c r="N17" s="48" t="s">
        <v>44</v>
      </c>
      <c r="O17" s="39"/>
      <c r="P17" s="40"/>
      <c r="Q17" s="39"/>
      <c r="R17" s="40">
        <v>2.1174791E8</v>
      </c>
      <c r="S17" s="45">
        <v>36809.0</v>
      </c>
      <c r="T17" s="40" t="s">
        <v>280</v>
      </c>
      <c r="U17" s="39"/>
      <c r="V17" s="39"/>
      <c r="W17" s="39"/>
      <c r="X17" s="40" t="s">
        <v>281</v>
      </c>
      <c r="Y17" s="43" t="s">
        <v>282</v>
      </c>
      <c r="Z17" s="31"/>
      <c r="AA17" s="39"/>
      <c r="AB17" s="46" t="s">
        <v>283</v>
      </c>
      <c r="AC17" s="20" t="s">
        <v>169</v>
      </c>
      <c r="AD17" s="39"/>
      <c r="AE17" s="39"/>
      <c r="AF17" s="39"/>
    </row>
    <row r="18" hidden="1">
      <c r="A18" s="20" t="s">
        <v>139</v>
      </c>
      <c r="B18" s="20" t="s">
        <v>158</v>
      </c>
      <c r="C18" s="20" t="s">
        <v>159</v>
      </c>
      <c r="D18" s="26" t="s">
        <v>142</v>
      </c>
      <c r="E18" s="27" t="s">
        <v>284</v>
      </c>
      <c r="F18" s="28">
        <v>44501.0</v>
      </c>
      <c r="G18" s="27" t="s">
        <v>31</v>
      </c>
      <c r="H18" s="29">
        <f>IFERROR(__xludf.DUMMYFUNCTION("IF(ISDATE(S18), DATEDIF(S18, TODAY(), ""Y""), """")"),21.0)</f>
        <v>21</v>
      </c>
      <c r="I18" s="27" t="s">
        <v>285</v>
      </c>
      <c r="J18" s="27" t="s">
        <v>286</v>
      </c>
      <c r="K18" s="31">
        <v>5.23304599E8</v>
      </c>
      <c r="L18" s="27" t="s">
        <v>92</v>
      </c>
      <c r="M18" s="27" t="s">
        <v>287</v>
      </c>
      <c r="N18" s="27" t="s">
        <v>44</v>
      </c>
      <c r="O18" s="27"/>
      <c r="P18" s="31"/>
      <c r="Q18" s="27" t="s">
        <v>44</v>
      </c>
      <c r="R18" s="27">
        <v>2.12179204E8</v>
      </c>
      <c r="S18" s="32">
        <v>38154.0</v>
      </c>
      <c r="T18" s="27" t="s">
        <v>288</v>
      </c>
      <c r="U18" s="27">
        <v>44007.0</v>
      </c>
      <c r="V18" s="27" t="s">
        <v>289</v>
      </c>
      <c r="W18" s="27">
        <v>5.22536306E8</v>
      </c>
      <c r="X18" s="27" t="s">
        <v>290</v>
      </c>
      <c r="Y18" s="27">
        <v>5.29219112E8</v>
      </c>
      <c r="Z18" s="26" t="s">
        <v>168</v>
      </c>
      <c r="AA18" s="34">
        <v>4.0</v>
      </c>
      <c r="AB18" s="35"/>
      <c r="AC18" s="35" t="s">
        <v>169</v>
      </c>
      <c r="AD18" s="31"/>
      <c r="AE18" s="31"/>
      <c r="AF18" s="31"/>
    </row>
    <row r="19" hidden="1">
      <c r="A19" s="25" t="s">
        <v>139</v>
      </c>
      <c r="B19" s="20" t="s">
        <v>140</v>
      </c>
      <c r="C19" s="20" t="s">
        <v>238</v>
      </c>
      <c r="D19" s="26" t="s">
        <v>142</v>
      </c>
      <c r="E19" s="27" t="s">
        <v>291</v>
      </c>
      <c r="F19" s="28">
        <v>45879.0</v>
      </c>
      <c r="G19" s="27" t="s">
        <v>31</v>
      </c>
      <c r="H19" s="29">
        <f>IFERROR(__xludf.DUMMYFUNCTION("IF(ISDATE(S19), DATEDIF(S19, TODAY(), ""Y""), """")"),23.0)</f>
        <v>23</v>
      </c>
      <c r="I19" s="27" t="s">
        <v>292</v>
      </c>
      <c r="J19" s="27" t="s">
        <v>293</v>
      </c>
      <c r="K19" s="30" t="s">
        <v>294</v>
      </c>
      <c r="L19" s="27" t="s">
        <v>189</v>
      </c>
      <c r="M19" s="27" t="s">
        <v>295</v>
      </c>
      <c r="N19" s="27" t="s">
        <v>36</v>
      </c>
      <c r="O19" s="27" t="s">
        <v>296</v>
      </c>
      <c r="P19" s="31"/>
      <c r="Q19" s="27" t="s">
        <v>36</v>
      </c>
      <c r="R19" s="27">
        <v>2.12303564E8</v>
      </c>
      <c r="S19" s="32">
        <v>37286.0</v>
      </c>
      <c r="T19" s="27" t="s">
        <v>297</v>
      </c>
      <c r="U19" s="27" t="s">
        <v>298</v>
      </c>
      <c r="V19" s="27" t="s">
        <v>299</v>
      </c>
      <c r="W19" s="33" t="s">
        <v>300</v>
      </c>
      <c r="X19" s="27" t="s">
        <v>301</v>
      </c>
      <c r="Y19" s="33" t="s">
        <v>302</v>
      </c>
      <c r="Z19" s="26" t="s">
        <v>43</v>
      </c>
      <c r="AA19" s="27">
        <v>9.0</v>
      </c>
      <c r="AB19" s="35"/>
      <c r="AC19" s="35" t="s">
        <v>156</v>
      </c>
      <c r="AD19" s="31"/>
      <c r="AE19" s="31"/>
      <c r="AF19" s="31"/>
    </row>
    <row r="20" hidden="1">
      <c r="A20" s="20" t="s">
        <v>139</v>
      </c>
      <c r="B20" s="25" t="s">
        <v>158</v>
      </c>
      <c r="C20" s="20" t="s">
        <v>159</v>
      </c>
      <c r="D20" s="26" t="s">
        <v>142</v>
      </c>
      <c r="E20" s="40" t="s">
        <v>303</v>
      </c>
      <c r="F20" s="41">
        <v>45600.99059734953</v>
      </c>
      <c r="G20" s="40" t="s">
        <v>31</v>
      </c>
      <c r="H20" s="29">
        <f>IFERROR(__xludf.DUMMYFUNCTION("IF(ISDATE(S20), DATEDIF(S20, TODAY(), ""Y""), """")"),23.0)</f>
        <v>23</v>
      </c>
      <c r="I20" s="40" t="s">
        <v>304</v>
      </c>
      <c r="J20" s="42" t="s">
        <v>304</v>
      </c>
      <c r="K20" s="43" t="s">
        <v>305</v>
      </c>
      <c r="L20" s="39"/>
      <c r="M20" s="40" t="s">
        <v>306</v>
      </c>
      <c r="N20" s="27" t="s">
        <v>44</v>
      </c>
      <c r="O20" s="39"/>
      <c r="P20" s="44">
        <v>45459.0</v>
      </c>
      <c r="Q20" s="39"/>
      <c r="R20" s="40">
        <v>2.12411151E8</v>
      </c>
      <c r="S20" s="45">
        <v>37328.0</v>
      </c>
      <c r="T20" s="40" t="s">
        <v>307</v>
      </c>
      <c r="U20" s="39"/>
      <c r="V20" s="39"/>
      <c r="W20" s="39"/>
      <c r="X20" s="40" t="s">
        <v>308</v>
      </c>
      <c r="Y20" s="43" t="s">
        <v>309</v>
      </c>
      <c r="Z20" s="31"/>
      <c r="AA20" s="39"/>
      <c r="AB20" s="46"/>
      <c r="AC20" s="20" t="s">
        <v>169</v>
      </c>
      <c r="AD20" s="39"/>
      <c r="AE20" s="39"/>
      <c r="AF20" s="39"/>
    </row>
    <row r="21" hidden="1">
      <c r="A21" s="20" t="s">
        <v>139</v>
      </c>
      <c r="B21" s="20" t="s">
        <v>140</v>
      </c>
      <c r="C21" s="25" t="s">
        <v>159</v>
      </c>
      <c r="D21" s="26" t="s">
        <v>142</v>
      </c>
      <c r="E21" s="40" t="s">
        <v>310</v>
      </c>
      <c r="F21" s="41">
        <v>45753.733646168985</v>
      </c>
      <c r="G21" s="40" t="s">
        <v>90</v>
      </c>
      <c r="H21" s="29">
        <f>IFERROR(__xludf.DUMMYFUNCTION("IF(ISDATE(S21), DATEDIF(S21, TODAY(), ""Y""), """")"),24.0)</f>
        <v>24</v>
      </c>
      <c r="I21" s="40" t="s">
        <v>311</v>
      </c>
      <c r="J21" s="63" t="s">
        <v>312</v>
      </c>
      <c r="K21" s="43" t="s">
        <v>313</v>
      </c>
      <c r="L21" s="39"/>
      <c r="M21" s="40" t="s">
        <v>314</v>
      </c>
      <c r="N21" s="20" t="s">
        <v>36</v>
      </c>
      <c r="O21" s="39"/>
      <c r="P21" s="40"/>
      <c r="Q21" s="25" t="s">
        <v>36</v>
      </c>
      <c r="R21" s="40">
        <v>2.12451207E8</v>
      </c>
      <c r="S21" s="45">
        <v>37245.0</v>
      </c>
      <c r="T21" s="40" t="s">
        <v>315</v>
      </c>
      <c r="U21" s="39"/>
      <c r="V21" s="39"/>
      <c r="W21" s="39"/>
      <c r="X21" s="40" t="s">
        <v>316</v>
      </c>
      <c r="Y21" s="43" t="s">
        <v>317</v>
      </c>
      <c r="Z21" s="31"/>
      <c r="AA21" s="39"/>
      <c r="AB21" s="46"/>
      <c r="AC21" s="20" t="s">
        <v>169</v>
      </c>
      <c r="AD21" s="39"/>
      <c r="AE21" s="39"/>
      <c r="AF21" s="39"/>
    </row>
    <row r="22" hidden="1">
      <c r="A22" s="20" t="s">
        <v>139</v>
      </c>
      <c r="B22" s="20" t="s">
        <v>158</v>
      </c>
      <c r="C22" s="20" t="s">
        <v>159</v>
      </c>
      <c r="D22" s="26" t="s">
        <v>142</v>
      </c>
      <c r="E22" s="27" t="s">
        <v>318</v>
      </c>
      <c r="F22" s="28" t="s">
        <v>319</v>
      </c>
      <c r="G22" s="27" t="s">
        <v>90</v>
      </c>
      <c r="H22" s="29">
        <f>IFERROR(__xludf.DUMMYFUNCTION("IF(ISDATE(S22), DATEDIF(S22, TODAY(), ""Y""), """")"),21.0)</f>
        <v>21</v>
      </c>
      <c r="I22" s="27" t="s">
        <v>320</v>
      </c>
      <c r="J22" s="27" t="s">
        <v>321</v>
      </c>
      <c r="K22" s="31">
        <v>5.86648925E8</v>
      </c>
      <c r="L22" s="27" t="s">
        <v>164</v>
      </c>
      <c r="M22" s="27" t="s">
        <v>322</v>
      </c>
      <c r="N22" s="27" t="s">
        <v>44</v>
      </c>
      <c r="O22" s="27"/>
      <c r="P22" s="31"/>
      <c r="Q22" s="27" t="s">
        <v>323</v>
      </c>
      <c r="R22" s="27">
        <v>2.12656334E8</v>
      </c>
      <c r="S22" s="32">
        <v>38131.0</v>
      </c>
      <c r="T22" s="27" t="s">
        <v>324</v>
      </c>
      <c r="U22" s="27">
        <v>44120.0</v>
      </c>
      <c r="V22" s="27" t="s">
        <v>40</v>
      </c>
      <c r="W22" s="27">
        <v>5.03313162E8</v>
      </c>
      <c r="X22" s="27" t="s">
        <v>325</v>
      </c>
      <c r="Y22" s="27">
        <v>5.48191499E8</v>
      </c>
      <c r="Z22" s="26" t="s">
        <v>43</v>
      </c>
      <c r="AA22" s="34">
        <v>5.0</v>
      </c>
      <c r="AB22" s="35"/>
      <c r="AC22" s="35" t="s">
        <v>169</v>
      </c>
      <c r="AD22" s="31"/>
      <c r="AE22" s="31"/>
      <c r="AF22" s="31"/>
    </row>
    <row r="23" hidden="1">
      <c r="A23" s="20" t="s">
        <v>157</v>
      </c>
      <c r="B23" s="20" t="s">
        <v>158</v>
      </c>
      <c r="C23" s="20" t="s">
        <v>159</v>
      </c>
      <c r="D23" s="26" t="s">
        <v>142</v>
      </c>
      <c r="E23" s="27" t="s">
        <v>326</v>
      </c>
      <c r="F23" s="28" t="s">
        <v>319</v>
      </c>
      <c r="G23" s="27" t="s">
        <v>31</v>
      </c>
      <c r="H23" s="29" t="str">
        <f>IFERROR(__xludf.DUMMYFUNCTION("IF(ISDATE(S23), DATEDIF(S23, TODAY(), ""Y""), """")"),"")</f>
        <v/>
      </c>
      <c r="I23" s="27" t="s">
        <v>327</v>
      </c>
      <c r="J23" s="27" t="s">
        <v>241</v>
      </c>
      <c r="K23" s="31">
        <v>5.34251464E8</v>
      </c>
      <c r="L23" s="27" t="s">
        <v>328</v>
      </c>
      <c r="M23" s="27" t="s">
        <v>329</v>
      </c>
      <c r="N23" s="27" t="s">
        <v>44</v>
      </c>
      <c r="O23" s="27"/>
      <c r="P23" s="31"/>
      <c r="Q23" s="27" t="s">
        <v>330</v>
      </c>
      <c r="R23" s="27">
        <v>2.12668826E8</v>
      </c>
      <c r="S23" s="32"/>
      <c r="T23" s="27" t="s">
        <v>331</v>
      </c>
      <c r="U23" s="27">
        <v>44230.0</v>
      </c>
      <c r="V23" s="27" t="s">
        <v>332</v>
      </c>
      <c r="W23" s="27">
        <v>5.28197967E8</v>
      </c>
      <c r="X23" s="27" t="s">
        <v>333</v>
      </c>
      <c r="Y23" s="27">
        <v>5.28113686E8</v>
      </c>
      <c r="Z23" s="26" t="s">
        <v>43</v>
      </c>
      <c r="AA23" s="34">
        <v>6.0</v>
      </c>
      <c r="AB23" s="35"/>
      <c r="AC23" s="20" t="s">
        <v>169</v>
      </c>
      <c r="AD23" s="31"/>
      <c r="AE23" s="31"/>
      <c r="AF23" s="31"/>
    </row>
    <row r="24" hidden="1">
      <c r="A24" s="20" t="s">
        <v>139</v>
      </c>
      <c r="B24" s="20" t="s">
        <v>140</v>
      </c>
      <c r="C24" s="20" t="s">
        <v>238</v>
      </c>
      <c r="D24" s="26" t="s">
        <v>142</v>
      </c>
      <c r="E24" s="64" t="s">
        <v>334</v>
      </c>
      <c r="F24" s="65" t="s">
        <v>335</v>
      </c>
      <c r="G24" s="64" t="s">
        <v>31</v>
      </c>
      <c r="H24" s="29">
        <f>IFERROR(__xludf.DUMMYFUNCTION("IF(ISDATE(S24), DATEDIF(S24, TODAY(), ""Y""), """")"),22.0)</f>
        <v>22</v>
      </c>
      <c r="I24" s="64" t="s">
        <v>336</v>
      </c>
      <c r="J24" s="48" t="s">
        <v>33</v>
      </c>
      <c r="K24" s="66">
        <v>5.28937376E8</v>
      </c>
      <c r="L24" s="39"/>
      <c r="M24" s="64" t="s">
        <v>337</v>
      </c>
      <c r="N24" s="48" t="s">
        <v>36</v>
      </c>
      <c r="O24" s="39"/>
      <c r="P24" s="67"/>
      <c r="Q24" s="25" t="s">
        <v>36</v>
      </c>
      <c r="R24" s="66">
        <v>2.12989339E8</v>
      </c>
      <c r="S24" s="68">
        <v>37656.0</v>
      </c>
      <c r="T24" s="64" t="s">
        <v>338</v>
      </c>
      <c r="U24" s="39"/>
      <c r="V24" s="39"/>
      <c r="W24" s="39"/>
      <c r="X24" s="64" t="s">
        <v>268</v>
      </c>
      <c r="Y24" s="66">
        <v>5.02110001E8</v>
      </c>
      <c r="Z24" s="31"/>
      <c r="AA24" s="39"/>
      <c r="AB24" s="69" t="s">
        <v>339</v>
      </c>
      <c r="AC24" s="20" t="s">
        <v>169</v>
      </c>
      <c r="AD24" s="39"/>
      <c r="AE24" s="39"/>
      <c r="AF24" s="39"/>
    </row>
    <row r="25" hidden="1">
      <c r="A25" s="20" t="s">
        <v>139</v>
      </c>
      <c r="B25" s="25" t="s">
        <v>158</v>
      </c>
      <c r="C25" s="20" t="s">
        <v>159</v>
      </c>
      <c r="D25" s="26" t="s">
        <v>142</v>
      </c>
      <c r="E25" s="40" t="s">
        <v>340</v>
      </c>
      <c r="F25" s="41">
        <v>45495.74450315972</v>
      </c>
      <c r="G25" s="40" t="s">
        <v>31</v>
      </c>
      <c r="H25" s="29">
        <f>IFERROR(__xludf.DUMMYFUNCTION("IF(ISDATE(S25), DATEDIF(S25, TODAY(), ""Y""), """")"),23.0)</f>
        <v>23</v>
      </c>
      <c r="I25" s="40" t="s">
        <v>341</v>
      </c>
      <c r="J25" s="42" t="s">
        <v>342</v>
      </c>
      <c r="K25" s="47">
        <v>5.56885738E8</v>
      </c>
      <c r="L25" s="39"/>
      <c r="M25" s="40" t="s">
        <v>343</v>
      </c>
      <c r="N25" s="48" t="s">
        <v>44</v>
      </c>
      <c r="O25" s="39"/>
      <c r="P25" s="40"/>
      <c r="Q25" s="39"/>
      <c r="R25" s="40">
        <v>2.13489362E8</v>
      </c>
      <c r="S25" s="45">
        <v>37567.0</v>
      </c>
      <c r="T25" s="40" t="s">
        <v>344</v>
      </c>
      <c r="U25" s="39"/>
      <c r="V25" s="39"/>
      <c r="W25" s="39"/>
      <c r="X25" s="40" t="s">
        <v>345</v>
      </c>
      <c r="Y25" s="40" t="s">
        <v>346</v>
      </c>
      <c r="Z25" s="31"/>
      <c r="AA25" s="39"/>
      <c r="AB25" s="46" t="s">
        <v>347</v>
      </c>
      <c r="AC25" s="20" t="s">
        <v>169</v>
      </c>
      <c r="AD25" s="39"/>
      <c r="AE25" s="39"/>
      <c r="AF25" s="39"/>
    </row>
    <row r="26" hidden="1">
      <c r="A26" s="20" t="s">
        <v>139</v>
      </c>
      <c r="B26" s="25" t="s">
        <v>158</v>
      </c>
      <c r="C26" s="20" t="s">
        <v>159</v>
      </c>
      <c r="D26" s="26" t="s">
        <v>142</v>
      </c>
      <c r="E26" s="40" t="s">
        <v>348</v>
      </c>
      <c r="F26" s="41">
        <v>45505.80491160879</v>
      </c>
      <c r="G26" s="40" t="s">
        <v>90</v>
      </c>
      <c r="H26" s="29">
        <f>IFERROR(__xludf.DUMMYFUNCTION("IF(ISDATE(S26), DATEDIF(S26, TODAY(), ""Y""), """")"),23.0)</f>
        <v>23</v>
      </c>
      <c r="I26" s="40" t="s">
        <v>349</v>
      </c>
      <c r="J26" s="42" t="s">
        <v>188</v>
      </c>
      <c r="K26" s="47">
        <v>5.2447725E8</v>
      </c>
      <c r="L26" s="39"/>
      <c r="M26" s="40" t="s">
        <v>343</v>
      </c>
      <c r="N26" s="27" t="s">
        <v>44</v>
      </c>
      <c r="O26" s="39"/>
      <c r="P26" s="44">
        <v>45278.0</v>
      </c>
      <c r="Q26" s="39"/>
      <c r="R26" s="40">
        <v>2.13570625E8</v>
      </c>
      <c r="S26" s="45">
        <v>37611.0</v>
      </c>
      <c r="T26" s="40" t="s">
        <v>350</v>
      </c>
      <c r="U26" s="39"/>
      <c r="V26" s="39"/>
      <c r="W26" s="39"/>
      <c r="X26" s="40" t="s">
        <v>351</v>
      </c>
      <c r="Y26" s="43" t="s">
        <v>352</v>
      </c>
      <c r="Z26" s="31"/>
      <c r="AA26" s="39"/>
      <c r="AB26" s="46"/>
      <c r="AC26" s="20" t="s">
        <v>169</v>
      </c>
      <c r="AD26" s="39"/>
      <c r="AE26" s="39"/>
      <c r="AF26" s="39"/>
    </row>
    <row r="27" hidden="1">
      <c r="A27" s="20" t="s">
        <v>139</v>
      </c>
      <c r="B27" s="25" t="s">
        <v>158</v>
      </c>
      <c r="C27" s="20" t="s">
        <v>159</v>
      </c>
      <c r="D27" s="26" t="s">
        <v>142</v>
      </c>
      <c r="E27" s="40" t="s">
        <v>353</v>
      </c>
      <c r="F27" s="41">
        <v>45495.45566369213</v>
      </c>
      <c r="G27" s="40" t="s">
        <v>90</v>
      </c>
      <c r="H27" s="29">
        <f>IFERROR(__xludf.DUMMYFUNCTION("IF(ISDATE(S27), DATEDIF(S27, TODAY(), ""Y""), """")"),22.0)</f>
        <v>22</v>
      </c>
      <c r="I27" s="40" t="s">
        <v>354</v>
      </c>
      <c r="J27" s="42" t="s">
        <v>47</v>
      </c>
      <c r="K27" s="47">
        <v>5.26096045E8</v>
      </c>
      <c r="L27" s="39"/>
      <c r="M27" s="40" t="s">
        <v>355</v>
      </c>
      <c r="N27" s="27" t="s">
        <v>44</v>
      </c>
      <c r="O27" s="39"/>
      <c r="P27" s="44">
        <v>45237.0</v>
      </c>
      <c r="Q27" s="39"/>
      <c r="R27" s="40">
        <v>2.13683287E8</v>
      </c>
      <c r="S27" s="45">
        <v>37759.0</v>
      </c>
      <c r="T27" s="40" t="s">
        <v>356</v>
      </c>
      <c r="U27" s="39"/>
      <c r="V27" s="39"/>
      <c r="W27" s="39"/>
      <c r="X27" s="40" t="s">
        <v>357</v>
      </c>
      <c r="Y27" s="43" t="s">
        <v>358</v>
      </c>
      <c r="Z27" s="31"/>
      <c r="AA27" s="39"/>
      <c r="AB27" s="46"/>
      <c r="AC27" s="20" t="s">
        <v>169</v>
      </c>
      <c r="AD27" s="39"/>
      <c r="AE27" s="39"/>
      <c r="AF27" s="39"/>
    </row>
    <row r="28" hidden="1">
      <c r="A28" s="20" t="s">
        <v>139</v>
      </c>
      <c r="B28" s="25" t="s">
        <v>158</v>
      </c>
      <c r="C28" s="20" t="s">
        <v>159</v>
      </c>
      <c r="D28" s="26" t="s">
        <v>142</v>
      </c>
      <c r="E28" s="40" t="s">
        <v>359</v>
      </c>
      <c r="F28" s="41">
        <v>45595.53757909722</v>
      </c>
      <c r="G28" s="40" t="s">
        <v>90</v>
      </c>
      <c r="H28" s="29">
        <f>IFERROR(__xludf.DUMMYFUNCTION("IF(ISDATE(S28), DATEDIF(S28, TODAY(), ""Y""), """")"),22.0)</f>
        <v>22</v>
      </c>
      <c r="I28" s="40" t="s">
        <v>360</v>
      </c>
      <c r="J28" s="42" t="s">
        <v>361</v>
      </c>
      <c r="K28" s="43" t="s">
        <v>362</v>
      </c>
      <c r="L28" s="39"/>
      <c r="M28" s="40" t="s">
        <v>363</v>
      </c>
      <c r="N28" s="27" t="s">
        <v>44</v>
      </c>
      <c r="O28" s="39"/>
      <c r="P28" s="44">
        <v>45240.0</v>
      </c>
      <c r="Q28" s="39"/>
      <c r="R28" s="40">
        <v>2.13759517E8</v>
      </c>
      <c r="S28" s="45">
        <v>37889.0</v>
      </c>
      <c r="T28" s="40" t="s">
        <v>66</v>
      </c>
      <c r="U28" s="39"/>
      <c r="V28" s="39"/>
      <c r="W28" s="39"/>
      <c r="X28" s="40" t="s">
        <v>364</v>
      </c>
      <c r="Y28" s="43" t="s">
        <v>362</v>
      </c>
      <c r="Z28" s="31"/>
      <c r="AA28" s="39"/>
      <c r="AB28" s="46" t="s">
        <v>365</v>
      </c>
      <c r="AC28" s="20" t="s">
        <v>169</v>
      </c>
      <c r="AD28" s="39"/>
      <c r="AE28" s="39"/>
      <c r="AF28" s="39"/>
    </row>
    <row r="29" hidden="1">
      <c r="A29" s="20" t="s">
        <v>139</v>
      </c>
      <c r="B29" s="25" t="s">
        <v>158</v>
      </c>
      <c r="C29" s="20" t="s">
        <v>159</v>
      </c>
      <c r="D29" s="26" t="s">
        <v>142</v>
      </c>
      <c r="E29" s="40" t="s">
        <v>366</v>
      </c>
      <c r="F29" s="41">
        <v>45595.54128314815</v>
      </c>
      <c r="G29" s="40" t="s">
        <v>90</v>
      </c>
      <c r="H29" s="29">
        <f>IFERROR(__xludf.DUMMYFUNCTION("IF(ISDATE(S29), DATEDIF(S29, TODAY(), ""Y""), """")"),22.0)</f>
        <v>22</v>
      </c>
      <c r="I29" s="40" t="s">
        <v>367</v>
      </c>
      <c r="J29" s="42" t="s">
        <v>368</v>
      </c>
      <c r="K29" s="43" t="s">
        <v>369</v>
      </c>
      <c r="L29" s="39"/>
      <c r="M29" s="40" t="s">
        <v>370</v>
      </c>
      <c r="N29" s="27" t="s">
        <v>44</v>
      </c>
      <c r="O29" s="39"/>
      <c r="P29" s="44">
        <v>45421.0</v>
      </c>
      <c r="Q29" s="39"/>
      <c r="R29" s="40">
        <v>2.13879794E8</v>
      </c>
      <c r="S29" s="45">
        <v>37770.0</v>
      </c>
      <c r="T29" s="40" t="s">
        <v>371</v>
      </c>
      <c r="U29" s="39"/>
      <c r="V29" s="39"/>
      <c r="W29" s="39"/>
      <c r="X29" s="40" t="s">
        <v>372</v>
      </c>
      <c r="Y29" s="43" t="s">
        <v>373</v>
      </c>
      <c r="Z29" s="31"/>
      <c r="AA29" s="39"/>
      <c r="AB29" s="46" t="s">
        <v>374</v>
      </c>
      <c r="AC29" s="20" t="s">
        <v>169</v>
      </c>
      <c r="AD29" s="39"/>
      <c r="AE29" s="39"/>
      <c r="AF29" s="39"/>
    </row>
    <row r="30" hidden="1">
      <c r="A30" s="20" t="s">
        <v>139</v>
      </c>
      <c r="B30" s="20" t="s">
        <v>158</v>
      </c>
      <c r="C30" s="20" t="s">
        <v>159</v>
      </c>
      <c r="D30" s="26" t="s">
        <v>142</v>
      </c>
      <c r="E30" s="27" t="s">
        <v>375</v>
      </c>
      <c r="F30" s="28" t="s">
        <v>376</v>
      </c>
      <c r="G30" s="27" t="s">
        <v>90</v>
      </c>
      <c r="H30" s="29">
        <f>IFERROR(__xludf.DUMMYFUNCTION("IF(ISDATE(S30), DATEDIF(S30, TODAY(), ""Y""), """")"),22.0)</f>
        <v>22</v>
      </c>
      <c r="I30" s="27" t="s">
        <v>377</v>
      </c>
      <c r="J30" s="27" t="s">
        <v>378</v>
      </c>
      <c r="K30" s="31">
        <v>5.02490333E8</v>
      </c>
      <c r="L30" s="27" t="s">
        <v>92</v>
      </c>
      <c r="M30" s="27" t="s">
        <v>379</v>
      </c>
      <c r="N30" s="27" t="s">
        <v>44</v>
      </c>
      <c r="O30" s="27"/>
      <c r="P30" s="31"/>
      <c r="Q30" s="27" t="s">
        <v>44</v>
      </c>
      <c r="R30" s="27">
        <v>2.1391582E8</v>
      </c>
      <c r="S30" s="32">
        <v>37960.0</v>
      </c>
      <c r="T30" s="27" t="s">
        <v>380</v>
      </c>
      <c r="U30" s="27">
        <v>43477.0</v>
      </c>
      <c r="V30" s="27" t="s">
        <v>381</v>
      </c>
      <c r="W30" s="27">
        <v>5.42289203E8</v>
      </c>
      <c r="X30" s="27" t="s">
        <v>382</v>
      </c>
      <c r="Y30" s="27">
        <v>5.47425533E8</v>
      </c>
      <c r="Z30" s="26" t="s">
        <v>168</v>
      </c>
      <c r="AA30" s="34">
        <v>2.0</v>
      </c>
      <c r="AB30" s="35"/>
      <c r="AC30" s="35" t="s">
        <v>169</v>
      </c>
      <c r="AD30" s="31"/>
      <c r="AE30" s="31"/>
      <c r="AF30" s="31"/>
    </row>
    <row r="31" hidden="1">
      <c r="A31" s="20" t="s">
        <v>139</v>
      </c>
      <c r="B31" s="25" t="s">
        <v>158</v>
      </c>
      <c r="C31" s="20" t="s">
        <v>159</v>
      </c>
      <c r="D31" s="26" t="s">
        <v>142</v>
      </c>
      <c r="E31" s="40" t="s">
        <v>383</v>
      </c>
      <c r="F31" s="41">
        <v>45754.37050207176</v>
      </c>
      <c r="G31" s="40" t="s">
        <v>90</v>
      </c>
      <c r="H31" s="29">
        <f>IFERROR(__xludf.DUMMYFUNCTION("IF(ISDATE(S31), DATEDIF(S31, TODAY(), ""Y""), """")"),22.0)</f>
        <v>22</v>
      </c>
      <c r="I31" s="40" t="s">
        <v>384</v>
      </c>
      <c r="J31" s="42" t="s">
        <v>385</v>
      </c>
      <c r="K31" s="43" t="s">
        <v>386</v>
      </c>
      <c r="L31" s="39"/>
      <c r="M31" s="40" t="s">
        <v>227</v>
      </c>
      <c r="N31" s="27" t="s">
        <v>44</v>
      </c>
      <c r="O31" s="39"/>
      <c r="P31" s="44">
        <v>45558.0</v>
      </c>
      <c r="Q31" s="39"/>
      <c r="R31" s="40">
        <v>2.13996358E8</v>
      </c>
      <c r="S31" s="45">
        <v>37891.0</v>
      </c>
      <c r="T31" s="43" t="s">
        <v>387</v>
      </c>
      <c r="U31" s="39"/>
      <c r="V31" s="39"/>
      <c r="W31" s="39"/>
      <c r="X31" s="40" t="s">
        <v>388</v>
      </c>
      <c r="Y31" s="43" t="s">
        <v>389</v>
      </c>
      <c r="Z31" s="31"/>
      <c r="AA31" s="39"/>
      <c r="AB31" s="46"/>
      <c r="AC31" s="20" t="s">
        <v>169</v>
      </c>
      <c r="AD31" s="39"/>
      <c r="AE31" s="39"/>
      <c r="AF31" s="39"/>
    </row>
    <row r="32" hidden="1">
      <c r="A32" s="20" t="s">
        <v>139</v>
      </c>
      <c r="B32" s="20" t="s">
        <v>158</v>
      </c>
      <c r="C32" s="20" t="s">
        <v>159</v>
      </c>
      <c r="D32" s="26" t="s">
        <v>142</v>
      </c>
      <c r="E32" s="27" t="s">
        <v>390</v>
      </c>
      <c r="F32" s="28" t="s">
        <v>391</v>
      </c>
      <c r="G32" s="27" t="s">
        <v>31</v>
      </c>
      <c r="H32" s="29">
        <f>IFERROR(__xludf.DUMMYFUNCTION("IF(ISDATE(S32), DATEDIF(S32, TODAY(), ""Y""), """")"),22.0)</f>
        <v>22</v>
      </c>
      <c r="I32" s="27" t="s">
        <v>392</v>
      </c>
      <c r="J32" s="27" t="s">
        <v>188</v>
      </c>
      <c r="K32" s="31">
        <v>5.07744628E8</v>
      </c>
      <c r="L32" s="27" t="s">
        <v>189</v>
      </c>
      <c r="M32" s="27" t="s">
        <v>393</v>
      </c>
      <c r="N32" s="27" t="s">
        <v>44</v>
      </c>
      <c r="O32" s="27"/>
      <c r="P32" s="31"/>
      <c r="Q32" s="27" t="s">
        <v>44</v>
      </c>
      <c r="R32" s="27">
        <v>2.1409412E8</v>
      </c>
      <c r="S32" s="32">
        <v>37727.0</v>
      </c>
      <c r="T32" s="27" t="s">
        <v>394</v>
      </c>
      <c r="U32" s="27">
        <v>44068.0</v>
      </c>
      <c r="V32" s="27" t="s">
        <v>395</v>
      </c>
      <c r="W32" s="27">
        <v>5.04001484E8</v>
      </c>
      <c r="X32" s="27" t="s">
        <v>57</v>
      </c>
      <c r="Y32" s="27">
        <v>5.07744628E8</v>
      </c>
      <c r="Z32" s="26" t="s">
        <v>43</v>
      </c>
      <c r="AA32" s="34">
        <v>8.0</v>
      </c>
      <c r="AB32" s="35"/>
      <c r="AC32" s="35" t="s">
        <v>169</v>
      </c>
      <c r="AD32" s="31"/>
      <c r="AE32" s="31"/>
      <c r="AF32" s="31"/>
    </row>
    <row r="33" hidden="1">
      <c r="A33" s="20" t="s">
        <v>139</v>
      </c>
      <c r="B33" s="25" t="s">
        <v>158</v>
      </c>
      <c r="C33" s="20" t="s">
        <v>159</v>
      </c>
      <c r="D33" s="26" t="s">
        <v>142</v>
      </c>
      <c r="E33" s="64" t="s">
        <v>396</v>
      </c>
      <c r="F33" s="65">
        <v>45844.52908025463</v>
      </c>
      <c r="G33" s="64" t="s">
        <v>90</v>
      </c>
      <c r="H33" s="29">
        <f>IFERROR(__xludf.DUMMYFUNCTION("IF(ISDATE(S33), DATEDIF(S33, TODAY(), ""Y""), """")"),22.0)</f>
        <v>22</v>
      </c>
      <c r="I33" s="64" t="s">
        <v>397</v>
      </c>
      <c r="J33" s="48" t="s">
        <v>188</v>
      </c>
      <c r="K33" s="70" t="s">
        <v>398</v>
      </c>
      <c r="L33" s="39"/>
      <c r="M33" s="64" t="s">
        <v>399</v>
      </c>
      <c r="N33" s="27" t="s">
        <v>44</v>
      </c>
      <c r="O33" s="39"/>
      <c r="P33" s="71">
        <v>45793.0</v>
      </c>
      <c r="Q33" s="39"/>
      <c r="R33" s="66">
        <v>2.1425775E8</v>
      </c>
      <c r="S33" s="68">
        <v>37760.0</v>
      </c>
      <c r="T33" s="64" t="s">
        <v>400</v>
      </c>
      <c r="U33" s="39"/>
      <c r="V33" s="39"/>
      <c r="W33" s="39"/>
      <c r="X33" s="64" t="s">
        <v>301</v>
      </c>
      <c r="Y33" s="70" t="s">
        <v>401</v>
      </c>
      <c r="Z33" s="31"/>
      <c r="AA33" s="39"/>
      <c r="AB33" s="69"/>
      <c r="AC33" s="20" t="s">
        <v>169</v>
      </c>
      <c r="AD33" s="39"/>
      <c r="AE33" s="39"/>
      <c r="AF33" s="39"/>
    </row>
    <row r="34" hidden="1">
      <c r="A34" s="20" t="s">
        <v>139</v>
      </c>
      <c r="B34" s="20" t="s">
        <v>158</v>
      </c>
      <c r="C34" s="20" t="s">
        <v>159</v>
      </c>
      <c r="D34" s="26" t="s">
        <v>142</v>
      </c>
      <c r="E34" s="27" t="s">
        <v>402</v>
      </c>
      <c r="F34" s="28" t="s">
        <v>262</v>
      </c>
      <c r="G34" s="27" t="s">
        <v>90</v>
      </c>
      <c r="H34" s="29">
        <f>IFERROR(__xludf.DUMMYFUNCTION("IF(ISDATE(S34), DATEDIF(S34, TODAY(), ""Y""), """")"),22.0)</f>
        <v>22</v>
      </c>
      <c r="I34" s="27" t="s">
        <v>403</v>
      </c>
      <c r="J34" s="27" t="s">
        <v>404</v>
      </c>
      <c r="K34" s="31">
        <v>5.26405583E8</v>
      </c>
      <c r="L34" s="27" t="s">
        <v>92</v>
      </c>
      <c r="M34" s="27" t="s">
        <v>405</v>
      </c>
      <c r="N34" s="27" t="s">
        <v>44</v>
      </c>
      <c r="O34" s="27"/>
      <c r="P34" s="31"/>
      <c r="Q34" s="27" t="s">
        <v>36</v>
      </c>
      <c r="R34" s="27">
        <v>2.1438749E8</v>
      </c>
      <c r="S34" s="32">
        <v>37862.0</v>
      </c>
      <c r="T34" s="27" t="s">
        <v>406</v>
      </c>
      <c r="U34" s="27">
        <v>44054.0</v>
      </c>
      <c r="V34" s="27" t="s">
        <v>407</v>
      </c>
      <c r="W34" s="27">
        <v>5.06210205E8</v>
      </c>
      <c r="X34" s="27" t="s">
        <v>408</v>
      </c>
      <c r="Y34" s="27">
        <v>5.37678599E8</v>
      </c>
      <c r="Z34" s="26" t="s">
        <v>43</v>
      </c>
      <c r="AA34" s="34">
        <v>3.0</v>
      </c>
      <c r="AB34" s="35"/>
      <c r="AC34" s="35" t="s">
        <v>169</v>
      </c>
      <c r="AD34" s="31"/>
      <c r="AE34" s="31"/>
      <c r="AF34" s="31"/>
    </row>
    <row r="35" hidden="1">
      <c r="A35" s="20" t="s">
        <v>139</v>
      </c>
      <c r="B35" s="20" t="s">
        <v>140</v>
      </c>
      <c r="C35" s="25" t="s">
        <v>409</v>
      </c>
      <c r="D35" s="26" t="s">
        <v>142</v>
      </c>
      <c r="E35" s="40" t="s">
        <v>410</v>
      </c>
      <c r="F35" s="41">
        <v>45648.38506359953</v>
      </c>
      <c r="G35" s="40" t="s">
        <v>90</v>
      </c>
      <c r="H35" s="29">
        <f>IFERROR(__xludf.DUMMYFUNCTION("IF(ISDATE(S35), DATEDIF(S35, TODAY(), ""Y""), """")"),21.0)</f>
        <v>21</v>
      </c>
      <c r="I35" s="40" t="s">
        <v>411</v>
      </c>
      <c r="J35" s="42" t="s">
        <v>412</v>
      </c>
      <c r="K35" s="43" t="s">
        <v>413</v>
      </c>
      <c r="L35" s="39"/>
      <c r="M35" s="72" t="s">
        <v>414</v>
      </c>
      <c r="N35" s="48" t="s">
        <v>36</v>
      </c>
      <c r="O35" s="39"/>
      <c r="P35" s="40"/>
      <c r="Q35" s="25" t="s">
        <v>36</v>
      </c>
      <c r="R35" s="40">
        <v>2.14417735E8</v>
      </c>
      <c r="S35" s="45">
        <v>38271.0</v>
      </c>
      <c r="T35" s="40" t="s">
        <v>415</v>
      </c>
      <c r="U35" s="39"/>
      <c r="V35" s="39"/>
      <c r="W35" s="39"/>
      <c r="X35" s="40" t="s">
        <v>416</v>
      </c>
      <c r="Y35" s="43" t="s">
        <v>417</v>
      </c>
      <c r="Z35" s="31"/>
      <c r="AA35" s="39"/>
      <c r="AB35" s="46" t="s">
        <v>418</v>
      </c>
      <c r="AC35" s="20" t="s">
        <v>169</v>
      </c>
      <c r="AD35" s="39"/>
      <c r="AE35" s="39"/>
      <c r="AF35" s="39"/>
    </row>
    <row r="36" hidden="1">
      <c r="A36" s="20" t="s">
        <v>139</v>
      </c>
      <c r="B36" s="20" t="s">
        <v>158</v>
      </c>
      <c r="C36" s="20" t="s">
        <v>159</v>
      </c>
      <c r="D36" s="26" t="s">
        <v>142</v>
      </c>
      <c r="E36" s="27" t="s">
        <v>419</v>
      </c>
      <c r="F36" s="28" t="s">
        <v>420</v>
      </c>
      <c r="G36" s="27" t="s">
        <v>31</v>
      </c>
      <c r="H36" s="29">
        <f>IFERROR(__xludf.DUMMYFUNCTION("IF(ISDATE(S36), DATEDIF(S36, TODAY(), ""Y""), """")"),22.0)</f>
        <v>22</v>
      </c>
      <c r="I36" s="27" t="s">
        <v>421</v>
      </c>
      <c r="J36" s="27" t="s">
        <v>422</v>
      </c>
      <c r="K36" s="31">
        <v>5.47728501E8</v>
      </c>
      <c r="L36" s="27" t="s">
        <v>423</v>
      </c>
      <c r="M36" s="27" t="s">
        <v>424</v>
      </c>
      <c r="N36" s="27" t="s">
        <v>44</v>
      </c>
      <c r="O36" s="27"/>
      <c r="P36" s="31"/>
      <c r="Q36" s="27" t="s">
        <v>36</v>
      </c>
      <c r="R36" s="27">
        <v>2.14459992E8</v>
      </c>
      <c r="S36" s="32">
        <v>37948.0</v>
      </c>
      <c r="T36" s="27" t="s">
        <v>425</v>
      </c>
      <c r="U36" s="27">
        <v>44075.0</v>
      </c>
      <c r="V36" s="27" t="s">
        <v>426</v>
      </c>
      <c r="W36" s="27">
        <v>5.2343335E7</v>
      </c>
      <c r="X36" s="27" t="s">
        <v>427</v>
      </c>
      <c r="Y36" s="27">
        <v>5.47728501E8</v>
      </c>
      <c r="Z36" s="26" t="s">
        <v>168</v>
      </c>
      <c r="AA36" s="34">
        <v>3.0</v>
      </c>
      <c r="AB36" s="35"/>
      <c r="AC36" s="35" t="s">
        <v>169</v>
      </c>
      <c r="AD36" s="31"/>
      <c r="AE36" s="31"/>
      <c r="AF36" s="31"/>
    </row>
    <row r="37" hidden="1">
      <c r="A37" s="20" t="s">
        <v>139</v>
      </c>
      <c r="B37" s="25" t="s">
        <v>158</v>
      </c>
      <c r="C37" s="20" t="s">
        <v>159</v>
      </c>
      <c r="D37" s="26" t="s">
        <v>142</v>
      </c>
      <c r="E37" s="40" t="s">
        <v>428</v>
      </c>
      <c r="F37" s="41">
        <v>45600.979008738424</v>
      </c>
      <c r="G37" s="40" t="s">
        <v>31</v>
      </c>
      <c r="H37" s="29">
        <f>IFERROR(__xludf.DUMMYFUNCTION("IF(ISDATE(S37), DATEDIF(S37, TODAY(), ""Y""), """")"),22.0)</f>
        <v>22</v>
      </c>
      <c r="I37" s="40" t="s">
        <v>429</v>
      </c>
      <c r="J37" s="42" t="s">
        <v>430</v>
      </c>
      <c r="K37" s="43" t="s">
        <v>431</v>
      </c>
      <c r="L37" s="39"/>
      <c r="M37" s="40" t="s">
        <v>432</v>
      </c>
      <c r="N37" s="48" t="s">
        <v>44</v>
      </c>
      <c r="O37" s="39"/>
      <c r="P37" s="40"/>
      <c r="Q37" s="39"/>
      <c r="R37" s="40">
        <v>2.14542557E8</v>
      </c>
      <c r="S37" s="45">
        <v>37955.0</v>
      </c>
      <c r="T37" s="40" t="s">
        <v>259</v>
      </c>
      <c r="U37" s="39"/>
      <c r="V37" s="39"/>
      <c r="W37" s="39"/>
      <c r="X37" s="40" t="s">
        <v>57</v>
      </c>
      <c r="Y37" s="43" t="s">
        <v>433</v>
      </c>
      <c r="Z37" s="31"/>
      <c r="AA37" s="39"/>
      <c r="AB37" s="46"/>
      <c r="AC37" s="20" t="s">
        <v>169</v>
      </c>
      <c r="AD37" s="39"/>
      <c r="AE37" s="39"/>
      <c r="AF37" s="39"/>
    </row>
    <row r="38" hidden="1">
      <c r="A38" s="20" t="s">
        <v>139</v>
      </c>
      <c r="B38" s="20" t="s">
        <v>140</v>
      </c>
      <c r="C38" s="25" t="s">
        <v>159</v>
      </c>
      <c r="D38" s="26" t="s">
        <v>142</v>
      </c>
      <c r="E38" s="64" t="s">
        <v>434</v>
      </c>
      <c r="F38" s="65">
        <v>45855.087266539354</v>
      </c>
      <c r="G38" s="64" t="s">
        <v>31</v>
      </c>
      <c r="H38" s="29">
        <f>IFERROR(__xludf.DUMMYFUNCTION("IF(ISDATE(S38), DATEDIF(S38, TODAY(), ""Y""), """")"),21.0)</f>
        <v>21</v>
      </c>
      <c r="I38" s="64" t="s">
        <v>435</v>
      </c>
      <c r="J38" s="48" t="s">
        <v>436</v>
      </c>
      <c r="K38" s="70" t="s">
        <v>437</v>
      </c>
      <c r="L38" s="39"/>
      <c r="M38" s="64" t="s">
        <v>438</v>
      </c>
      <c r="N38" s="48" t="s">
        <v>36</v>
      </c>
      <c r="O38" s="39"/>
      <c r="P38" s="71"/>
      <c r="Q38" s="25" t="s">
        <v>36</v>
      </c>
      <c r="R38" s="66">
        <v>2.14619165E8</v>
      </c>
      <c r="S38" s="68">
        <v>38257.0</v>
      </c>
      <c r="T38" s="64" t="s">
        <v>439</v>
      </c>
      <c r="U38" s="39"/>
      <c r="V38" s="39"/>
      <c r="W38" s="39"/>
      <c r="X38" s="64" t="s">
        <v>440</v>
      </c>
      <c r="Y38" s="70" t="s">
        <v>441</v>
      </c>
      <c r="Z38" s="31"/>
      <c r="AA38" s="39"/>
      <c r="AB38" s="69" t="s">
        <v>442</v>
      </c>
      <c r="AC38" s="20" t="s">
        <v>169</v>
      </c>
      <c r="AD38" s="39"/>
      <c r="AE38" s="39"/>
      <c r="AF38" s="39"/>
    </row>
    <row r="39" hidden="1">
      <c r="A39" s="20" t="s">
        <v>139</v>
      </c>
      <c r="B39" s="25" t="s">
        <v>158</v>
      </c>
      <c r="C39" s="20" t="s">
        <v>159</v>
      </c>
      <c r="D39" s="26" t="s">
        <v>142</v>
      </c>
      <c r="E39" s="40" t="s">
        <v>443</v>
      </c>
      <c r="F39" s="41">
        <v>45541.795338993055</v>
      </c>
      <c r="G39" s="40" t="s">
        <v>31</v>
      </c>
      <c r="H39" s="29">
        <f>IFERROR(__xludf.DUMMYFUNCTION("IF(ISDATE(S39), DATEDIF(S39, TODAY(), ""Y""), """")"),21.0)</f>
        <v>21</v>
      </c>
      <c r="I39" s="40" t="s">
        <v>444</v>
      </c>
      <c r="J39" s="42" t="s">
        <v>445</v>
      </c>
      <c r="K39" s="47">
        <v>5.23074749E8</v>
      </c>
      <c r="L39" s="39"/>
      <c r="M39" s="40" t="s">
        <v>446</v>
      </c>
      <c r="N39" s="48" t="s">
        <v>44</v>
      </c>
      <c r="O39" s="39"/>
      <c r="P39" s="40"/>
      <c r="Q39" s="39"/>
      <c r="R39" s="40">
        <v>2.14815599E8</v>
      </c>
      <c r="S39" s="45">
        <v>38301.0</v>
      </c>
      <c r="T39" s="40" t="s">
        <v>447</v>
      </c>
      <c r="U39" s="39"/>
      <c r="V39" s="39"/>
      <c r="W39" s="39"/>
      <c r="X39" s="40" t="s">
        <v>448</v>
      </c>
      <c r="Y39" s="40" t="s">
        <v>449</v>
      </c>
      <c r="Z39" s="31"/>
      <c r="AA39" s="39"/>
      <c r="AB39" s="46"/>
      <c r="AC39" s="20" t="s">
        <v>169</v>
      </c>
      <c r="AD39" s="39"/>
      <c r="AE39" s="39"/>
      <c r="AF39" s="39"/>
    </row>
    <row r="40" hidden="1">
      <c r="A40" s="20" t="s">
        <v>139</v>
      </c>
      <c r="B40" s="20" t="s">
        <v>140</v>
      </c>
      <c r="C40" s="20" t="s">
        <v>238</v>
      </c>
      <c r="D40" s="26" t="s">
        <v>142</v>
      </c>
      <c r="E40" s="27" t="s">
        <v>450</v>
      </c>
      <c r="F40" s="28">
        <v>45881.0</v>
      </c>
      <c r="G40" s="27" t="s">
        <v>31</v>
      </c>
      <c r="H40" s="29">
        <f>IFERROR(__xludf.DUMMYFUNCTION("IF(ISDATE(S40), DATEDIF(S40, TODAY(), ""Y""), """")"),20.0)</f>
        <v>20</v>
      </c>
      <c r="I40" s="27" t="s">
        <v>451</v>
      </c>
      <c r="J40" s="27" t="s">
        <v>452</v>
      </c>
      <c r="K40" s="30" t="s">
        <v>453</v>
      </c>
      <c r="L40" s="27" t="s">
        <v>454</v>
      </c>
      <c r="M40" s="27" t="s">
        <v>455</v>
      </c>
      <c r="N40" s="27" t="s">
        <v>36</v>
      </c>
      <c r="O40" s="27" t="s">
        <v>456</v>
      </c>
      <c r="P40" s="31"/>
      <c r="Q40" s="27" t="s">
        <v>457</v>
      </c>
      <c r="R40" s="27">
        <v>2.14883571E8</v>
      </c>
      <c r="S40" s="32">
        <v>38473.0</v>
      </c>
      <c r="T40" s="27" t="s">
        <v>38</v>
      </c>
      <c r="U40" s="27" t="s">
        <v>458</v>
      </c>
      <c r="V40" s="27" t="s">
        <v>459</v>
      </c>
      <c r="W40" s="33" t="s">
        <v>460</v>
      </c>
      <c r="X40" s="27" t="s">
        <v>461</v>
      </c>
      <c r="Y40" s="33" t="s">
        <v>453</v>
      </c>
      <c r="Z40" s="26" t="s">
        <v>43</v>
      </c>
      <c r="AA40" s="34">
        <v>3.0</v>
      </c>
      <c r="AB40" s="35" t="s">
        <v>462</v>
      </c>
      <c r="AC40" s="35" t="s">
        <v>156</v>
      </c>
      <c r="AD40" s="31" t="s">
        <v>463</v>
      </c>
      <c r="AE40" s="31"/>
      <c r="AF40" s="31"/>
    </row>
    <row r="41" hidden="1">
      <c r="A41" s="20" t="s">
        <v>139</v>
      </c>
      <c r="B41" s="20" t="s">
        <v>140</v>
      </c>
      <c r="C41" s="25" t="s">
        <v>141</v>
      </c>
      <c r="D41" s="26" t="s">
        <v>142</v>
      </c>
      <c r="E41" s="64" t="s">
        <v>464</v>
      </c>
      <c r="F41" s="65">
        <v>45803.0</v>
      </c>
      <c r="G41" s="64" t="s">
        <v>90</v>
      </c>
      <c r="H41" s="29">
        <f>IFERROR(__xludf.DUMMYFUNCTION("IF(ISDATE(S41), DATEDIF(S41, TODAY(), ""Y""), """")"),19.0)</f>
        <v>19</v>
      </c>
      <c r="I41" s="64" t="s">
        <v>465</v>
      </c>
      <c r="J41" s="48" t="s">
        <v>466</v>
      </c>
      <c r="K41" s="70" t="s">
        <v>467</v>
      </c>
      <c r="L41" s="39"/>
      <c r="M41" s="64" t="s">
        <v>468</v>
      </c>
      <c r="N41" s="48" t="s">
        <v>36</v>
      </c>
      <c r="O41" s="39"/>
      <c r="P41" s="67"/>
      <c r="Q41" s="25" t="s">
        <v>36</v>
      </c>
      <c r="R41" s="66">
        <v>2.14892754E8</v>
      </c>
      <c r="S41" s="68">
        <v>38938.0</v>
      </c>
      <c r="T41" s="64" t="s">
        <v>469</v>
      </c>
      <c r="U41" s="39"/>
      <c r="V41" s="39"/>
      <c r="W41" s="39"/>
      <c r="X41" s="64" t="s">
        <v>470</v>
      </c>
      <c r="Y41" s="70" t="s">
        <v>471</v>
      </c>
      <c r="Z41" s="31"/>
      <c r="AA41" s="39"/>
      <c r="AB41" s="69"/>
      <c r="AC41" s="20" t="s">
        <v>169</v>
      </c>
      <c r="AD41" s="39"/>
      <c r="AE41" s="39"/>
      <c r="AF41" s="39"/>
    </row>
    <row r="42" hidden="1">
      <c r="A42" s="20" t="s">
        <v>139</v>
      </c>
      <c r="B42" s="20" t="s">
        <v>158</v>
      </c>
      <c r="C42" s="20" t="s">
        <v>159</v>
      </c>
      <c r="D42" s="26" t="s">
        <v>142</v>
      </c>
      <c r="E42" s="27" t="s">
        <v>472</v>
      </c>
      <c r="F42" s="28" t="s">
        <v>376</v>
      </c>
      <c r="G42" s="27" t="s">
        <v>90</v>
      </c>
      <c r="H42" s="29">
        <f>IFERROR(__xludf.DUMMYFUNCTION("IF(ISDATE(S42), DATEDIF(S42, TODAY(), ""Y""), """")"),22.0)</f>
        <v>22</v>
      </c>
      <c r="I42" s="27" t="s">
        <v>473</v>
      </c>
      <c r="J42" s="27" t="s">
        <v>474</v>
      </c>
      <c r="K42" s="31">
        <v>5.59605943E8</v>
      </c>
      <c r="L42" s="27" t="s">
        <v>189</v>
      </c>
      <c r="M42" s="27" t="s">
        <v>379</v>
      </c>
      <c r="N42" s="27" t="s">
        <v>44</v>
      </c>
      <c r="O42" s="27"/>
      <c r="P42" s="31"/>
      <c r="Q42" s="27" t="s">
        <v>44</v>
      </c>
      <c r="R42" s="27">
        <v>2.14941619E8</v>
      </c>
      <c r="S42" s="32">
        <v>37997.0</v>
      </c>
      <c r="T42" s="27" t="s">
        <v>475</v>
      </c>
      <c r="U42" s="27">
        <v>43112.0</v>
      </c>
      <c r="V42" s="27" t="s">
        <v>476</v>
      </c>
      <c r="W42" s="27">
        <v>5.59896903E8</v>
      </c>
      <c r="X42" s="27" t="s">
        <v>86</v>
      </c>
      <c r="Y42" s="27">
        <v>5.27906363E8</v>
      </c>
      <c r="Z42" s="26"/>
      <c r="AA42" s="34">
        <v>5.0</v>
      </c>
      <c r="AB42" s="35"/>
      <c r="AC42" s="35" t="s">
        <v>169</v>
      </c>
      <c r="AD42" s="31"/>
      <c r="AE42" s="31"/>
      <c r="AF42" s="31"/>
    </row>
    <row r="43" hidden="1">
      <c r="A43" s="20" t="s">
        <v>139</v>
      </c>
      <c r="B43" s="20" t="s">
        <v>140</v>
      </c>
      <c r="C43" s="25" t="s">
        <v>141</v>
      </c>
      <c r="D43" s="26" t="s">
        <v>142</v>
      </c>
      <c r="E43" s="40" t="s">
        <v>477</v>
      </c>
      <c r="F43" s="41">
        <v>45809.7884546412</v>
      </c>
      <c r="G43" s="40" t="s">
        <v>31</v>
      </c>
      <c r="H43" s="29">
        <f>IFERROR(__xludf.DUMMYFUNCTION("IF(ISDATE(S43), DATEDIF(S43, TODAY(), ""Y""), """")"),20.0)</f>
        <v>20</v>
      </c>
      <c r="I43" s="40" t="s">
        <v>478</v>
      </c>
      <c r="J43" s="42" t="s">
        <v>479</v>
      </c>
      <c r="K43" s="43" t="s">
        <v>480</v>
      </c>
      <c r="L43" s="39"/>
      <c r="M43" s="40" t="s">
        <v>481</v>
      </c>
      <c r="N43" s="48" t="s">
        <v>36</v>
      </c>
      <c r="O43" s="39"/>
      <c r="P43" s="40"/>
      <c r="Q43" s="25" t="s">
        <v>36</v>
      </c>
      <c r="R43" s="40">
        <v>2.15065509E8</v>
      </c>
      <c r="S43" s="45">
        <v>38372.0</v>
      </c>
      <c r="T43" s="40" t="s">
        <v>66</v>
      </c>
      <c r="U43" s="39"/>
      <c r="V43" s="39"/>
      <c r="W43" s="39"/>
      <c r="X43" s="40" t="s">
        <v>482</v>
      </c>
      <c r="Y43" s="43" t="s">
        <v>483</v>
      </c>
      <c r="Z43" s="31"/>
      <c r="AA43" s="39"/>
      <c r="AB43" s="46"/>
      <c r="AC43" s="20" t="s">
        <v>169</v>
      </c>
      <c r="AD43" s="39"/>
      <c r="AE43" s="39"/>
      <c r="AF43" s="39"/>
    </row>
    <row r="44" hidden="1">
      <c r="A44" s="20" t="s">
        <v>139</v>
      </c>
      <c r="B44" s="25" t="s">
        <v>158</v>
      </c>
      <c r="C44" s="20" t="s">
        <v>159</v>
      </c>
      <c r="D44" s="26" t="s">
        <v>142</v>
      </c>
      <c r="E44" s="64" t="s">
        <v>484</v>
      </c>
      <c r="F44" s="65" t="s">
        <v>485</v>
      </c>
      <c r="G44" s="64" t="s">
        <v>31</v>
      </c>
      <c r="H44" s="29">
        <f>IFERROR(__xludf.DUMMYFUNCTION("IF(ISDATE(S44), DATEDIF(S44, TODAY(), ""Y""), """")"),20.0)</f>
        <v>20</v>
      </c>
      <c r="I44" s="64" t="s">
        <v>486</v>
      </c>
      <c r="J44" s="48" t="s">
        <v>487</v>
      </c>
      <c r="K44" s="66" t="s">
        <v>488</v>
      </c>
      <c r="L44" s="39"/>
      <c r="M44" s="64" t="s">
        <v>489</v>
      </c>
      <c r="N44" s="27" t="s">
        <v>44</v>
      </c>
      <c r="O44" s="39"/>
      <c r="P44" s="67" t="s">
        <v>490</v>
      </c>
      <c r="Q44" s="39"/>
      <c r="R44" s="66">
        <v>2.15229311E8</v>
      </c>
      <c r="S44" s="68">
        <v>38484.0</v>
      </c>
      <c r="T44" s="64" t="s">
        <v>38</v>
      </c>
      <c r="U44" s="39"/>
      <c r="V44" s="39"/>
      <c r="W44" s="39"/>
      <c r="X44" s="64" t="s">
        <v>491</v>
      </c>
      <c r="Y44" s="66">
        <v>5.49167676E8</v>
      </c>
      <c r="Z44" s="31"/>
      <c r="AA44" s="39"/>
      <c r="AB44" s="69" t="s">
        <v>492</v>
      </c>
      <c r="AC44" s="20" t="s">
        <v>169</v>
      </c>
      <c r="AD44" s="39"/>
      <c r="AE44" s="39"/>
      <c r="AF44" s="39"/>
    </row>
    <row r="45" hidden="1">
      <c r="A45" s="20" t="s">
        <v>139</v>
      </c>
      <c r="B45" s="20" t="s">
        <v>158</v>
      </c>
      <c r="C45" s="20" t="s">
        <v>159</v>
      </c>
      <c r="D45" s="26" t="s">
        <v>142</v>
      </c>
      <c r="E45" s="27" t="s">
        <v>493</v>
      </c>
      <c r="F45" s="28" t="s">
        <v>494</v>
      </c>
      <c r="G45" s="27" t="s">
        <v>90</v>
      </c>
      <c r="H45" s="29">
        <f>IFERROR(__xludf.DUMMYFUNCTION("IF(ISDATE(S45), DATEDIF(S45, TODAY(), ""Y""), """")"),20.0)</f>
        <v>20</v>
      </c>
      <c r="I45" s="27" t="s">
        <v>495</v>
      </c>
      <c r="J45" s="27" t="s">
        <v>496</v>
      </c>
      <c r="K45" s="31">
        <v>5.49422181E8</v>
      </c>
      <c r="L45" s="27" t="s">
        <v>497</v>
      </c>
      <c r="M45" s="27" t="s">
        <v>498</v>
      </c>
      <c r="N45" s="27" t="s">
        <v>44</v>
      </c>
      <c r="O45" s="27"/>
      <c r="P45" s="31"/>
      <c r="Q45" s="27" t="s">
        <v>36</v>
      </c>
      <c r="R45" s="27">
        <v>2.15243783E8</v>
      </c>
      <c r="S45" s="32">
        <v>38486.0</v>
      </c>
      <c r="T45" s="27" t="s">
        <v>499</v>
      </c>
      <c r="U45" s="27">
        <v>44478.0</v>
      </c>
      <c r="V45" s="27" t="s">
        <v>500</v>
      </c>
      <c r="W45" s="27">
        <v>5.48001087E8</v>
      </c>
      <c r="X45" s="27" t="s">
        <v>501</v>
      </c>
      <c r="Y45" s="27">
        <v>5.49422181E8</v>
      </c>
      <c r="Z45" s="26" t="s">
        <v>43</v>
      </c>
      <c r="AA45" s="34">
        <v>6.0</v>
      </c>
      <c r="AB45" s="35"/>
      <c r="AC45" s="20" t="s">
        <v>169</v>
      </c>
      <c r="AD45" s="31"/>
      <c r="AE45" s="31"/>
      <c r="AF45" s="31"/>
    </row>
    <row r="46" hidden="1">
      <c r="A46" s="20" t="s">
        <v>139</v>
      </c>
      <c r="B46" s="25" t="s">
        <v>158</v>
      </c>
      <c r="C46" s="20" t="s">
        <v>159</v>
      </c>
      <c r="D46" s="26" t="s">
        <v>142</v>
      </c>
      <c r="E46" s="27" t="s">
        <v>502</v>
      </c>
      <c r="F46" s="28">
        <v>45047.0</v>
      </c>
      <c r="G46" s="27" t="s">
        <v>90</v>
      </c>
      <c r="H46" s="29">
        <f>IFERROR(__xludf.DUMMYFUNCTION("IF(ISDATE(S46), DATEDIF(S46, TODAY(), ""Y""), """")"),20.0)</f>
        <v>20</v>
      </c>
      <c r="I46" s="27" t="s">
        <v>503</v>
      </c>
      <c r="J46" s="27" t="s">
        <v>504</v>
      </c>
      <c r="K46" s="31"/>
      <c r="L46" s="27" t="s">
        <v>92</v>
      </c>
      <c r="M46" s="27" t="s">
        <v>505</v>
      </c>
      <c r="N46" s="27" t="s">
        <v>44</v>
      </c>
      <c r="O46" s="27"/>
      <c r="P46" s="31"/>
      <c r="Q46" s="27" t="s">
        <v>36</v>
      </c>
      <c r="R46" s="27">
        <v>2.15279613E8</v>
      </c>
      <c r="S46" s="32">
        <v>38540.0</v>
      </c>
      <c r="T46" s="27" t="s">
        <v>38</v>
      </c>
      <c r="U46" s="27" t="s">
        <v>506</v>
      </c>
      <c r="V46" s="27" t="s">
        <v>507</v>
      </c>
      <c r="W46" s="27">
        <v>5.08109788E8</v>
      </c>
      <c r="X46" s="27" t="s">
        <v>508</v>
      </c>
      <c r="Y46" s="27"/>
      <c r="Z46" s="26" t="s">
        <v>43</v>
      </c>
      <c r="AA46" s="34">
        <v>4.0</v>
      </c>
      <c r="AB46" s="35"/>
      <c r="AC46" s="20" t="s">
        <v>169</v>
      </c>
      <c r="AD46" s="31"/>
      <c r="AE46" s="31"/>
      <c r="AF46" s="31"/>
    </row>
    <row r="47" hidden="1">
      <c r="A47" s="20" t="s">
        <v>139</v>
      </c>
      <c r="B47" s="25" t="s">
        <v>158</v>
      </c>
      <c r="C47" s="20" t="s">
        <v>159</v>
      </c>
      <c r="D47" s="26" t="s">
        <v>142</v>
      </c>
      <c r="E47" s="40" t="s">
        <v>509</v>
      </c>
      <c r="F47" s="41">
        <v>45700.67873678241</v>
      </c>
      <c r="G47" s="40" t="s">
        <v>31</v>
      </c>
      <c r="H47" s="29">
        <f>IFERROR(__xludf.DUMMYFUNCTION("IF(ISDATE(S47), DATEDIF(S47, TODAY(), ""Y""), """")"),20.0)</f>
        <v>20</v>
      </c>
      <c r="I47" s="40" t="s">
        <v>510</v>
      </c>
      <c r="J47" s="42" t="s">
        <v>33</v>
      </c>
      <c r="K47" s="43" t="s">
        <v>511</v>
      </c>
      <c r="L47" s="39"/>
      <c r="M47" s="40" t="s">
        <v>512</v>
      </c>
      <c r="N47" s="27" t="s">
        <v>44</v>
      </c>
      <c r="O47" s="39"/>
      <c r="P47" s="44">
        <v>45642.0</v>
      </c>
      <c r="Q47" s="39"/>
      <c r="R47" s="40">
        <v>2.15352774E8</v>
      </c>
      <c r="S47" s="45">
        <v>38587.0</v>
      </c>
      <c r="T47" s="40" t="s">
        <v>38</v>
      </c>
      <c r="U47" s="39"/>
      <c r="V47" s="39"/>
      <c r="W47" s="39"/>
      <c r="X47" s="40" t="s">
        <v>513</v>
      </c>
      <c r="Y47" s="43" t="s">
        <v>514</v>
      </c>
      <c r="Z47" s="31"/>
      <c r="AA47" s="39"/>
      <c r="AB47" s="46"/>
      <c r="AC47" s="20" t="s">
        <v>169</v>
      </c>
      <c r="AD47" s="39"/>
      <c r="AE47" s="39"/>
      <c r="AF47" s="39"/>
    </row>
    <row r="48" hidden="1">
      <c r="A48" s="20" t="s">
        <v>139</v>
      </c>
      <c r="B48" s="20" t="s">
        <v>140</v>
      </c>
      <c r="C48" s="20" t="s">
        <v>238</v>
      </c>
      <c r="D48" s="26" t="s">
        <v>142</v>
      </c>
      <c r="E48" s="64" t="s">
        <v>515</v>
      </c>
      <c r="F48" s="65">
        <v>45904.0</v>
      </c>
      <c r="G48" s="64" t="s">
        <v>31</v>
      </c>
      <c r="H48" s="29">
        <v>19.0</v>
      </c>
      <c r="I48" s="64" t="s">
        <v>516</v>
      </c>
      <c r="J48" s="48" t="s">
        <v>517</v>
      </c>
      <c r="K48" s="70" t="s">
        <v>518</v>
      </c>
      <c r="L48" s="39" t="s">
        <v>454</v>
      </c>
      <c r="M48" s="64" t="s">
        <v>519</v>
      </c>
      <c r="N48" s="48" t="s">
        <v>44</v>
      </c>
      <c r="O48" s="39"/>
      <c r="P48" s="39" t="s">
        <v>520</v>
      </c>
      <c r="Q48" s="39" t="s">
        <v>36</v>
      </c>
      <c r="R48" s="39">
        <v>2.15579624E8</v>
      </c>
      <c r="S48" s="68">
        <v>38706.0</v>
      </c>
      <c r="T48" s="64" t="s">
        <v>521</v>
      </c>
      <c r="U48" s="39" t="s">
        <v>522</v>
      </c>
      <c r="V48" s="39" t="s">
        <v>523</v>
      </c>
      <c r="W48" s="73" t="s">
        <v>524</v>
      </c>
      <c r="X48" s="64" t="s">
        <v>525</v>
      </c>
      <c r="Y48" s="70" t="s">
        <v>526</v>
      </c>
      <c r="Z48" s="26" t="s">
        <v>43</v>
      </c>
      <c r="AA48" s="25">
        <v>2.0</v>
      </c>
      <c r="AB48" s="69"/>
      <c r="AC48" s="20" t="s">
        <v>156</v>
      </c>
      <c r="AD48" s="74"/>
      <c r="AE48" s="39"/>
      <c r="AF48" s="39"/>
    </row>
    <row r="49" hidden="1">
      <c r="A49" s="20" t="s">
        <v>139</v>
      </c>
      <c r="B49" s="20" t="s">
        <v>158</v>
      </c>
      <c r="C49" s="20" t="s">
        <v>159</v>
      </c>
      <c r="D49" s="26" t="s">
        <v>142</v>
      </c>
      <c r="E49" s="27" t="s">
        <v>527</v>
      </c>
      <c r="F49" s="28" t="s">
        <v>528</v>
      </c>
      <c r="G49" s="27" t="s">
        <v>90</v>
      </c>
      <c r="H49" s="29">
        <f>IFERROR(__xludf.DUMMYFUNCTION("IF(ISDATE(S49), DATEDIF(S49, TODAY(), ""Y""), """")"),20.0)</f>
        <v>20</v>
      </c>
      <c r="I49" s="27" t="s">
        <v>529</v>
      </c>
      <c r="J49" s="27" t="s">
        <v>517</v>
      </c>
      <c r="K49" s="31">
        <v>5.08765407E8</v>
      </c>
      <c r="L49" s="27" t="s">
        <v>103</v>
      </c>
      <c r="M49" s="27" t="s">
        <v>530</v>
      </c>
      <c r="N49" s="27" t="s">
        <v>44</v>
      </c>
      <c r="O49" s="27"/>
      <c r="P49" s="31"/>
      <c r="Q49" s="27" t="s">
        <v>44</v>
      </c>
      <c r="R49" s="27">
        <v>2.1560749E8</v>
      </c>
      <c r="S49" s="32">
        <v>38657.0</v>
      </c>
      <c r="T49" s="27" t="s">
        <v>531</v>
      </c>
      <c r="U49" s="27">
        <v>44204.0</v>
      </c>
      <c r="V49" s="27" t="s">
        <v>183</v>
      </c>
      <c r="W49" s="27">
        <v>5.4749646E8</v>
      </c>
      <c r="X49" s="27" t="s">
        <v>532</v>
      </c>
      <c r="Y49" s="27">
        <v>5.43385574E8</v>
      </c>
      <c r="Z49" s="26" t="s">
        <v>168</v>
      </c>
      <c r="AA49" s="34">
        <v>5.0</v>
      </c>
      <c r="AB49" s="35"/>
      <c r="AC49" s="35" t="s">
        <v>169</v>
      </c>
      <c r="AD49" s="31"/>
      <c r="AE49" s="31"/>
      <c r="AF49" s="31"/>
    </row>
    <row r="50" hidden="1">
      <c r="A50" s="20" t="s">
        <v>139</v>
      </c>
      <c r="B50" s="25" t="s">
        <v>158</v>
      </c>
      <c r="C50" s="20" t="s">
        <v>159</v>
      </c>
      <c r="D50" s="26" t="s">
        <v>142</v>
      </c>
      <c r="E50" s="40" t="s">
        <v>533</v>
      </c>
      <c r="F50" s="41">
        <v>45600.98391703704</v>
      </c>
      <c r="G50" s="40" t="s">
        <v>31</v>
      </c>
      <c r="H50" s="29">
        <f>IFERROR(__xludf.DUMMYFUNCTION("IF(ISDATE(S50), DATEDIF(S50, TODAY(), ""Y""), """")"),20.0)</f>
        <v>20</v>
      </c>
      <c r="I50" s="40" t="s">
        <v>534</v>
      </c>
      <c r="J50" s="42" t="s">
        <v>535</v>
      </c>
      <c r="K50" s="43" t="s">
        <v>536</v>
      </c>
      <c r="L50" s="39"/>
      <c r="M50" s="72" t="s">
        <v>537</v>
      </c>
      <c r="N50" s="48" t="s">
        <v>44</v>
      </c>
      <c r="O50" s="39"/>
      <c r="P50" s="40"/>
      <c r="Q50" s="39"/>
      <c r="R50" s="40">
        <v>2.15657503E8</v>
      </c>
      <c r="S50" s="45">
        <v>38661.0</v>
      </c>
      <c r="T50" s="40" t="s">
        <v>380</v>
      </c>
      <c r="U50" s="39"/>
      <c r="V50" s="39"/>
      <c r="W50" s="39"/>
      <c r="X50" s="40" t="s">
        <v>538</v>
      </c>
      <c r="Y50" s="43" t="s">
        <v>539</v>
      </c>
      <c r="Z50" s="31"/>
      <c r="AA50" s="39"/>
      <c r="AB50" s="46"/>
      <c r="AC50" s="20" t="s">
        <v>169</v>
      </c>
      <c r="AD50" s="39"/>
      <c r="AE50" s="39"/>
      <c r="AF50" s="39"/>
    </row>
    <row r="51" hidden="1">
      <c r="A51" s="49" t="s">
        <v>139</v>
      </c>
      <c r="B51" s="49" t="s">
        <v>140</v>
      </c>
      <c r="C51" s="49" t="s">
        <v>238</v>
      </c>
      <c r="D51" s="50" t="s">
        <v>142</v>
      </c>
      <c r="E51" s="75" t="s">
        <v>540</v>
      </c>
      <c r="F51" s="76">
        <v>45866.0</v>
      </c>
      <c r="G51" s="75" t="s">
        <v>31</v>
      </c>
      <c r="H51" s="53">
        <f>IFERROR(__xludf.DUMMYFUNCTION("IF(ISDATE(S51), DATEDIF(S51, TODAY(), ""Y""), """")"),21.0)</f>
        <v>21</v>
      </c>
      <c r="I51" s="75" t="s">
        <v>541</v>
      </c>
      <c r="J51" s="75" t="s">
        <v>542</v>
      </c>
      <c r="K51" s="61" t="s">
        <v>543</v>
      </c>
      <c r="L51" s="75" t="s">
        <v>544</v>
      </c>
      <c r="M51" s="75" t="s">
        <v>545</v>
      </c>
      <c r="N51" s="75" t="s">
        <v>36</v>
      </c>
      <c r="O51" s="75" t="s">
        <v>546</v>
      </c>
      <c r="P51" s="61"/>
      <c r="Q51" s="75" t="s">
        <v>36</v>
      </c>
      <c r="R51" s="75">
        <v>2.15663683E8</v>
      </c>
      <c r="S51" s="77">
        <v>38119.0</v>
      </c>
      <c r="T51" s="75" t="s">
        <v>547</v>
      </c>
      <c r="U51" s="75" t="s">
        <v>548</v>
      </c>
      <c r="V51" s="75" t="s">
        <v>549</v>
      </c>
      <c r="W51" s="78" t="s">
        <v>550</v>
      </c>
      <c r="X51" s="75" t="s">
        <v>551</v>
      </c>
      <c r="Y51" s="78" t="s">
        <v>552</v>
      </c>
      <c r="Z51" s="50" t="s">
        <v>43</v>
      </c>
      <c r="AA51" s="79">
        <v>4.0</v>
      </c>
      <c r="AB51" s="80"/>
      <c r="AC51" s="80" t="s">
        <v>156</v>
      </c>
      <c r="AD51" s="61"/>
      <c r="AE51" s="61"/>
      <c r="AF51" s="61"/>
    </row>
    <row r="52" hidden="1">
      <c r="A52" s="20" t="s">
        <v>139</v>
      </c>
      <c r="B52" s="20" t="s">
        <v>158</v>
      </c>
      <c r="C52" s="20" t="s">
        <v>159</v>
      </c>
      <c r="D52" s="26" t="s">
        <v>142</v>
      </c>
      <c r="E52" s="27" t="s">
        <v>553</v>
      </c>
      <c r="F52" s="28" t="s">
        <v>554</v>
      </c>
      <c r="G52" s="27" t="s">
        <v>31</v>
      </c>
      <c r="H52" s="29">
        <f>IFERROR(__xludf.DUMMYFUNCTION("IF(ISDATE(S52), DATEDIF(S52, TODAY(), ""Y""), """")"),20.0)</f>
        <v>20</v>
      </c>
      <c r="I52" s="27" t="s">
        <v>555</v>
      </c>
      <c r="J52" s="27" t="s">
        <v>556</v>
      </c>
      <c r="K52" s="31">
        <v>5.86051107E8</v>
      </c>
      <c r="L52" s="27" t="s">
        <v>164</v>
      </c>
      <c r="M52" s="27" t="s">
        <v>557</v>
      </c>
      <c r="N52" s="27" t="s">
        <v>44</v>
      </c>
      <c r="O52" s="27"/>
      <c r="P52" s="31"/>
      <c r="Q52" s="27" t="s">
        <v>558</v>
      </c>
      <c r="R52" s="27">
        <v>2.15700022E8</v>
      </c>
      <c r="S52" s="32">
        <v>38665.0</v>
      </c>
      <c r="T52" s="27" t="s">
        <v>559</v>
      </c>
      <c r="U52" s="27">
        <v>44317.0</v>
      </c>
      <c r="V52" s="27" t="s">
        <v>560</v>
      </c>
      <c r="W52" s="27">
        <v>5.86051108E8</v>
      </c>
      <c r="X52" s="27" t="s">
        <v>333</v>
      </c>
      <c r="Y52" s="27">
        <v>5.43294054E8</v>
      </c>
      <c r="Z52" s="26" t="s">
        <v>43</v>
      </c>
      <c r="AA52" s="34">
        <v>4.0</v>
      </c>
      <c r="AB52" s="35"/>
      <c r="AC52" s="35" t="s">
        <v>169</v>
      </c>
      <c r="AD52" s="31"/>
      <c r="AE52" s="31"/>
      <c r="AF52" s="31"/>
    </row>
    <row r="53" hidden="1">
      <c r="A53" s="20" t="s">
        <v>139</v>
      </c>
      <c r="B53" s="20" t="s">
        <v>158</v>
      </c>
      <c r="C53" s="20" t="s">
        <v>159</v>
      </c>
      <c r="D53" s="26" t="s">
        <v>142</v>
      </c>
      <c r="E53" s="27" t="s">
        <v>561</v>
      </c>
      <c r="F53" s="28" t="s">
        <v>562</v>
      </c>
      <c r="G53" s="27" t="s">
        <v>90</v>
      </c>
      <c r="H53" s="29">
        <f>IFERROR(__xludf.DUMMYFUNCTION("IF(ISDATE(S53), DATEDIF(S53, TODAY(), ""Y""), """")"),20.0)</f>
        <v>20</v>
      </c>
      <c r="I53" s="27" t="s">
        <v>563</v>
      </c>
      <c r="J53" s="27" t="s">
        <v>564</v>
      </c>
      <c r="K53" s="31">
        <v>5.38232147E8</v>
      </c>
      <c r="L53" s="27" t="s">
        <v>92</v>
      </c>
      <c r="M53" s="27" t="s">
        <v>565</v>
      </c>
      <c r="N53" s="27" t="s">
        <v>44</v>
      </c>
      <c r="O53" s="27"/>
      <c r="P53" s="31"/>
      <c r="Q53" s="27" t="s">
        <v>566</v>
      </c>
      <c r="R53" s="27">
        <v>2.15724097E8</v>
      </c>
      <c r="S53" s="32">
        <v>38692.0</v>
      </c>
      <c r="T53" s="27" t="s">
        <v>567</v>
      </c>
      <c r="U53" s="27">
        <v>44109.0</v>
      </c>
      <c r="V53" s="27" t="s">
        <v>55</v>
      </c>
      <c r="W53" s="27">
        <v>5.2339412E8</v>
      </c>
      <c r="X53" s="27" t="s">
        <v>568</v>
      </c>
      <c r="Y53" s="27">
        <v>5.26366006E8</v>
      </c>
      <c r="Z53" s="26" t="s">
        <v>43</v>
      </c>
      <c r="AA53" s="34">
        <v>3.0</v>
      </c>
      <c r="AB53" s="35"/>
      <c r="AC53" s="35" t="s">
        <v>169</v>
      </c>
      <c r="AD53" s="31"/>
      <c r="AE53" s="31"/>
      <c r="AF53" s="31"/>
    </row>
    <row r="54" hidden="1">
      <c r="A54" s="20" t="s">
        <v>139</v>
      </c>
      <c r="B54" s="20" t="s">
        <v>158</v>
      </c>
      <c r="C54" s="20" t="s">
        <v>159</v>
      </c>
      <c r="D54" s="26" t="s">
        <v>142</v>
      </c>
      <c r="E54" s="27" t="s">
        <v>569</v>
      </c>
      <c r="F54" s="28" t="s">
        <v>570</v>
      </c>
      <c r="G54" s="27" t="s">
        <v>90</v>
      </c>
      <c r="H54" s="29">
        <f>IFERROR(__xludf.DUMMYFUNCTION("IF(ISDATE(S54), DATEDIF(S54, TODAY(), ""Y""), """")"),18.0)</f>
        <v>18</v>
      </c>
      <c r="I54" s="27" t="s">
        <v>571</v>
      </c>
      <c r="J54" s="27" t="s">
        <v>572</v>
      </c>
      <c r="K54" s="31" t="s">
        <v>573</v>
      </c>
      <c r="L54" s="27" t="s">
        <v>92</v>
      </c>
      <c r="M54" s="27" t="s">
        <v>574</v>
      </c>
      <c r="N54" s="27" t="s">
        <v>44</v>
      </c>
      <c r="O54" s="27"/>
      <c r="P54" s="31"/>
      <c r="Q54" s="27" t="s">
        <v>36</v>
      </c>
      <c r="R54" s="27">
        <v>2.15836016E8</v>
      </c>
      <c r="S54" s="32">
        <v>39165.0</v>
      </c>
      <c r="T54" s="27"/>
      <c r="U54" s="27" t="s">
        <v>575</v>
      </c>
      <c r="V54" s="27" t="s">
        <v>576</v>
      </c>
      <c r="W54" s="27">
        <v>5.32807692E8</v>
      </c>
      <c r="X54" s="27" t="s">
        <v>577</v>
      </c>
      <c r="Y54" s="27">
        <v>5.07300707E8</v>
      </c>
      <c r="Z54" s="26" t="s">
        <v>168</v>
      </c>
      <c r="AA54" s="34">
        <v>1.0</v>
      </c>
      <c r="AB54" s="35"/>
      <c r="AC54" s="35" t="s">
        <v>169</v>
      </c>
      <c r="AD54" s="31"/>
      <c r="AE54" s="31"/>
      <c r="AF54" s="31"/>
    </row>
    <row r="55" hidden="1">
      <c r="A55" s="20" t="s">
        <v>139</v>
      </c>
      <c r="B55" s="20" t="s">
        <v>140</v>
      </c>
      <c r="C55" s="20" t="s">
        <v>238</v>
      </c>
      <c r="D55" s="26" t="s">
        <v>142</v>
      </c>
      <c r="E55" s="64" t="s">
        <v>578</v>
      </c>
      <c r="F55" s="65">
        <v>45904.0</v>
      </c>
      <c r="G55" s="64" t="s">
        <v>90</v>
      </c>
      <c r="H55" s="29">
        <v>19.0</v>
      </c>
      <c r="I55" s="64" t="s">
        <v>579</v>
      </c>
      <c r="J55" s="48" t="s">
        <v>436</v>
      </c>
      <c r="K55" s="70" t="s">
        <v>580</v>
      </c>
      <c r="L55" s="39" t="s">
        <v>49</v>
      </c>
      <c r="M55" s="64" t="s">
        <v>581</v>
      </c>
      <c r="N55" s="48" t="s">
        <v>36</v>
      </c>
      <c r="O55" s="39" t="s">
        <v>582</v>
      </c>
      <c r="P55" s="39"/>
      <c r="Q55" s="39" t="s">
        <v>36</v>
      </c>
      <c r="R55" s="39">
        <v>2.16171405E8</v>
      </c>
      <c r="S55" s="68">
        <v>38958.0</v>
      </c>
      <c r="T55" s="64" t="s">
        <v>583</v>
      </c>
      <c r="U55" s="39" t="s">
        <v>584</v>
      </c>
      <c r="V55" s="39" t="s">
        <v>585</v>
      </c>
      <c r="W55" s="73" t="s">
        <v>586</v>
      </c>
      <c r="X55" s="64" t="s">
        <v>491</v>
      </c>
      <c r="Y55" s="70" t="s">
        <v>587</v>
      </c>
      <c r="Z55" s="26" t="s">
        <v>168</v>
      </c>
      <c r="AA55" s="25">
        <v>1.0</v>
      </c>
      <c r="AB55" s="69"/>
      <c r="AC55" s="20" t="s">
        <v>169</v>
      </c>
      <c r="AD55" s="74"/>
      <c r="AE55" s="39"/>
      <c r="AF55" s="39"/>
    </row>
    <row r="56" hidden="1">
      <c r="A56" s="20" t="s">
        <v>139</v>
      </c>
      <c r="B56" s="25" t="s">
        <v>158</v>
      </c>
      <c r="C56" s="20" t="s">
        <v>159</v>
      </c>
      <c r="D56" s="26" t="s">
        <v>142</v>
      </c>
      <c r="E56" s="64" t="s">
        <v>588</v>
      </c>
      <c r="F56" s="65">
        <v>44511.0</v>
      </c>
      <c r="G56" s="64" t="s">
        <v>31</v>
      </c>
      <c r="H56" s="29">
        <f>IFERROR(__xludf.DUMMYFUNCTION("IF(ISDATE(S56), DATEDIF(S56, TODAY(), ""Y""), """")"),18.0)</f>
        <v>18</v>
      </c>
      <c r="I56" s="64" t="s">
        <v>589</v>
      </c>
      <c r="J56" s="48" t="s">
        <v>590</v>
      </c>
      <c r="K56" s="66">
        <v>5.02951869E8</v>
      </c>
      <c r="L56" s="39"/>
      <c r="M56" s="64" t="s">
        <v>591</v>
      </c>
      <c r="N56" s="48" t="s">
        <v>44</v>
      </c>
      <c r="O56" s="39"/>
      <c r="P56" s="39"/>
      <c r="Q56" s="39"/>
      <c r="R56" s="66">
        <v>2.16340497E8</v>
      </c>
      <c r="S56" s="68">
        <v>39164.0</v>
      </c>
      <c r="T56" s="64" t="s">
        <v>592</v>
      </c>
      <c r="U56" s="39"/>
      <c r="V56" s="39"/>
      <c r="W56" s="39"/>
      <c r="X56" s="64" t="s">
        <v>593</v>
      </c>
      <c r="Y56" s="66">
        <v>5.32464418E8</v>
      </c>
      <c r="Z56" s="31"/>
      <c r="AA56" s="39"/>
      <c r="AB56" s="69" t="s">
        <v>594</v>
      </c>
      <c r="AC56" s="20" t="s">
        <v>169</v>
      </c>
      <c r="AD56" s="39"/>
      <c r="AE56" s="39"/>
      <c r="AF56" s="39"/>
    </row>
    <row r="57" hidden="1">
      <c r="A57" s="20" t="s">
        <v>139</v>
      </c>
      <c r="B57" s="25" t="s">
        <v>158</v>
      </c>
      <c r="C57" s="20" t="s">
        <v>159</v>
      </c>
      <c r="D57" s="26" t="s">
        <v>142</v>
      </c>
      <c r="E57" s="40" t="s">
        <v>595</v>
      </c>
      <c r="F57" s="41">
        <v>45595.52524274305</v>
      </c>
      <c r="G57" s="40" t="s">
        <v>90</v>
      </c>
      <c r="H57" s="29">
        <f>IFERROR(__xludf.DUMMYFUNCTION("IF(ISDATE(S57), DATEDIF(S57, TODAY(), ""Y""), """")"),21.0)</f>
        <v>21</v>
      </c>
      <c r="I57" s="40" t="s">
        <v>596</v>
      </c>
      <c r="J57" s="42" t="s">
        <v>597</v>
      </c>
      <c r="K57" s="43" t="s">
        <v>598</v>
      </c>
      <c r="L57" s="39"/>
      <c r="M57" s="40" t="s">
        <v>141</v>
      </c>
      <c r="N57" s="48" t="s">
        <v>44</v>
      </c>
      <c r="O57" s="39"/>
      <c r="P57" s="40"/>
      <c r="Q57" s="39"/>
      <c r="R57" s="40">
        <v>2.16402917E8</v>
      </c>
      <c r="S57" s="81">
        <v>38170.0</v>
      </c>
      <c r="T57" s="40" t="s">
        <v>599</v>
      </c>
      <c r="U57" s="39"/>
      <c r="V57" s="39"/>
      <c r="W57" s="39"/>
      <c r="X57" s="40" t="s">
        <v>600</v>
      </c>
      <c r="Y57" s="43" t="s">
        <v>601</v>
      </c>
      <c r="Z57" s="31"/>
      <c r="AA57" s="39"/>
      <c r="AB57" s="46"/>
      <c r="AC57" s="20" t="s">
        <v>169</v>
      </c>
      <c r="AD57" s="39"/>
      <c r="AE57" s="39"/>
      <c r="AF57" s="39"/>
    </row>
    <row r="58" hidden="1">
      <c r="A58" s="20" t="s">
        <v>139</v>
      </c>
      <c r="B58" s="20" t="s">
        <v>140</v>
      </c>
      <c r="C58" s="20" t="s">
        <v>238</v>
      </c>
      <c r="D58" s="26" t="s">
        <v>142</v>
      </c>
      <c r="E58" s="64" t="s">
        <v>602</v>
      </c>
      <c r="F58" s="65">
        <v>45854.72339101852</v>
      </c>
      <c r="G58" s="64" t="s">
        <v>31</v>
      </c>
      <c r="H58" s="29">
        <f>IFERROR(__xludf.DUMMYFUNCTION("IF(ISDATE(S58), DATEDIF(S58, TODAY(), ""Y""), """")"),18.0)</f>
        <v>18</v>
      </c>
      <c r="I58" s="64" t="s">
        <v>603</v>
      </c>
      <c r="J58" s="48" t="s">
        <v>180</v>
      </c>
      <c r="K58" s="70" t="s">
        <v>604</v>
      </c>
      <c r="L58" s="39"/>
      <c r="M58" s="64" t="s">
        <v>605</v>
      </c>
      <c r="N58" s="48" t="s">
        <v>36</v>
      </c>
      <c r="O58" s="39"/>
      <c r="P58" s="71"/>
      <c r="Q58" s="25" t="s">
        <v>36</v>
      </c>
      <c r="R58" s="66">
        <v>2.16534768E8</v>
      </c>
      <c r="S58" s="68">
        <v>39119.0</v>
      </c>
      <c r="T58" s="64" t="s">
        <v>66</v>
      </c>
      <c r="U58" s="39"/>
      <c r="V58" s="39"/>
      <c r="W58" s="39"/>
      <c r="X58" s="64" t="s">
        <v>606</v>
      </c>
      <c r="Y58" s="70" t="s">
        <v>607</v>
      </c>
      <c r="Z58" s="31"/>
      <c r="AA58" s="39"/>
      <c r="AB58" s="69"/>
      <c r="AC58" s="20" t="s">
        <v>169</v>
      </c>
      <c r="AD58" s="39"/>
      <c r="AE58" s="39"/>
      <c r="AF58" s="39"/>
    </row>
    <row r="59" hidden="1">
      <c r="A59" s="49" t="s">
        <v>139</v>
      </c>
      <c r="B59" s="49" t="s">
        <v>140</v>
      </c>
      <c r="C59" s="49" t="s">
        <v>238</v>
      </c>
      <c r="D59" s="50" t="s">
        <v>142</v>
      </c>
      <c r="E59" s="49" t="s">
        <v>608</v>
      </c>
      <c r="F59" s="58">
        <v>18.12</v>
      </c>
      <c r="G59" s="49" t="s">
        <v>31</v>
      </c>
      <c r="H59" s="53">
        <f>IFERROR(__xludf.DUMMYFUNCTION("IF(ISDATE(S59), DATEDIF(S59, TODAY(), ""Y""), """")"),18.0)</f>
        <v>18</v>
      </c>
      <c r="I59" s="49" t="s">
        <v>609</v>
      </c>
      <c r="J59" s="49" t="s">
        <v>172</v>
      </c>
      <c r="K59" s="58">
        <v>5.28348831E8</v>
      </c>
      <c r="L59" s="49" t="s">
        <v>610</v>
      </c>
      <c r="M59" s="49" t="s">
        <v>611</v>
      </c>
      <c r="N59" s="49" t="s">
        <v>36</v>
      </c>
      <c r="O59" s="49" t="s">
        <v>612</v>
      </c>
      <c r="P59" s="56"/>
      <c r="Q59" s="49" t="s">
        <v>36</v>
      </c>
      <c r="R59" s="58">
        <v>2.16595165E8</v>
      </c>
      <c r="S59" s="82">
        <v>39373.0</v>
      </c>
      <c r="T59" s="49" t="s">
        <v>613</v>
      </c>
      <c r="U59" s="56"/>
      <c r="V59" s="49" t="s">
        <v>84</v>
      </c>
      <c r="W59" s="58">
        <v>5.23298465E8</v>
      </c>
      <c r="X59" s="49" t="s">
        <v>614</v>
      </c>
      <c r="Y59" s="58">
        <v>5.2231841E8</v>
      </c>
      <c r="Z59" s="50" t="s">
        <v>43</v>
      </c>
      <c r="AA59" s="58">
        <v>5.0</v>
      </c>
      <c r="AB59" s="49"/>
      <c r="AC59" s="49" t="s">
        <v>156</v>
      </c>
      <c r="AD59" s="56"/>
      <c r="AE59" s="56"/>
      <c r="AF59" s="49" t="s">
        <v>615</v>
      </c>
    </row>
    <row r="60" hidden="1">
      <c r="A60" s="20" t="s">
        <v>139</v>
      </c>
      <c r="B60" s="25" t="s">
        <v>158</v>
      </c>
      <c r="C60" s="20" t="s">
        <v>159</v>
      </c>
      <c r="D60" s="26" t="s">
        <v>142</v>
      </c>
      <c r="E60" s="40" t="s">
        <v>616</v>
      </c>
      <c r="F60" s="41">
        <v>45505.620145277775</v>
      </c>
      <c r="G60" s="40" t="s">
        <v>90</v>
      </c>
      <c r="H60" s="29">
        <f>IFERROR(__xludf.DUMMYFUNCTION("IF(ISDATE(S60), DATEDIF(S60, TODAY(), ""Y""), """")"),18.0)</f>
        <v>18</v>
      </c>
      <c r="I60" s="40" t="s">
        <v>617</v>
      </c>
      <c r="J60" s="42" t="s">
        <v>618</v>
      </c>
      <c r="K60" s="47">
        <v>5.25656165E8</v>
      </c>
      <c r="L60" s="39"/>
      <c r="M60" s="40" t="s">
        <v>343</v>
      </c>
      <c r="N60" s="27" t="s">
        <v>44</v>
      </c>
      <c r="O60" s="39"/>
      <c r="P60" s="44" t="s">
        <v>619</v>
      </c>
      <c r="Q60" s="39"/>
      <c r="R60" s="40">
        <v>2.16728329E8</v>
      </c>
      <c r="S60" s="81">
        <v>39239.0</v>
      </c>
      <c r="T60" s="40" t="s">
        <v>620</v>
      </c>
      <c r="U60" s="39"/>
      <c r="V60" s="39"/>
      <c r="W60" s="39"/>
      <c r="X60" s="40" t="s">
        <v>621</v>
      </c>
      <c r="Y60" s="43" t="s">
        <v>622</v>
      </c>
      <c r="Z60" s="31"/>
      <c r="AA60" s="39"/>
      <c r="AB60" s="46" t="s">
        <v>623</v>
      </c>
      <c r="AC60" s="20" t="s">
        <v>169</v>
      </c>
      <c r="AD60" s="39"/>
      <c r="AE60" s="39"/>
      <c r="AF60" s="39"/>
    </row>
    <row r="61" hidden="1">
      <c r="A61" s="20" t="s">
        <v>139</v>
      </c>
      <c r="B61" s="20" t="s">
        <v>140</v>
      </c>
      <c r="C61" s="25" t="s">
        <v>159</v>
      </c>
      <c r="D61" s="26" t="s">
        <v>142</v>
      </c>
      <c r="E61" s="64" t="s">
        <v>624</v>
      </c>
      <c r="F61" s="65">
        <v>45819.0</v>
      </c>
      <c r="G61" s="64" t="s">
        <v>90</v>
      </c>
      <c r="H61" s="29">
        <f>IFERROR(__xludf.DUMMYFUNCTION("IF(ISDATE(S61), DATEDIF(S61, TODAY(), ""Y""), """")"),18.0)</f>
        <v>18</v>
      </c>
      <c r="I61" s="64" t="s">
        <v>625</v>
      </c>
      <c r="J61" s="48" t="s">
        <v>626</v>
      </c>
      <c r="K61" s="70" t="s">
        <v>627</v>
      </c>
      <c r="L61" s="39"/>
      <c r="M61" s="64" t="s">
        <v>628</v>
      </c>
      <c r="N61" s="48" t="s">
        <v>36</v>
      </c>
      <c r="O61" s="39"/>
      <c r="P61" s="67"/>
      <c r="Q61" s="25" t="s">
        <v>36</v>
      </c>
      <c r="R61" s="66">
        <v>2.16870444E8</v>
      </c>
      <c r="S61" s="68">
        <v>39242.0</v>
      </c>
      <c r="T61" s="64" t="s">
        <v>629</v>
      </c>
      <c r="U61" s="39"/>
      <c r="V61" s="39"/>
      <c r="W61" s="39"/>
      <c r="X61" s="64" t="s">
        <v>630</v>
      </c>
      <c r="Y61" s="70" t="s">
        <v>631</v>
      </c>
      <c r="Z61" s="31"/>
      <c r="AA61" s="39"/>
      <c r="AB61" s="69"/>
      <c r="AC61" s="20" t="s">
        <v>169</v>
      </c>
      <c r="AD61" s="39"/>
      <c r="AE61" s="39"/>
      <c r="AF61" s="39"/>
    </row>
    <row r="62" hidden="1">
      <c r="A62" s="20" t="s">
        <v>139</v>
      </c>
      <c r="B62" s="25" t="s">
        <v>158</v>
      </c>
      <c r="C62" s="20" t="s">
        <v>159</v>
      </c>
      <c r="D62" s="26" t="s">
        <v>142</v>
      </c>
      <c r="E62" s="27" t="s">
        <v>632</v>
      </c>
      <c r="F62" s="28">
        <v>44537.0</v>
      </c>
      <c r="G62" s="27" t="s">
        <v>90</v>
      </c>
      <c r="H62" s="29">
        <f>IFERROR(__xludf.DUMMYFUNCTION("IF(ISDATE(S62), DATEDIF(S62, TODAY(), ""Y""), """")"),17.0)</f>
        <v>17</v>
      </c>
      <c r="I62" s="27" t="s">
        <v>633</v>
      </c>
      <c r="J62" s="27" t="s">
        <v>312</v>
      </c>
      <c r="K62" s="31">
        <v>5.87675176E8</v>
      </c>
      <c r="L62" s="27" t="s">
        <v>92</v>
      </c>
      <c r="M62" s="27"/>
      <c r="N62" s="27" t="s">
        <v>44</v>
      </c>
      <c r="O62" s="27"/>
      <c r="P62" s="31"/>
      <c r="Q62" s="27" t="s">
        <v>44</v>
      </c>
      <c r="R62" s="27">
        <v>2.16969618E8</v>
      </c>
      <c r="S62" s="32">
        <v>39571.0</v>
      </c>
      <c r="T62" s="27" t="s">
        <v>634</v>
      </c>
      <c r="U62" s="27">
        <v>43947.0</v>
      </c>
      <c r="V62" s="27" t="s">
        <v>635</v>
      </c>
      <c r="W62" s="27">
        <v>5.49314148E8</v>
      </c>
      <c r="X62" s="27" t="s">
        <v>636</v>
      </c>
      <c r="Y62" s="27">
        <v>5.47675176E8</v>
      </c>
      <c r="Z62" s="26" t="s">
        <v>43</v>
      </c>
      <c r="AA62" s="34">
        <v>2.0</v>
      </c>
      <c r="AB62" s="35"/>
      <c r="AC62" s="20" t="s">
        <v>169</v>
      </c>
      <c r="AD62" s="31"/>
      <c r="AE62" s="31"/>
      <c r="AF62" s="31"/>
    </row>
    <row r="63" hidden="1">
      <c r="A63" s="20" t="s">
        <v>139</v>
      </c>
      <c r="B63" s="20" t="s">
        <v>140</v>
      </c>
      <c r="C63" s="20" t="s">
        <v>238</v>
      </c>
      <c r="D63" s="26" t="s">
        <v>142</v>
      </c>
      <c r="E63" s="64" t="s">
        <v>637</v>
      </c>
      <c r="F63" s="65">
        <v>45839.0</v>
      </c>
      <c r="G63" s="64" t="s">
        <v>31</v>
      </c>
      <c r="H63" s="29">
        <f>IFERROR(__xludf.DUMMYFUNCTION("IF(ISDATE(S63), DATEDIF(S63, TODAY(), ""Y""), """")"),17.0)</f>
        <v>17</v>
      </c>
      <c r="I63" s="64" t="s">
        <v>638</v>
      </c>
      <c r="J63" s="48" t="s">
        <v>639</v>
      </c>
      <c r="K63" s="70" t="s">
        <v>640</v>
      </c>
      <c r="L63" s="39"/>
      <c r="M63" s="64" t="s">
        <v>641</v>
      </c>
      <c r="N63" s="48" t="s">
        <v>36</v>
      </c>
      <c r="O63" s="39"/>
      <c r="P63" s="67"/>
      <c r="Q63" s="25" t="s">
        <v>36</v>
      </c>
      <c r="R63" s="66">
        <v>2.17181106E8</v>
      </c>
      <c r="S63" s="68">
        <v>39475.0</v>
      </c>
      <c r="T63" s="64" t="s">
        <v>642</v>
      </c>
      <c r="U63" s="39"/>
      <c r="V63" s="39"/>
      <c r="W63" s="39"/>
      <c r="X63" s="64" t="s">
        <v>643</v>
      </c>
      <c r="Y63" s="70" t="s">
        <v>644</v>
      </c>
      <c r="Z63" s="31"/>
      <c r="AA63" s="39"/>
      <c r="AB63" s="69" t="s">
        <v>645</v>
      </c>
      <c r="AC63" s="20" t="s">
        <v>169</v>
      </c>
      <c r="AD63" s="39"/>
      <c r="AE63" s="39"/>
      <c r="AF63" s="39"/>
    </row>
    <row r="64" hidden="1">
      <c r="A64" s="20" t="s">
        <v>139</v>
      </c>
      <c r="B64" s="20" t="s">
        <v>158</v>
      </c>
      <c r="C64" s="20" t="s">
        <v>159</v>
      </c>
      <c r="D64" s="26" t="s">
        <v>142</v>
      </c>
      <c r="E64" s="27" t="s">
        <v>646</v>
      </c>
      <c r="F64" s="28" t="s">
        <v>647</v>
      </c>
      <c r="G64" s="27" t="s">
        <v>31</v>
      </c>
      <c r="H64" s="29">
        <f>IFERROR(__xludf.DUMMYFUNCTION("IF(ISDATE(S64), DATEDIF(S64, TODAY(), ""Y""), """")"),18.0)</f>
        <v>18</v>
      </c>
      <c r="I64" s="27" t="s">
        <v>623</v>
      </c>
      <c r="J64" s="27" t="s">
        <v>648</v>
      </c>
      <c r="K64" s="31"/>
      <c r="L64" s="27" t="s">
        <v>649</v>
      </c>
      <c r="M64" s="27" t="s">
        <v>650</v>
      </c>
      <c r="N64" s="27" t="s">
        <v>44</v>
      </c>
      <c r="O64" s="27"/>
      <c r="P64" s="31"/>
      <c r="Q64" s="27" t="s">
        <v>44</v>
      </c>
      <c r="R64" s="27">
        <v>2.1727136E8</v>
      </c>
      <c r="S64" s="32">
        <v>39411.0</v>
      </c>
      <c r="T64" s="27" t="s">
        <v>651</v>
      </c>
      <c r="U64" s="27">
        <v>44623.0</v>
      </c>
      <c r="V64" s="27" t="s">
        <v>652</v>
      </c>
      <c r="W64" s="27">
        <v>5.03231096E8</v>
      </c>
      <c r="X64" s="27" t="s">
        <v>653</v>
      </c>
      <c r="Y64" s="27">
        <v>5.03231246E8</v>
      </c>
      <c r="Z64" s="26"/>
      <c r="AA64" s="34">
        <v>6.0</v>
      </c>
      <c r="AB64" s="35"/>
      <c r="AC64" s="35" t="s">
        <v>169</v>
      </c>
      <c r="AD64" s="31"/>
      <c r="AE64" s="31"/>
      <c r="AF64" s="31"/>
    </row>
    <row r="65" hidden="1">
      <c r="A65" s="20" t="s">
        <v>139</v>
      </c>
      <c r="B65" s="20" t="s">
        <v>140</v>
      </c>
      <c r="C65" s="20" t="s">
        <v>238</v>
      </c>
      <c r="D65" s="26" t="s">
        <v>142</v>
      </c>
      <c r="E65" s="27" t="s">
        <v>654</v>
      </c>
      <c r="F65" s="28">
        <v>45867.0</v>
      </c>
      <c r="G65" s="27" t="s">
        <v>90</v>
      </c>
      <c r="H65" s="29">
        <f>IFERROR(__xludf.DUMMYFUNCTION("IF(ISDATE(S65), DATEDIF(S65, TODAY(), ""Y""), """")"),18.0)</f>
        <v>18</v>
      </c>
      <c r="I65" s="27" t="s">
        <v>655</v>
      </c>
      <c r="J65" s="27" t="s">
        <v>656</v>
      </c>
      <c r="K65" s="30" t="s">
        <v>657</v>
      </c>
      <c r="L65" s="27" t="s">
        <v>92</v>
      </c>
      <c r="M65" s="27" t="s">
        <v>658</v>
      </c>
      <c r="N65" s="27" t="s">
        <v>36</v>
      </c>
      <c r="O65" s="27" t="s">
        <v>659</v>
      </c>
      <c r="P65" s="31"/>
      <c r="Q65" s="27" t="s">
        <v>36</v>
      </c>
      <c r="R65" s="27">
        <v>2.17363134E8</v>
      </c>
      <c r="S65" s="32">
        <v>39313.0</v>
      </c>
      <c r="T65" s="27" t="s">
        <v>38</v>
      </c>
      <c r="U65" s="27" t="s">
        <v>660</v>
      </c>
      <c r="V65" s="27" t="s">
        <v>175</v>
      </c>
      <c r="W65" s="33" t="s">
        <v>661</v>
      </c>
      <c r="X65" s="27" t="s">
        <v>662</v>
      </c>
      <c r="Y65" s="33" t="s">
        <v>663</v>
      </c>
      <c r="Z65" s="26" t="s">
        <v>43</v>
      </c>
      <c r="AA65" s="27">
        <v>6.0</v>
      </c>
      <c r="AB65" s="35" t="s">
        <v>664</v>
      </c>
      <c r="AC65" s="35" t="s">
        <v>169</v>
      </c>
      <c r="AD65" s="31"/>
      <c r="AE65" s="31"/>
      <c r="AF65" s="31"/>
    </row>
    <row r="66" hidden="1">
      <c r="A66" s="20" t="s">
        <v>157</v>
      </c>
      <c r="B66" s="20" t="s">
        <v>158</v>
      </c>
      <c r="C66" s="20" t="s">
        <v>159</v>
      </c>
      <c r="D66" s="26" t="s">
        <v>142</v>
      </c>
      <c r="E66" s="27" t="s">
        <v>665</v>
      </c>
      <c r="F66" s="28" t="s">
        <v>666</v>
      </c>
      <c r="G66" s="27" t="s">
        <v>90</v>
      </c>
      <c r="H66" s="29" t="str">
        <f>IFERROR(__xludf.DUMMYFUNCTION("IF(ISDATE(S66), DATEDIF(S66, TODAY(), ""Y""), """")"),"")</f>
        <v/>
      </c>
      <c r="I66" s="27" t="s">
        <v>667</v>
      </c>
      <c r="J66" s="27" t="s">
        <v>668</v>
      </c>
      <c r="K66" s="31">
        <v>5.06691199E8</v>
      </c>
      <c r="L66" s="27" t="s">
        <v>164</v>
      </c>
      <c r="M66" s="27" t="s">
        <v>669</v>
      </c>
      <c r="N66" s="27" t="s">
        <v>44</v>
      </c>
      <c r="O66" s="27"/>
      <c r="P66" s="31"/>
      <c r="Q66" s="27" t="s">
        <v>44</v>
      </c>
      <c r="R66" s="27">
        <v>2.17505361E8</v>
      </c>
      <c r="S66" s="32"/>
      <c r="T66" s="27" t="s">
        <v>670</v>
      </c>
      <c r="U66" s="27">
        <v>41915.0</v>
      </c>
      <c r="V66" s="27" t="s">
        <v>671</v>
      </c>
      <c r="W66" s="27">
        <v>5.23411585E8</v>
      </c>
      <c r="X66" s="27" t="s">
        <v>672</v>
      </c>
      <c r="Y66" s="27">
        <v>5.23906068E8</v>
      </c>
      <c r="Z66" s="26" t="s">
        <v>43</v>
      </c>
      <c r="AA66" s="34">
        <v>2.0</v>
      </c>
      <c r="AB66" s="35"/>
      <c r="AC66" s="35" t="s">
        <v>169</v>
      </c>
      <c r="AD66" s="31"/>
      <c r="AE66" s="31"/>
      <c r="AF66" s="31"/>
    </row>
    <row r="67" hidden="1">
      <c r="A67" s="20" t="s">
        <v>139</v>
      </c>
      <c r="B67" s="25" t="s">
        <v>158</v>
      </c>
      <c r="C67" s="20" t="s">
        <v>159</v>
      </c>
      <c r="D67" s="26" t="s">
        <v>142</v>
      </c>
      <c r="E67" s="20" t="s">
        <v>673</v>
      </c>
      <c r="F67" s="25" t="s">
        <v>674</v>
      </c>
      <c r="G67" s="20" t="s">
        <v>90</v>
      </c>
      <c r="H67" s="29">
        <f>IFERROR(__xludf.DUMMYFUNCTION("IF(ISDATE(S67), DATEDIF(S67, TODAY(), ""Y""), """")"),17.0)</f>
        <v>17</v>
      </c>
      <c r="I67" s="20" t="s">
        <v>675</v>
      </c>
      <c r="J67" s="20" t="s">
        <v>479</v>
      </c>
      <c r="K67" s="25">
        <v>5.56672791E8</v>
      </c>
      <c r="L67" s="20" t="s">
        <v>103</v>
      </c>
      <c r="M67" s="20" t="s">
        <v>676</v>
      </c>
      <c r="N67" s="20" t="s">
        <v>44</v>
      </c>
      <c r="O67" s="20" t="s">
        <v>677</v>
      </c>
      <c r="P67" s="29" t="s">
        <v>678</v>
      </c>
      <c r="Q67" s="20" t="s">
        <v>679</v>
      </c>
      <c r="R67" s="25">
        <v>2.17600469E8</v>
      </c>
      <c r="S67" s="37">
        <v>39536.0</v>
      </c>
      <c r="T67" s="20" t="s">
        <v>680</v>
      </c>
      <c r="U67" s="25" t="s">
        <v>681</v>
      </c>
      <c r="V67" s="20" t="s">
        <v>682</v>
      </c>
      <c r="W67" s="25">
        <v>5.07119605E8</v>
      </c>
      <c r="X67" s="20" t="s">
        <v>683</v>
      </c>
      <c r="Y67" s="25">
        <v>5.0711962E8</v>
      </c>
      <c r="Z67" s="26" t="s">
        <v>43</v>
      </c>
      <c r="AA67" s="25">
        <v>1.0</v>
      </c>
      <c r="AB67" s="20" t="s">
        <v>684</v>
      </c>
      <c r="AC67" s="20" t="s">
        <v>156</v>
      </c>
      <c r="AD67" s="39"/>
      <c r="AE67" s="39"/>
      <c r="AF67" s="39"/>
    </row>
    <row r="68" hidden="1">
      <c r="A68" s="20" t="s">
        <v>139</v>
      </c>
      <c r="B68" s="25" t="s">
        <v>158</v>
      </c>
      <c r="C68" s="20" t="s">
        <v>159</v>
      </c>
      <c r="D68" s="26" t="s">
        <v>142</v>
      </c>
      <c r="E68" s="20" t="s">
        <v>685</v>
      </c>
      <c r="F68" s="38">
        <v>45237.0</v>
      </c>
      <c r="G68" s="20" t="s">
        <v>31</v>
      </c>
      <c r="H68" s="29">
        <f>IFERROR(__xludf.DUMMYFUNCTION("IF(ISDATE(S68), DATEDIF(S68, TODAY(), ""Y""), """")"),17.0)</f>
        <v>17</v>
      </c>
      <c r="I68" s="39"/>
      <c r="J68" s="20" t="s">
        <v>479</v>
      </c>
      <c r="K68" s="39"/>
      <c r="L68" s="20" t="s">
        <v>103</v>
      </c>
      <c r="M68" s="20" t="s">
        <v>686</v>
      </c>
      <c r="N68" s="20" t="s">
        <v>44</v>
      </c>
      <c r="O68" s="20"/>
      <c r="P68" s="20" t="s">
        <v>687</v>
      </c>
      <c r="Q68" s="20" t="s">
        <v>44</v>
      </c>
      <c r="R68" s="25">
        <v>2.17792951E8</v>
      </c>
      <c r="S68" s="37">
        <v>39779.0</v>
      </c>
      <c r="T68" s="20" t="s">
        <v>688</v>
      </c>
      <c r="U68" s="83">
        <v>44986.0</v>
      </c>
      <c r="V68" s="20" t="s">
        <v>689</v>
      </c>
      <c r="W68" s="25">
        <v>5.43074518E8</v>
      </c>
      <c r="X68" s="20" t="s">
        <v>690</v>
      </c>
      <c r="Y68" s="25">
        <v>5.45209432E8</v>
      </c>
      <c r="Z68" s="26" t="s">
        <v>43</v>
      </c>
      <c r="AA68" s="25">
        <v>3.0</v>
      </c>
      <c r="AB68" s="39"/>
      <c r="AC68" s="20" t="s">
        <v>156</v>
      </c>
      <c r="AD68" s="39"/>
      <c r="AE68" s="39"/>
      <c r="AF68" s="39"/>
    </row>
    <row r="69" hidden="1">
      <c r="A69" s="20" t="s">
        <v>157</v>
      </c>
      <c r="B69" s="20" t="s">
        <v>158</v>
      </c>
      <c r="C69" s="20" t="s">
        <v>159</v>
      </c>
      <c r="D69" s="26" t="s">
        <v>142</v>
      </c>
      <c r="E69" s="27" t="s">
        <v>691</v>
      </c>
      <c r="F69" s="28" t="s">
        <v>692</v>
      </c>
      <c r="G69" s="27" t="s">
        <v>90</v>
      </c>
      <c r="H69" s="29">
        <f>IFERROR(__xludf.DUMMYFUNCTION("IF(ISDATE(S69), DATEDIF(S69, TODAY(), ""Y""), """")"),15.0)</f>
        <v>15</v>
      </c>
      <c r="I69" s="27" t="s">
        <v>693</v>
      </c>
      <c r="J69" s="27" t="s">
        <v>694</v>
      </c>
      <c r="K69" s="31"/>
      <c r="L69" s="27" t="s">
        <v>92</v>
      </c>
      <c r="M69" s="27" t="s">
        <v>695</v>
      </c>
      <c r="N69" s="27" t="s">
        <v>44</v>
      </c>
      <c r="O69" s="27"/>
      <c r="P69" s="31"/>
      <c r="Q69" s="27" t="s">
        <v>44</v>
      </c>
      <c r="R69" s="27">
        <v>2.17802602E8</v>
      </c>
      <c r="S69" s="32">
        <v>40516.0</v>
      </c>
      <c r="T69" s="27" t="s">
        <v>696</v>
      </c>
      <c r="U69" s="27">
        <v>44197.0</v>
      </c>
      <c r="V69" s="27" t="s">
        <v>697</v>
      </c>
      <c r="W69" s="27">
        <v>5.44437531E8</v>
      </c>
      <c r="X69" s="27" t="s">
        <v>333</v>
      </c>
      <c r="Y69" s="27">
        <v>5.45797828E8</v>
      </c>
      <c r="Z69" s="26" t="s">
        <v>43</v>
      </c>
      <c r="AA69" s="34">
        <v>3.0</v>
      </c>
      <c r="AB69" s="35"/>
      <c r="AC69" s="35" t="s">
        <v>169</v>
      </c>
      <c r="AD69" s="31"/>
      <c r="AE69" s="31"/>
      <c r="AF69" s="31"/>
    </row>
    <row r="70" hidden="1">
      <c r="A70" s="84" t="s">
        <v>157</v>
      </c>
      <c r="B70" s="20" t="s">
        <v>158</v>
      </c>
      <c r="C70" s="20" t="s">
        <v>159</v>
      </c>
      <c r="D70" s="29" t="s">
        <v>698</v>
      </c>
      <c r="E70" s="26" t="s">
        <v>699</v>
      </c>
      <c r="F70" s="29" t="s">
        <v>698</v>
      </c>
      <c r="G70" s="85" t="s">
        <v>90</v>
      </c>
      <c r="H70" s="85">
        <v>15.0</v>
      </c>
      <c r="I70" s="85" t="s">
        <v>700</v>
      </c>
      <c r="J70" s="85" t="s">
        <v>701</v>
      </c>
      <c r="K70" s="86" t="s">
        <v>702</v>
      </c>
      <c r="L70" s="85" t="s">
        <v>703</v>
      </c>
      <c r="M70" s="87" t="s">
        <v>704</v>
      </c>
      <c r="N70" s="85" t="s">
        <v>44</v>
      </c>
      <c r="O70" s="88"/>
      <c r="P70" s="87" t="s">
        <v>705</v>
      </c>
      <c r="Q70" s="89" t="s">
        <v>44</v>
      </c>
      <c r="R70" s="85">
        <v>2.17803956E8</v>
      </c>
      <c r="S70" s="89">
        <v>40289.0</v>
      </c>
      <c r="T70" s="85" t="s">
        <v>439</v>
      </c>
      <c r="U70" s="90" t="s">
        <v>706</v>
      </c>
      <c r="V70" s="85" t="s">
        <v>707</v>
      </c>
      <c r="W70" s="90" t="s">
        <v>708</v>
      </c>
      <c r="X70" s="85" t="s">
        <v>709</v>
      </c>
      <c r="Y70" s="90" t="s">
        <v>710</v>
      </c>
      <c r="Z70" s="26" t="s">
        <v>43</v>
      </c>
      <c r="AA70" s="91">
        <v>2.0</v>
      </c>
      <c r="AB70" s="85" t="s">
        <v>711</v>
      </c>
      <c r="AC70" s="87" t="s">
        <v>156</v>
      </c>
      <c r="AD70" s="31"/>
      <c r="AE70" s="31"/>
      <c r="AF70" s="26"/>
    </row>
    <row r="71" hidden="1">
      <c r="A71" s="20" t="s">
        <v>139</v>
      </c>
      <c r="B71" s="20" t="s">
        <v>158</v>
      </c>
      <c r="C71" s="20" t="s">
        <v>159</v>
      </c>
      <c r="D71" s="26" t="s">
        <v>142</v>
      </c>
      <c r="E71" s="27" t="s">
        <v>712</v>
      </c>
      <c r="F71" s="28" t="s">
        <v>713</v>
      </c>
      <c r="G71" s="27" t="s">
        <v>90</v>
      </c>
      <c r="H71" s="29">
        <f>IFERROR(__xludf.DUMMYFUNCTION("IF(ISDATE(S71), DATEDIF(S71, TODAY(), ""Y""), """")"),17.0)</f>
        <v>17</v>
      </c>
      <c r="I71" s="27" t="s">
        <v>714</v>
      </c>
      <c r="J71" s="27" t="s">
        <v>715</v>
      </c>
      <c r="K71" s="31">
        <v>5.0736632E8</v>
      </c>
      <c r="L71" s="27" t="s">
        <v>92</v>
      </c>
      <c r="M71" s="27" t="s">
        <v>716</v>
      </c>
      <c r="N71" s="27" t="s">
        <v>44</v>
      </c>
      <c r="O71" s="27"/>
      <c r="P71" s="31"/>
      <c r="Q71" s="27" t="s">
        <v>44</v>
      </c>
      <c r="R71" s="27">
        <v>2.17832823E8</v>
      </c>
      <c r="S71" s="32">
        <v>39699.0</v>
      </c>
      <c r="T71" s="27" t="s">
        <v>717</v>
      </c>
      <c r="U71" s="27">
        <v>44033.0</v>
      </c>
      <c r="V71" s="27" t="s">
        <v>97</v>
      </c>
      <c r="W71" s="27">
        <v>5.46605352E8</v>
      </c>
      <c r="X71" s="27" t="s">
        <v>718</v>
      </c>
      <c r="Y71" s="27">
        <v>5.46605352E8</v>
      </c>
      <c r="Z71" s="26" t="s">
        <v>43</v>
      </c>
      <c r="AA71" s="34">
        <v>4.0</v>
      </c>
      <c r="AB71" s="35"/>
      <c r="AC71" s="35" t="s">
        <v>169</v>
      </c>
      <c r="AD71" s="31"/>
      <c r="AE71" s="31"/>
      <c r="AF71" s="31"/>
    </row>
    <row r="72" hidden="1">
      <c r="A72" s="20" t="s">
        <v>139</v>
      </c>
      <c r="B72" s="20" t="s">
        <v>158</v>
      </c>
      <c r="C72" s="20" t="s">
        <v>159</v>
      </c>
      <c r="D72" s="26" t="s">
        <v>142</v>
      </c>
      <c r="E72" s="27" t="s">
        <v>719</v>
      </c>
      <c r="F72" s="28">
        <v>44476.0</v>
      </c>
      <c r="G72" s="27" t="s">
        <v>31</v>
      </c>
      <c r="H72" s="29">
        <f>IFERROR(__xludf.DUMMYFUNCTION("IF(ISDATE(S72), DATEDIF(S72, TODAY(), ""Y""), """")"),17.0)</f>
        <v>17</v>
      </c>
      <c r="I72" s="27" t="s">
        <v>720</v>
      </c>
      <c r="J72" s="27" t="s">
        <v>180</v>
      </c>
      <c r="K72" s="31">
        <v>5.49771472E8</v>
      </c>
      <c r="L72" s="27" t="s">
        <v>92</v>
      </c>
      <c r="M72" s="27"/>
      <c r="N72" s="27" t="s">
        <v>44</v>
      </c>
      <c r="O72" s="27"/>
      <c r="P72" s="31"/>
      <c r="Q72" s="27" t="s">
        <v>36</v>
      </c>
      <c r="R72" s="27">
        <v>2.1783356E8</v>
      </c>
      <c r="S72" s="32">
        <v>39741.0</v>
      </c>
      <c r="T72" s="27" t="s">
        <v>259</v>
      </c>
      <c r="U72" s="27">
        <v>44301.0</v>
      </c>
      <c r="V72" s="27" t="s">
        <v>721</v>
      </c>
      <c r="W72" s="27">
        <v>5.497714472E9</v>
      </c>
      <c r="X72" s="27" t="s">
        <v>722</v>
      </c>
      <c r="Y72" s="27">
        <v>5.497714472E9</v>
      </c>
      <c r="Z72" s="26"/>
      <c r="AA72" s="34">
        <v>3.0</v>
      </c>
      <c r="AB72" s="35"/>
      <c r="AC72" s="20" t="s">
        <v>169</v>
      </c>
      <c r="AD72" s="31"/>
      <c r="AE72" s="31"/>
      <c r="AF72" s="31"/>
    </row>
    <row r="73" hidden="1">
      <c r="A73" s="92" t="s">
        <v>139</v>
      </c>
      <c r="B73" s="20" t="s">
        <v>140</v>
      </c>
      <c r="C73" s="25" t="s">
        <v>409</v>
      </c>
      <c r="D73" s="36">
        <v>46002.0</v>
      </c>
      <c r="E73" s="27" t="s">
        <v>723</v>
      </c>
      <c r="F73" s="36">
        <v>45973.0</v>
      </c>
      <c r="G73" s="27" t="s">
        <v>31</v>
      </c>
      <c r="H73" s="29">
        <v>17.0</v>
      </c>
      <c r="I73" s="27" t="s">
        <v>597</v>
      </c>
      <c r="J73" s="27"/>
      <c r="K73" s="27"/>
      <c r="L73" s="27" t="s">
        <v>92</v>
      </c>
      <c r="M73" s="35" t="s">
        <v>724</v>
      </c>
      <c r="N73" s="27" t="s">
        <v>44</v>
      </c>
      <c r="O73" s="26"/>
      <c r="P73" s="27"/>
      <c r="Q73" s="27" t="s">
        <v>725</v>
      </c>
      <c r="R73" s="27">
        <v>2.17839737E8</v>
      </c>
      <c r="S73" s="32">
        <v>39779.0</v>
      </c>
      <c r="T73" s="35" t="s">
        <v>726</v>
      </c>
      <c r="U73" s="27" t="s">
        <v>727</v>
      </c>
      <c r="V73" s="27" t="s">
        <v>169</v>
      </c>
      <c r="W73" s="27" t="s">
        <v>169</v>
      </c>
      <c r="X73" s="27" t="s">
        <v>728</v>
      </c>
      <c r="Y73" s="33" t="s">
        <v>729</v>
      </c>
      <c r="Z73" s="26" t="s">
        <v>730</v>
      </c>
      <c r="AA73" s="27" t="s">
        <v>731</v>
      </c>
      <c r="AB73" s="26" t="s">
        <v>732</v>
      </c>
      <c r="AC73" s="20" t="s">
        <v>156</v>
      </c>
      <c r="AD73" s="31"/>
      <c r="AE73" s="31"/>
      <c r="AF73" s="26"/>
    </row>
    <row r="74" hidden="1">
      <c r="A74" s="20" t="s">
        <v>139</v>
      </c>
      <c r="B74" s="20" t="s">
        <v>158</v>
      </c>
      <c r="C74" s="20" t="s">
        <v>159</v>
      </c>
      <c r="D74" s="26" t="s">
        <v>142</v>
      </c>
      <c r="E74" s="27" t="s">
        <v>733</v>
      </c>
      <c r="F74" s="28" t="s">
        <v>734</v>
      </c>
      <c r="G74" s="27" t="s">
        <v>31</v>
      </c>
      <c r="H74" s="29">
        <f>IFERROR(__xludf.DUMMYFUNCTION("IF(ISDATE(S74), DATEDIF(S74, TODAY(), ""Y""), """")"),17.0)</f>
        <v>17</v>
      </c>
      <c r="I74" s="27" t="s">
        <v>735</v>
      </c>
      <c r="J74" s="27" t="s">
        <v>47</v>
      </c>
      <c r="K74" s="31">
        <v>5.43903979E8</v>
      </c>
      <c r="L74" s="27" t="s">
        <v>92</v>
      </c>
      <c r="M74" s="27" t="s">
        <v>736</v>
      </c>
      <c r="N74" s="27" t="s">
        <v>44</v>
      </c>
      <c r="O74" s="27"/>
      <c r="P74" s="31"/>
      <c r="Q74" s="27" t="s">
        <v>44</v>
      </c>
      <c r="R74" s="27">
        <v>2.18020717E8</v>
      </c>
      <c r="S74" s="32">
        <v>39709.0</v>
      </c>
      <c r="T74" s="27" t="s">
        <v>737</v>
      </c>
      <c r="U74" s="27">
        <v>44267.0</v>
      </c>
      <c r="V74" s="27" t="s">
        <v>738</v>
      </c>
      <c r="W74" s="27">
        <v>5.22720094E8</v>
      </c>
      <c r="X74" s="27" t="s">
        <v>739</v>
      </c>
      <c r="Y74" s="27">
        <v>5.42269744E8</v>
      </c>
      <c r="Z74" s="26" t="s">
        <v>43</v>
      </c>
      <c r="AA74" s="34">
        <v>6.0</v>
      </c>
      <c r="AB74" s="35"/>
      <c r="AC74" s="35" t="s">
        <v>169</v>
      </c>
      <c r="AD74" s="31"/>
      <c r="AE74" s="31"/>
      <c r="AF74" s="31"/>
    </row>
    <row r="75" hidden="1">
      <c r="A75" s="20" t="s">
        <v>139</v>
      </c>
      <c r="B75" s="20" t="s">
        <v>158</v>
      </c>
      <c r="C75" s="20" t="s">
        <v>159</v>
      </c>
      <c r="D75" s="26" t="s">
        <v>142</v>
      </c>
      <c r="E75" s="27" t="s">
        <v>740</v>
      </c>
      <c r="F75" s="28" t="s">
        <v>562</v>
      </c>
      <c r="G75" s="27" t="s">
        <v>90</v>
      </c>
      <c r="H75" s="29">
        <f>IFERROR(__xludf.DUMMYFUNCTION("IF(ISDATE(S75), DATEDIF(S75, TODAY(), ""Y""), """")"),17.0)</f>
        <v>17</v>
      </c>
      <c r="I75" s="27" t="s">
        <v>741</v>
      </c>
      <c r="J75" s="27" t="s">
        <v>742</v>
      </c>
      <c r="K75" s="31">
        <v>5.37955222E8</v>
      </c>
      <c r="L75" s="27" t="s">
        <v>92</v>
      </c>
      <c r="M75" s="27" t="s">
        <v>743</v>
      </c>
      <c r="N75" s="27" t="s">
        <v>44</v>
      </c>
      <c r="O75" s="27"/>
      <c r="P75" s="31"/>
      <c r="Q75" s="27" t="s">
        <v>44</v>
      </c>
      <c r="R75" s="27">
        <v>2.18025641E8</v>
      </c>
      <c r="S75" s="32">
        <v>39679.0</v>
      </c>
      <c r="T75" s="27" t="s">
        <v>744</v>
      </c>
      <c r="U75" s="27">
        <v>43967.0</v>
      </c>
      <c r="V75" s="27" t="s">
        <v>585</v>
      </c>
      <c r="W75" s="27">
        <v>5.2279702E8</v>
      </c>
      <c r="X75" s="27" t="s">
        <v>745</v>
      </c>
      <c r="Y75" s="27">
        <v>5.28741322E8</v>
      </c>
      <c r="Z75" s="26"/>
      <c r="AA75" s="34">
        <v>1.0</v>
      </c>
      <c r="AB75" s="35"/>
      <c r="AC75" s="20" t="s">
        <v>169</v>
      </c>
      <c r="AD75" s="31"/>
      <c r="AE75" s="31"/>
      <c r="AF75" s="31"/>
    </row>
    <row r="76" hidden="1">
      <c r="A76" s="20" t="s">
        <v>157</v>
      </c>
      <c r="B76" s="20" t="s">
        <v>158</v>
      </c>
      <c r="C76" s="20" t="s">
        <v>159</v>
      </c>
      <c r="D76" s="26" t="s">
        <v>142</v>
      </c>
      <c r="E76" s="27" t="s">
        <v>746</v>
      </c>
      <c r="F76" s="28" t="s">
        <v>747</v>
      </c>
      <c r="G76" s="27" t="s">
        <v>90</v>
      </c>
      <c r="H76" s="29">
        <f>IFERROR(__xludf.DUMMYFUNCTION("IF(ISDATE(S76), DATEDIF(S76, TODAY(), ""Y""), """")"),16.0)</f>
        <v>16</v>
      </c>
      <c r="I76" s="27" t="s">
        <v>748</v>
      </c>
      <c r="J76" s="27" t="s">
        <v>668</v>
      </c>
      <c r="K76" s="31">
        <v>5.07510155E8</v>
      </c>
      <c r="L76" s="27" t="s">
        <v>92</v>
      </c>
      <c r="M76" s="27" t="s">
        <v>379</v>
      </c>
      <c r="N76" s="27" t="s">
        <v>44</v>
      </c>
      <c r="O76" s="27"/>
      <c r="P76" s="31"/>
      <c r="Q76" s="27" t="s">
        <v>44</v>
      </c>
      <c r="R76" s="27">
        <v>2.18349686E8</v>
      </c>
      <c r="S76" s="32">
        <v>40086.0</v>
      </c>
      <c r="T76" s="27" t="s">
        <v>749</v>
      </c>
      <c r="U76" s="27">
        <v>44482.0</v>
      </c>
      <c r="V76" s="27" t="s">
        <v>750</v>
      </c>
      <c r="W76" s="27">
        <v>5.37723337E8</v>
      </c>
      <c r="X76" s="27" t="s">
        <v>751</v>
      </c>
      <c r="Y76" s="27">
        <v>5.05386808E8</v>
      </c>
      <c r="Z76" s="26" t="s">
        <v>43</v>
      </c>
      <c r="AA76" s="34">
        <v>2.0</v>
      </c>
      <c r="AB76" s="35"/>
      <c r="AC76" s="20" t="s">
        <v>169</v>
      </c>
      <c r="AD76" s="31"/>
      <c r="AE76" s="31"/>
      <c r="AF76" s="31"/>
    </row>
    <row r="77" hidden="1">
      <c r="A77" s="20" t="s">
        <v>139</v>
      </c>
      <c r="B77" s="25" t="s">
        <v>158</v>
      </c>
      <c r="C77" s="20" t="s">
        <v>159</v>
      </c>
      <c r="D77" s="26" t="s">
        <v>142</v>
      </c>
      <c r="E77" s="26" t="s">
        <v>752</v>
      </c>
      <c r="F77" s="93">
        <v>45770.0</v>
      </c>
      <c r="G77" s="26" t="s">
        <v>90</v>
      </c>
      <c r="H77" s="29">
        <f>IFERROR(__xludf.DUMMYFUNCTION("IF(ISDATE(S77), DATEDIF(S77, TODAY(), ""Y""), """")"),16.0)</f>
        <v>16</v>
      </c>
      <c r="I77" s="26" t="s">
        <v>753</v>
      </c>
      <c r="J77" s="26" t="s">
        <v>754</v>
      </c>
      <c r="K77" s="94" t="s">
        <v>755</v>
      </c>
      <c r="L77" s="26" t="s">
        <v>756</v>
      </c>
      <c r="M77" s="26" t="s">
        <v>757</v>
      </c>
      <c r="N77" s="26" t="s">
        <v>44</v>
      </c>
      <c r="O77" s="31"/>
      <c r="P77" s="94" t="s">
        <v>758</v>
      </c>
      <c r="Q77" s="26" t="s">
        <v>759</v>
      </c>
      <c r="R77" s="29">
        <v>2.18428374E8</v>
      </c>
      <c r="S77" s="95">
        <v>39869.0</v>
      </c>
      <c r="T77" s="29" t="s">
        <v>760</v>
      </c>
      <c r="U77" s="29" t="s">
        <v>761</v>
      </c>
      <c r="V77" s="26" t="s">
        <v>175</v>
      </c>
      <c r="W77" s="94" t="s">
        <v>762</v>
      </c>
      <c r="X77" s="26" t="s">
        <v>763</v>
      </c>
      <c r="Y77" s="94" t="s">
        <v>764</v>
      </c>
      <c r="Z77" s="26" t="s">
        <v>43</v>
      </c>
      <c r="AA77" s="29">
        <v>6.0</v>
      </c>
      <c r="AB77" s="26" t="s">
        <v>765</v>
      </c>
      <c r="AC77" s="20" t="s">
        <v>156</v>
      </c>
      <c r="AD77" s="31"/>
      <c r="AE77" s="31"/>
      <c r="AF77" s="31"/>
    </row>
    <row r="78" hidden="1">
      <c r="A78" s="20" t="s">
        <v>157</v>
      </c>
      <c r="B78" s="20" t="s">
        <v>158</v>
      </c>
      <c r="C78" s="20" t="s">
        <v>159</v>
      </c>
      <c r="D78" s="26" t="s">
        <v>142</v>
      </c>
      <c r="E78" s="27" t="s">
        <v>766</v>
      </c>
      <c r="F78" s="28" t="s">
        <v>767</v>
      </c>
      <c r="G78" s="27" t="s">
        <v>31</v>
      </c>
      <c r="H78" s="29">
        <f>IFERROR(__xludf.DUMMYFUNCTION("IF(ISDATE(S78), DATEDIF(S78, TODAY(), ""Y""), """")"),16.0)</f>
        <v>16</v>
      </c>
      <c r="I78" s="27" t="s">
        <v>768</v>
      </c>
      <c r="J78" s="27" t="s">
        <v>769</v>
      </c>
      <c r="K78" s="31">
        <v>5.09703575E8</v>
      </c>
      <c r="L78" s="27" t="s">
        <v>164</v>
      </c>
      <c r="M78" s="27"/>
      <c r="N78" s="27" t="s">
        <v>44</v>
      </c>
      <c r="O78" s="27"/>
      <c r="P78" s="31"/>
      <c r="Q78" s="27" t="s">
        <v>36</v>
      </c>
      <c r="R78" s="27">
        <v>2.18701563E8</v>
      </c>
      <c r="S78" s="32">
        <v>40085.0</v>
      </c>
      <c r="T78" s="27" t="s">
        <v>770</v>
      </c>
      <c r="U78" s="27">
        <v>44498.0</v>
      </c>
      <c r="V78" s="27" t="s">
        <v>97</v>
      </c>
      <c r="W78" s="27">
        <v>5.09743575E8</v>
      </c>
      <c r="X78" s="27" t="s">
        <v>771</v>
      </c>
      <c r="Y78" s="27">
        <v>5.09703575E8</v>
      </c>
      <c r="Z78" s="26" t="s">
        <v>43</v>
      </c>
      <c r="AA78" s="34">
        <v>7.0</v>
      </c>
      <c r="AB78" s="35"/>
      <c r="AC78" s="35" t="s">
        <v>169</v>
      </c>
      <c r="AD78" s="31"/>
      <c r="AE78" s="31"/>
      <c r="AF78" s="31"/>
    </row>
    <row r="79" hidden="1">
      <c r="A79" s="20" t="s">
        <v>157</v>
      </c>
      <c r="B79" s="20" t="s">
        <v>158</v>
      </c>
      <c r="C79" s="20" t="s">
        <v>159</v>
      </c>
      <c r="D79" s="26" t="s">
        <v>142</v>
      </c>
      <c r="E79" s="27" t="s">
        <v>772</v>
      </c>
      <c r="F79" s="28">
        <v>44412.0</v>
      </c>
      <c r="G79" s="27" t="s">
        <v>31</v>
      </c>
      <c r="H79" s="29">
        <f>IFERROR(__xludf.DUMMYFUNCTION("IF(ISDATE(S79), DATEDIF(S79, TODAY(), ""Y""), """")"),16.0)</f>
        <v>16</v>
      </c>
      <c r="I79" s="27" t="s">
        <v>773</v>
      </c>
      <c r="J79" s="27" t="s">
        <v>694</v>
      </c>
      <c r="K79" s="31">
        <v>5.23980022E8</v>
      </c>
      <c r="L79" s="27" t="s">
        <v>92</v>
      </c>
      <c r="M79" s="27" t="s">
        <v>774</v>
      </c>
      <c r="N79" s="27" t="s">
        <v>44</v>
      </c>
      <c r="O79" s="27"/>
      <c r="P79" s="31"/>
      <c r="Q79" s="27" t="s">
        <v>182</v>
      </c>
      <c r="R79" s="27">
        <v>2.18881456E8</v>
      </c>
      <c r="S79" s="32">
        <v>40094.0</v>
      </c>
      <c r="T79" s="27" t="s">
        <v>38</v>
      </c>
      <c r="U79" s="27">
        <v>43013.0</v>
      </c>
      <c r="V79" s="27" t="s">
        <v>775</v>
      </c>
      <c r="W79" s="27">
        <v>5.43333057E8</v>
      </c>
      <c r="X79" s="27" t="s">
        <v>212</v>
      </c>
      <c r="Y79" s="27">
        <v>5.85670555E8</v>
      </c>
      <c r="Z79" s="26" t="s">
        <v>43</v>
      </c>
      <c r="AA79" s="34">
        <v>4.0</v>
      </c>
      <c r="AB79" s="35"/>
      <c r="AC79" s="35" t="s">
        <v>169</v>
      </c>
      <c r="AD79" s="31"/>
      <c r="AE79" s="31"/>
      <c r="AF79" s="31"/>
    </row>
    <row r="80" hidden="1">
      <c r="A80" s="20" t="s">
        <v>157</v>
      </c>
      <c r="B80" s="20" t="s">
        <v>158</v>
      </c>
      <c r="C80" s="20" t="s">
        <v>159</v>
      </c>
      <c r="D80" s="26" t="s">
        <v>142</v>
      </c>
      <c r="E80" s="27" t="s">
        <v>776</v>
      </c>
      <c r="F80" s="28" t="s">
        <v>777</v>
      </c>
      <c r="G80" s="27" t="s">
        <v>90</v>
      </c>
      <c r="H80" s="29">
        <f>IFERROR(__xludf.DUMMYFUNCTION("IF(ISDATE(S80), DATEDIF(S80, TODAY(), ""Y""), """")"),16.0)</f>
        <v>16</v>
      </c>
      <c r="I80" s="27" t="s">
        <v>778</v>
      </c>
      <c r="J80" s="27" t="s">
        <v>779</v>
      </c>
      <c r="K80" s="31">
        <v>5.22553606E8</v>
      </c>
      <c r="L80" s="27" t="s">
        <v>92</v>
      </c>
      <c r="M80" s="27" t="s">
        <v>780</v>
      </c>
      <c r="N80" s="27" t="s">
        <v>44</v>
      </c>
      <c r="O80" s="27"/>
      <c r="P80" s="31"/>
      <c r="Q80" s="27" t="s">
        <v>182</v>
      </c>
      <c r="R80" s="27">
        <v>2.1891495E8</v>
      </c>
      <c r="S80" s="32">
        <v>40169.0</v>
      </c>
      <c r="T80" s="27" t="s">
        <v>38</v>
      </c>
      <c r="U80" s="27">
        <v>44713.0</v>
      </c>
      <c r="V80" s="27" t="s">
        <v>781</v>
      </c>
      <c r="W80" s="27">
        <v>0.0</v>
      </c>
      <c r="X80" s="27" t="s">
        <v>782</v>
      </c>
      <c r="Y80" s="27">
        <v>5.23288723E8</v>
      </c>
      <c r="Z80" s="26"/>
      <c r="AA80" s="34"/>
      <c r="AB80" s="35"/>
      <c r="AC80" s="20" t="s">
        <v>169</v>
      </c>
      <c r="AD80" s="31"/>
      <c r="AE80" s="31"/>
      <c r="AF80" s="31"/>
    </row>
    <row r="81" hidden="1">
      <c r="A81" s="20" t="s">
        <v>157</v>
      </c>
      <c r="B81" s="20" t="s">
        <v>158</v>
      </c>
      <c r="C81" s="20" t="s">
        <v>159</v>
      </c>
      <c r="D81" s="26" t="s">
        <v>142</v>
      </c>
      <c r="E81" s="27" t="s">
        <v>783</v>
      </c>
      <c r="F81" s="28" t="s">
        <v>784</v>
      </c>
      <c r="G81" s="27" t="s">
        <v>90</v>
      </c>
      <c r="H81" s="29">
        <f>IFERROR(__xludf.DUMMYFUNCTION("IF(ISDATE(S81), DATEDIF(S81, TODAY(), ""Y""), """")"),14.0)</f>
        <v>14</v>
      </c>
      <c r="I81" s="27" t="s">
        <v>785</v>
      </c>
      <c r="J81" s="27" t="s">
        <v>786</v>
      </c>
      <c r="K81" s="31">
        <v>5.2677171E8</v>
      </c>
      <c r="L81" s="27" t="s">
        <v>92</v>
      </c>
      <c r="M81" s="27" t="s">
        <v>787</v>
      </c>
      <c r="N81" s="27" t="s">
        <v>44</v>
      </c>
      <c r="O81" s="27"/>
      <c r="P81" s="31"/>
      <c r="Q81" s="27" t="s">
        <v>36</v>
      </c>
      <c r="R81" s="27">
        <v>2.19227543E8</v>
      </c>
      <c r="S81" s="32">
        <v>40614.0</v>
      </c>
      <c r="T81" s="27" t="s">
        <v>788</v>
      </c>
      <c r="U81" s="27">
        <v>44788.0</v>
      </c>
      <c r="V81" s="27" t="s">
        <v>789</v>
      </c>
      <c r="W81" s="27">
        <v>5.2677119E8</v>
      </c>
      <c r="X81" s="27" t="s">
        <v>790</v>
      </c>
      <c r="Y81" s="27">
        <v>5.26771191E8</v>
      </c>
      <c r="Z81" s="26" t="s">
        <v>43</v>
      </c>
      <c r="AA81" s="34">
        <v>3.0</v>
      </c>
      <c r="AB81" s="35"/>
      <c r="AC81" s="20" t="s">
        <v>169</v>
      </c>
      <c r="AD81" s="31"/>
      <c r="AE81" s="31"/>
      <c r="AF81" s="31"/>
    </row>
    <row r="82" hidden="1">
      <c r="A82" s="20" t="s">
        <v>157</v>
      </c>
      <c r="B82" s="20" t="s">
        <v>158</v>
      </c>
      <c r="C82" s="20" t="s">
        <v>159</v>
      </c>
      <c r="D82" s="37">
        <v>45876.0</v>
      </c>
      <c r="E82" s="20" t="s">
        <v>791</v>
      </c>
      <c r="F82" s="25" t="s">
        <v>792</v>
      </c>
      <c r="G82" s="20" t="s">
        <v>90</v>
      </c>
      <c r="H82" s="29">
        <f>IFERROR(__xludf.DUMMYFUNCTION("IF(ISDATE(S82), DATEDIF(S82, TODAY(), ""Y""), """")"),15.0)</f>
        <v>15</v>
      </c>
      <c r="I82" s="20" t="s">
        <v>793</v>
      </c>
      <c r="J82" s="20" t="s">
        <v>487</v>
      </c>
      <c r="K82" s="25">
        <v>5.3968288E8</v>
      </c>
      <c r="L82" s="20" t="s">
        <v>92</v>
      </c>
      <c r="M82" s="20" t="s">
        <v>405</v>
      </c>
      <c r="N82" s="20" t="s">
        <v>44</v>
      </c>
      <c r="O82" s="20"/>
      <c r="P82" s="20" t="s">
        <v>794</v>
      </c>
      <c r="Q82" s="20" t="s">
        <v>44</v>
      </c>
      <c r="R82" s="25">
        <v>2.19373487E8</v>
      </c>
      <c r="S82" s="37">
        <v>40194.0</v>
      </c>
      <c r="T82" s="20" t="s">
        <v>795</v>
      </c>
      <c r="U82" s="25">
        <v>7.12024</v>
      </c>
      <c r="V82" s="20" t="s">
        <v>796</v>
      </c>
      <c r="W82" s="25">
        <v>5.27226801E8</v>
      </c>
      <c r="X82" s="20" t="s">
        <v>98</v>
      </c>
      <c r="Y82" s="25">
        <v>5.27226802E8</v>
      </c>
      <c r="Z82" s="26" t="s">
        <v>43</v>
      </c>
      <c r="AA82" s="25">
        <v>3.0</v>
      </c>
      <c r="AB82" s="20"/>
      <c r="AC82" s="20" t="s">
        <v>156</v>
      </c>
      <c r="AD82" s="20"/>
      <c r="AE82" s="20"/>
      <c r="AF82" s="20"/>
    </row>
    <row r="83" hidden="1">
      <c r="A83" s="20" t="s">
        <v>157</v>
      </c>
      <c r="B83" s="20" t="s">
        <v>158</v>
      </c>
      <c r="C83" s="20" t="s">
        <v>159</v>
      </c>
      <c r="D83" s="37">
        <v>45847.0</v>
      </c>
      <c r="E83" s="20" t="s">
        <v>797</v>
      </c>
      <c r="F83" s="38">
        <v>44388.0</v>
      </c>
      <c r="G83" s="20" t="s">
        <v>31</v>
      </c>
      <c r="H83" s="29">
        <f>IFERROR(__xludf.DUMMYFUNCTION("IF(ISDATE(S83), DATEDIF(S83, TODAY(), ""Y""), """")"),14.0)</f>
        <v>14</v>
      </c>
      <c r="I83" s="20" t="s">
        <v>798</v>
      </c>
      <c r="J83" s="20" t="s">
        <v>479</v>
      </c>
      <c r="K83" s="25">
        <v>5.56606965E8</v>
      </c>
      <c r="L83" s="20" t="s">
        <v>610</v>
      </c>
      <c r="M83" s="20" t="s">
        <v>799</v>
      </c>
      <c r="N83" s="20" t="s">
        <v>44</v>
      </c>
      <c r="O83" s="39"/>
      <c r="P83" s="39"/>
      <c r="Q83" s="20" t="s">
        <v>44</v>
      </c>
      <c r="R83" s="25">
        <v>2.19486503E8</v>
      </c>
      <c r="S83" s="37">
        <v>40654.0</v>
      </c>
      <c r="T83" s="20" t="s">
        <v>38</v>
      </c>
      <c r="U83" s="38">
        <v>44322.0</v>
      </c>
      <c r="V83" s="20" t="s">
        <v>800</v>
      </c>
      <c r="W83" s="25">
        <v>5.02111644E8</v>
      </c>
      <c r="X83" s="20" t="s">
        <v>801</v>
      </c>
      <c r="Y83" s="25">
        <v>5.06776354E8</v>
      </c>
      <c r="Z83" s="26" t="s">
        <v>43</v>
      </c>
      <c r="AA83" s="25">
        <v>2.0</v>
      </c>
      <c r="AB83" s="20" t="s">
        <v>802</v>
      </c>
      <c r="AC83" s="20" t="s">
        <v>156</v>
      </c>
      <c r="AD83" s="20"/>
      <c r="AE83" s="39"/>
      <c r="AF83" s="39"/>
    </row>
    <row r="84" hidden="1">
      <c r="A84" s="20" t="s">
        <v>157</v>
      </c>
      <c r="B84" s="20" t="s">
        <v>158</v>
      </c>
      <c r="C84" s="20" t="s">
        <v>159</v>
      </c>
      <c r="D84" s="37">
        <v>45845.0</v>
      </c>
      <c r="E84" s="20" t="s">
        <v>803</v>
      </c>
      <c r="F84" s="25" t="s">
        <v>804</v>
      </c>
      <c r="G84" s="20" t="s">
        <v>31</v>
      </c>
      <c r="H84" s="29">
        <f>IFERROR(__xludf.DUMMYFUNCTION("IF(ISDATE(S84), DATEDIF(S84, TODAY(), ""Y""), """")"),7.0)</f>
        <v>7</v>
      </c>
      <c r="I84" s="20" t="s">
        <v>805</v>
      </c>
      <c r="J84" s="20" t="s">
        <v>806</v>
      </c>
      <c r="K84" s="39"/>
      <c r="L84" s="20" t="s">
        <v>92</v>
      </c>
      <c r="M84" s="20" t="s">
        <v>807</v>
      </c>
      <c r="N84" s="20" t="s">
        <v>44</v>
      </c>
      <c r="O84" s="20" t="s">
        <v>808</v>
      </c>
      <c r="P84" s="20" t="s">
        <v>809</v>
      </c>
      <c r="Q84" s="20" t="s">
        <v>44</v>
      </c>
      <c r="R84" s="25">
        <v>2.19489641E8</v>
      </c>
      <c r="S84" s="36">
        <v>43243.0</v>
      </c>
      <c r="T84" s="20" t="s">
        <v>810</v>
      </c>
      <c r="U84" s="96">
        <v>45250.0</v>
      </c>
      <c r="V84" s="20" t="s">
        <v>175</v>
      </c>
      <c r="W84" s="22">
        <v>5.23210025E8</v>
      </c>
      <c r="X84" s="20" t="s">
        <v>728</v>
      </c>
      <c r="Y84" s="25">
        <v>5.05259944E8</v>
      </c>
      <c r="Z84" s="26" t="s">
        <v>43</v>
      </c>
      <c r="AA84" s="25">
        <v>2.0</v>
      </c>
      <c r="AB84" s="20" t="s">
        <v>811</v>
      </c>
      <c r="AC84" s="20" t="s">
        <v>156</v>
      </c>
      <c r="AD84" s="20"/>
      <c r="AE84" s="39"/>
      <c r="AF84" s="39"/>
    </row>
    <row r="85" hidden="1">
      <c r="A85" s="20" t="s">
        <v>157</v>
      </c>
      <c r="B85" s="20" t="s">
        <v>158</v>
      </c>
      <c r="C85" s="20" t="s">
        <v>159</v>
      </c>
      <c r="D85" s="26" t="s">
        <v>142</v>
      </c>
      <c r="E85" s="27" t="s">
        <v>812</v>
      </c>
      <c r="F85" s="28">
        <v>44691.0</v>
      </c>
      <c r="G85" s="27" t="s">
        <v>90</v>
      </c>
      <c r="H85" s="29">
        <f>IFERROR(__xludf.DUMMYFUNCTION("IF(ISDATE(S85), DATEDIF(S85, TODAY(), ""Y""), """")"),15.0)</f>
        <v>15</v>
      </c>
      <c r="I85" s="27" t="s">
        <v>813</v>
      </c>
      <c r="J85" s="27" t="s">
        <v>814</v>
      </c>
      <c r="K85" s="31">
        <v>5.1226055E8</v>
      </c>
      <c r="L85" s="27" t="s">
        <v>92</v>
      </c>
      <c r="M85" s="27"/>
      <c r="N85" s="27" t="s">
        <v>44</v>
      </c>
      <c r="O85" s="27"/>
      <c r="P85" s="31"/>
      <c r="Q85" s="27" t="s">
        <v>36</v>
      </c>
      <c r="R85" s="27">
        <v>2.1957877E8</v>
      </c>
      <c r="S85" s="32">
        <v>40497.0</v>
      </c>
      <c r="T85" s="27" t="s">
        <v>38</v>
      </c>
      <c r="U85" s="27">
        <v>44620.0</v>
      </c>
      <c r="V85" s="27" t="s">
        <v>55</v>
      </c>
      <c r="W85" s="27">
        <v>5.28545579E8</v>
      </c>
      <c r="X85" s="27" t="s">
        <v>260</v>
      </c>
      <c r="Y85" s="27">
        <v>5.28545579E8</v>
      </c>
      <c r="Z85" s="26"/>
      <c r="AA85" s="34">
        <v>4.0</v>
      </c>
      <c r="AB85" s="35"/>
      <c r="AC85" s="20" t="s">
        <v>169</v>
      </c>
      <c r="AD85" s="31"/>
      <c r="AE85" s="31"/>
      <c r="AF85" s="31"/>
    </row>
    <row r="86" hidden="1">
      <c r="A86" s="20" t="s">
        <v>157</v>
      </c>
      <c r="B86" s="20" t="s">
        <v>158</v>
      </c>
      <c r="C86" s="20" t="s">
        <v>159</v>
      </c>
      <c r="D86" s="26" t="s">
        <v>142</v>
      </c>
      <c r="E86" s="27" t="s">
        <v>815</v>
      </c>
      <c r="F86" s="28"/>
      <c r="G86" s="27" t="s">
        <v>31</v>
      </c>
      <c r="H86" s="29">
        <f>IFERROR(__xludf.DUMMYFUNCTION("IF(ISDATE(S86), DATEDIF(S86, TODAY(), ""Y""), """")"),12.0)</f>
        <v>12</v>
      </c>
      <c r="I86" s="27"/>
      <c r="J86" s="27" t="s">
        <v>816</v>
      </c>
      <c r="K86" s="31"/>
      <c r="L86" s="27" t="s">
        <v>92</v>
      </c>
      <c r="M86" s="27" t="s">
        <v>141</v>
      </c>
      <c r="N86" s="27" t="s">
        <v>44</v>
      </c>
      <c r="O86" s="27"/>
      <c r="P86" s="31"/>
      <c r="Q86" s="27" t="s">
        <v>44</v>
      </c>
      <c r="R86" s="27">
        <v>2.19736527E8</v>
      </c>
      <c r="S86" s="32">
        <v>41407.0</v>
      </c>
      <c r="T86" s="27" t="s">
        <v>38</v>
      </c>
      <c r="U86" s="27">
        <v>45008.0</v>
      </c>
      <c r="V86" s="27" t="s">
        <v>817</v>
      </c>
      <c r="W86" s="27">
        <v>5.48888885E8</v>
      </c>
      <c r="X86" s="27" t="s">
        <v>818</v>
      </c>
      <c r="Y86" s="27">
        <v>5.43963333E8</v>
      </c>
      <c r="Z86" s="26" t="s">
        <v>43</v>
      </c>
      <c r="AA86" s="34">
        <v>1.0</v>
      </c>
      <c r="AB86" s="35"/>
      <c r="AC86" s="20" t="s">
        <v>169</v>
      </c>
      <c r="AD86" s="31"/>
      <c r="AE86" s="31"/>
      <c r="AF86" s="31"/>
    </row>
    <row r="87" hidden="1">
      <c r="A87" s="20" t="s">
        <v>139</v>
      </c>
      <c r="B87" s="20" t="s">
        <v>140</v>
      </c>
      <c r="C87" s="20" t="s">
        <v>238</v>
      </c>
      <c r="D87" s="26" t="s">
        <v>142</v>
      </c>
      <c r="E87" s="40" t="s">
        <v>819</v>
      </c>
      <c r="F87" s="41">
        <v>45578.51917510417</v>
      </c>
      <c r="G87" s="40" t="s">
        <v>90</v>
      </c>
      <c r="H87" s="29">
        <f>IFERROR(__xludf.DUMMYFUNCTION("IF(ISDATE(S87), DATEDIF(S87, TODAY(), ""Y""), """")"),24.0)</f>
        <v>24</v>
      </c>
      <c r="I87" s="40" t="s">
        <v>820</v>
      </c>
      <c r="J87" s="42" t="s">
        <v>517</v>
      </c>
      <c r="K87" s="47">
        <v>5.86606868E8</v>
      </c>
      <c r="L87" s="39"/>
      <c r="M87" s="40" t="s">
        <v>821</v>
      </c>
      <c r="N87" s="48" t="s">
        <v>36</v>
      </c>
      <c r="O87" s="39"/>
      <c r="P87" s="40"/>
      <c r="Q87" s="25" t="s">
        <v>36</v>
      </c>
      <c r="R87" s="40">
        <v>3.23884726E8</v>
      </c>
      <c r="S87" s="45">
        <v>37081.0</v>
      </c>
      <c r="T87" s="40" t="s">
        <v>822</v>
      </c>
      <c r="U87" s="39"/>
      <c r="V87" s="39"/>
      <c r="W87" s="39"/>
      <c r="X87" s="40" t="s">
        <v>823</v>
      </c>
      <c r="Y87" s="43" t="s">
        <v>824</v>
      </c>
      <c r="Z87" s="31"/>
      <c r="AA87" s="39"/>
      <c r="AB87" s="46"/>
      <c r="AC87" s="20" t="s">
        <v>169</v>
      </c>
      <c r="AD87" s="39"/>
      <c r="AE87" s="39"/>
      <c r="AF87" s="39"/>
    </row>
    <row r="88" hidden="1">
      <c r="A88" s="20" t="s">
        <v>139</v>
      </c>
      <c r="B88" s="20" t="s">
        <v>140</v>
      </c>
      <c r="C88" s="20" t="s">
        <v>141</v>
      </c>
      <c r="D88" s="26" t="s">
        <v>142</v>
      </c>
      <c r="E88" s="40" t="s">
        <v>825</v>
      </c>
      <c r="F88" s="41">
        <v>45809.728186203705</v>
      </c>
      <c r="G88" s="40" t="s">
        <v>90</v>
      </c>
      <c r="H88" s="29">
        <f>IFERROR(__xludf.DUMMYFUNCTION("IF(ISDATE(S88), DATEDIF(S88, TODAY(), ""Y""), """")"),23.0)</f>
        <v>23</v>
      </c>
      <c r="I88" s="40" t="s">
        <v>826</v>
      </c>
      <c r="J88" s="42" t="s">
        <v>827</v>
      </c>
      <c r="K88" s="43" t="s">
        <v>828</v>
      </c>
      <c r="L88" s="39"/>
      <c r="M88" s="40" t="s">
        <v>238</v>
      </c>
      <c r="N88" s="48" t="s">
        <v>36</v>
      </c>
      <c r="O88" s="39"/>
      <c r="P88" s="40"/>
      <c r="Q88" s="25" t="s">
        <v>36</v>
      </c>
      <c r="R88" s="40">
        <v>3.25155067E8</v>
      </c>
      <c r="S88" s="45">
        <v>37544.0</v>
      </c>
      <c r="T88" s="40" t="s">
        <v>829</v>
      </c>
      <c r="U88" s="39"/>
      <c r="V88" s="39"/>
      <c r="W88" s="39"/>
      <c r="X88" s="40" t="s">
        <v>830</v>
      </c>
      <c r="Y88" s="43" t="s">
        <v>831</v>
      </c>
      <c r="Z88" s="31"/>
      <c r="AA88" s="39"/>
      <c r="AB88" s="46" t="s">
        <v>832</v>
      </c>
      <c r="AC88" s="20" t="s">
        <v>169</v>
      </c>
      <c r="AD88" s="39"/>
      <c r="AE88" s="39"/>
      <c r="AF88" s="39"/>
    </row>
    <row r="89" hidden="1">
      <c r="A89" s="20" t="s">
        <v>139</v>
      </c>
      <c r="B89" s="20" t="s">
        <v>140</v>
      </c>
      <c r="C89" s="20" t="s">
        <v>238</v>
      </c>
      <c r="D89" s="26" t="s">
        <v>142</v>
      </c>
      <c r="E89" s="40" t="s">
        <v>833</v>
      </c>
      <c r="F89" s="41">
        <v>45665.85671811343</v>
      </c>
      <c r="G89" s="40" t="s">
        <v>90</v>
      </c>
      <c r="H89" s="29">
        <f>IFERROR(__xludf.DUMMYFUNCTION("IF(ISDATE(S89), DATEDIF(S89, TODAY(), ""Y""), """")"),22.0)</f>
        <v>22</v>
      </c>
      <c r="I89" s="40" t="s">
        <v>834</v>
      </c>
      <c r="J89" s="42" t="s">
        <v>188</v>
      </c>
      <c r="K89" s="43" t="s">
        <v>835</v>
      </c>
      <c r="L89" s="39"/>
      <c r="M89" s="72" t="s">
        <v>836</v>
      </c>
      <c r="N89" s="48" t="s">
        <v>36</v>
      </c>
      <c r="O89" s="39"/>
      <c r="P89" s="40"/>
      <c r="Q89" s="25" t="s">
        <v>36</v>
      </c>
      <c r="R89" s="40">
        <v>3.25267631E8</v>
      </c>
      <c r="S89" s="45">
        <v>37644.0</v>
      </c>
      <c r="T89" s="40" t="s">
        <v>837</v>
      </c>
      <c r="U89" s="39"/>
      <c r="V89" s="39"/>
      <c r="W89" s="39"/>
      <c r="X89" s="40" t="s">
        <v>838</v>
      </c>
      <c r="Y89" s="43" t="s">
        <v>839</v>
      </c>
      <c r="Z89" s="31"/>
      <c r="AA89" s="39"/>
      <c r="AB89" s="46"/>
      <c r="AC89" s="20" t="s">
        <v>169</v>
      </c>
      <c r="AD89" s="39"/>
      <c r="AE89" s="39"/>
      <c r="AF89" s="39"/>
    </row>
    <row r="90" hidden="1">
      <c r="A90" s="20" t="s">
        <v>157</v>
      </c>
      <c r="B90" s="20" t="s">
        <v>158</v>
      </c>
      <c r="C90" s="20" t="s">
        <v>159</v>
      </c>
      <c r="D90" s="26" t="s">
        <v>142</v>
      </c>
      <c r="E90" s="27" t="s">
        <v>840</v>
      </c>
      <c r="F90" s="28">
        <v>44410.0</v>
      </c>
      <c r="G90" s="27" t="s">
        <v>90</v>
      </c>
      <c r="H90" s="29">
        <f>IFERROR(__xludf.DUMMYFUNCTION("IF(ISDATE(S90), DATEDIF(S90, TODAY(), ""Y""), """")"),15.0)</f>
        <v>15</v>
      </c>
      <c r="I90" s="27" t="s">
        <v>841</v>
      </c>
      <c r="J90" s="27" t="s">
        <v>517</v>
      </c>
      <c r="K90" s="31">
        <v>5.25786563E8</v>
      </c>
      <c r="L90" s="27" t="s">
        <v>92</v>
      </c>
      <c r="M90" s="27" t="s">
        <v>842</v>
      </c>
      <c r="N90" s="27" t="s">
        <v>44</v>
      </c>
      <c r="O90" s="27"/>
      <c r="P90" s="31"/>
      <c r="Q90" s="27" t="s">
        <v>44</v>
      </c>
      <c r="R90" s="27">
        <v>2.19853959E8</v>
      </c>
      <c r="S90" s="32">
        <v>40518.0</v>
      </c>
      <c r="T90" s="27" t="s">
        <v>843</v>
      </c>
      <c r="U90" s="27">
        <v>41397.0</v>
      </c>
      <c r="V90" s="27" t="s">
        <v>635</v>
      </c>
      <c r="W90" s="27">
        <v>5.26957878E8</v>
      </c>
      <c r="X90" s="27" t="s">
        <v>260</v>
      </c>
      <c r="Y90" s="27">
        <v>5.2786563E7</v>
      </c>
      <c r="Z90" s="26" t="s">
        <v>43</v>
      </c>
      <c r="AA90" s="34">
        <v>2.0</v>
      </c>
      <c r="AB90" s="35"/>
      <c r="AC90" s="35" t="s">
        <v>169</v>
      </c>
      <c r="AD90" s="31"/>
      <c r="AE90" s="31"/>
      <c r="AF90" s="31"/>
    </row>
    <row r="91" hidden="1">
      <c r="A91" s="20" t="s">
        <v>139</v>
      </c>
      <c r="B91" s="20" t="s">
        <v>140</v>
      </c>
      <c r="C91" s="20" t="s">
        <v>238</v>
      </c>
      <c r="D91" s="26" t="s">
        <v>142</v>
      </c>
      <c r="E91" s="40" t="s">
        <v>844</v>
      </c>
      <c r="F91" s="65">
        <v>45907.0</v>
      </c>
      <c r="G91" s="64" t="s">
        <v>90</v>
      </c>
      <c r="H91" s="29">
        <v>21.0</v>
      </c>
      <c r="I91" s="64" t="s">
        <v>845</v>
      </c>
      <c r="J91" s="48" t="s">
        <v>846</v>
      </c>
      <c r="K91" s="70" t="s">
        <v>847</v>
      </c>
      <c r="L91" s="39" t="s">
        <v>848</v>
      </c>
      <c r="M91" s="64" t="s">
        <v>849</v>
      </c>
      <c r="N91" s="48" t="s">
        <v>36</v>
      </c>
      <c r="O91" s="39" t="s">
        <v>850</v>
      </c>
      <c r="P91" s="39"/>
      <c r="Q91" s="39" t="s">
        <v>36</v>
      </c>
      <c r="R91" s="39">
        <v>3.25746618E8</v>
      </c>
      <c r="S91" s="68">
        <v>37994.0</v>
      </c>
      <c r="T91" s="64" t="s">
        <v>851</v>
      </c>
      <c r="U91" s="39" t="s">
        <v>852</v>
      </c>
      <c r="V91" s="39" t="s">
        <v>853</v>
      </c>
      <c r="W91" s="73" t="s">
        <v>854</v>
      </c>
      <c r="X91" s="64" t="s">
        <v>855</v>
      </c>
      <c r="Y91" s="70" t="s">
        <v>856</v>
      </c>
      <c r="Z91" s="26" t="s">
        <v>43</v>
      </c>
      <c r="AA91" s="25" t="s">
        <v>857</v>
      </c>
      <c r="AB91" s="69"/>
      <c r="AC91" s="20" t="s">
        <v>169</v>
      </c>
      <c r="AD91" s="74"/>
      <c r="AE91" s="39"/>
      <c r="AF91" s="39"/>
    </row>
    <row r="92" hidden="1">
      <c r="A92" s="20" t="s">
        <v>157</v>
      </c>
      <c r="B92" s="20" t="s">
        <v>158</v>
      </c>
      <c r="C92" s="20" t="s">
        <v>159</v>
      </c>
      <c r="D92" s="26" t="s">
        <v>142</v>
      </c>
      <c r="E92" s="27" t="s">
        <v>858</v>
      </c>
      <c r="F92" s="28" t="s">
        <v>859</v>
      </c>
      <c r="G92" s="27" t="s">
        <v>90</v>
      </c>
      <c r="H92" s="29">
        <f>IFERROR(__xludf.DUMMYFUNCTION("IF(ISDATE(S92), DATEDIF(S92, TODAY(), ""Y""), """")"),14.0)</f>
        <v>14</v>
      </c>
      <c r="I92" s="27" t="s">
        <v>860</v>
      </c>
      <c r="J92" s="27" t="s">
        <v>694</v>
      </c>
      <c r="K92" s="31"/>
      <c r="L92" s="27" t="s">
        <v>92</v>
      </c>
      <c r="M92" s="27" t="s">
        <v>861</v>
      </c>
      <c r="N92" s="27" t="s">
        <v>44</v>
      </c>
      <c r="O92" s="27"/>
      <c r="P92" s="31"/>
      <c r="Q92" s="27" t="s">
        <v>44</v>
      </c>
      <c r="R92" s="27">
        <v>2.20378392E8</v>
      </c>
      <c r="S92" s="32">
        <v>40630.0</v>
      </c>
      <c r="T92" s="27" t="s">
        <v>862</v>
      </c>
      <c r="U92" s="27">
        <v>44463.0</v>
      </c>
      <c r="V92" s="27" t="s">
        <v>863</v>
      </c>
      <c r="W92" s="27">
        <v>5.24236851E8</v>
      </c>
      <c r="X92" s="27" t="s">
        <v>672</v>
      </c>
      <c r="Y92" s="27">
        <v>5.23638345E8</v>
      </c>
      <c r="Z92" s="26" t="s">
        <v>43</v>
      </c>
      <c r="AA92" s="34"/>
      <c r="AB92" s="35"/>
      <c r="AC92" s="20" t="s">
        <v>169</v>
      </c>
      <c r="AD92" s="31"/>
      <c r="AE92" s="31"/>
      <c r="AF92" s="31"/>
    </row>
    <row r="93" hidden="1">
      <c r="A93" s="20" t="s">
        <v>139</v>
      </c>
      <c r="B93" s="20" t="s">
        <v>140</v>
      </c>
      <c r="C93" s="20" t="s">
        <v>238</v>
      </c>
      <c r="D93" s="26" t="s">
        <v>142</v>
      </c>
      <c r="E93" s="40" t="s">
        <v>864</v>
      </c>
      <c r="F93" s="65">
        <v>45874.758532708336</v>
      </c>
      <c r="G93" s="64" t="s">
        <v>90</v>
      </c>
      <c r="H93" s="29">
        <f>IFERROR(__xludf.DUMMYFUNCTION("IF(ISDATE(S93), DATEDIF(S93, TODAY(), ""Y""), """")"),21.0)</f>
        <v>21</v>
      </c>
      <c r="I93" s="64" t="s">
        <v>865</v>
      </c>
      <c r="J93" s="48" t="s">
        <v>866</v>
      </c>
      <c r="K93" s="70" t="s">
        <v>867</v>
      </c>
      <c r="L93" s="39"/>
      <c r="M93" s="64" t="s">
        <v>238</v>
      </c>
      <c r="N93" s="48" t="s">
        <v>36</v>
      </c>
      <c r="O93" s="39"/>
      <c r="P93" s="71"/>
      <c r="Q93" s="25" t="s">
        <v>36</v>
      </c>
      <c r="R93" s="66">
        <v>3.26054665E8</v>
      </c>
      <c r="S93" s="68">
        <v>38009.0</v>
      </c>
      <c r="T93" s="64" t="s">
        <v>868</v>
      </c>
      <c r="U93" s="39"/>
      <c r="V93" s="39"/>
      <c r="W93" s="39"/>
      <c r="X93" s="64" t="s">
        <v>869</v>
      </c>
      <c r="Y93" s="70" t="s">
        <v>870</v>
      </c>
      <c r="Z93" s="31"/>
      <c r="AA93" s="39"/>
      <c r="AB93" s="69" t="s">
        <v>871</v>
      </c>
      <c r="AC93" s="20" t="s">
        <v>169</v>
      </c>
      <c r="AD93" s="39"/>
      <c r="AE93" s="39"/>
      <c r="AF93" s="39"/>
    </row>
    <row r="94" hidden="1">
      <c r="A94" s="20" t="s">
        <v>157</v>
      </c>
      <c r="B94" s="20" t="s">
        <v>158</v>
      </c>
      <c r="C94" s="20" t="s">
        <v>159</v>
      </c>
      <c r="D94" s="37">
        <v>45907.0</v>
      </c>
      <c r="E94" s="20" t="s">
        <v>872</v>
      </c>
      <c r="F94" s="25" t="s">
        <v>873</v>
      </c>
      <c r="G94" s="20" t="s">
        <v>31</v>
      </c>
      <c r="H94" s="29">
        <f>IFERROR(__xludf.DUMMYFUNCTION("IF(ISDATE(S94), DATEDIF(S94, TODAY(), ""Y""), """")"),13.0)</f>
        <v>13</v>
      </c>
      <c r="I94" s="20" t="s">
        <v>874</v>
      </c>
      <c r="J94" s="20" t="s">
        <v>875</v>
      </c>
      <c r="K94" s="25">
        <v>5.07723548E8</v>
      </c>
      <c r="L94" s="20" t="s">
        <v>92</v>
      </c>
      <c r="M94" s="20" t="s">
        <v>876</v>
      </c>
      <c r="N94" s="20" t="s">
        <v>44</v>
      </c>
      <c r="O94" s="39"/>
      <c r="P94" s="25" t="s">
        <v>877</v>
      </c>
      <c r="Q94" s="20" t="s">
        <v>44</v>
      </c>
      <c r="R94" s="25">
        <v>2.20895692E8</v>
      </c>
      <c r="S94" s="37">
        <v>40995.0</v>
      </c>
      <c r="T94" s="20" t="s">
        <v>38</v>
      </c>
      <c r="U94" s="38">
        <v>44592.0</v>
      </c>
      <c r="V94" s="20" t="s">
        <v>192</v>
      </c>
      <c r="W94" s="25">
        <v>5.46277638E8</v>
      </c>
      <c r="X94" s="20" t="s">
        <v>878</v>
      </c>
      <c r="Y94" s="25">
        <v>5.07723548E8</v>
      </c>
      <c r="Z94" s="26" t="s">
        <v>43</v>
      </c>
      <c r="AA94" s="25">
        <v>6.0</v>
      </c>
      <c r="AB94" s="20" t="s">
        <v>879</v>
      </c>
      <c r="AC94" s="20" t="s">
        <v>169</v>
      </c>
      <c r="AD94" s="20"/>
      <c r="AE94" s="39"/>
      <c r="AF94" s="39"/>
    </row>
    <row r="95" hidden="1">
      <c r="A95" s="20" t="s">
        <v>139</v>
      </c>
      <c r="B95" s="20" t="s">
        <v>140</v>
      </c>
      <c r="C95" s="20" t="s">
        <v>238</v>
      </c>
      <c r="D95" s="26" t="s">
        <v>142</v>
      </c>
      <c r="E95" s="40" t="s">
        <v>880</v>
      </c>
      <c r="F95" s="28">
        <v>44414.0</v>
      </c>
      <c r="G95" s="27" t="s">
        <v>31</v>
      </c>
      <c r="H95" s="29">
        <f>IFERROR(__xludf.DUMMYFUNCTION("IF(ISDATE(S95), DATEDIF(S95, TODAY(), ""Y""), """")"),21.0)</f>
        <v>21</v>
      </c>
      <c r="I95" s="27" t="s">
        <v>881</v>
      </c>
      <c r="J95" s="27" t="s">
        <v>882</v>
      </c>
      <c r="K95" s="31">
        <v>5.22991077E8</v>
      </c>
      <c r="L95" s="27" t="s">
        <v>649</v>
      </c>
      <c r="M95" s="27" t="s">
        <v>883</v>
      </c>
      <c r="N95" s="27" t="s">
        <v>44</v>
      </c>
      <c r="O95" s="27"/>
      <c r="P95" s="31"/>
      <c r="Q95" s="27" t="s">
        <v>884</v>
      </c>
      <c r="R95" s="27">
        <v>3.26164084E8</v>
      </c>
      <c r="S95" s="32">
        <v>38191.0</v>
      </c>
      <c r="T95" s="27" t="s">
        <v>885</v>
      </c>
      <c r="U95" s="27">
        <v>43930.0</v>
      </c>
      <c r="V95" s="27" t="s">
        <v>886</v>
      </c>
      <c r="W95" s="27">
        <v>5.22699736E8</v>
      </c>
      <c r="X95" s="27" t="s">
        <v>887</v>
      </c>
      <c r="Y95" s="27">
        <v>5.28771669E8</v>
      </c>
      <c r="Z95" s="26" t="s">
        <v>168</v>
      </c>
      <c r="AA95" s="34"/>
      <c r="AB95" s="35"/>
      <c r="AC95" s="35" t="s">
        <v>169</v>
      </c>
      <c r="AD95" s="31"/>
      <c r="AE95" s="31"/>
      <c r="AF95" s="31"/>
    </row>
    <row r="96" hidden="1">
      <c r="A96" s="20" t="s">
        <v>157</v>
      </c>
      <c r="B96" s="20" t="s">
        <v>158</v>
      </c>
      <c r="C96" s="20" t="s">
        <v>159</v>
      </c>
      <c r="D96" s="26" t="s">
        <v>142</v>
      </c>
      <c r="E96" s="27" t="s">
        <v>888</v>
      </c>
      <c r="F96" s="28" t="s">
        <v>889</v>
      </c>
      <c r="G96" s="27" t="s">
        <v>90</v>
      </c>
      <c r="H96" s="29">
        <f>IFERROR(__xludf.DUMMYFUNCTION("IF(ISDATE(S96), DATEDIF(S96, TODAY(), ""Y""), """")"),14.0)</f>
        <v>14</v>
      </c>
      <c r="I96" s="27" t="s">
        <v>890</v>
      </c>
      <c r="J96" s="27" t="s">
        <v>891</v>
      </c>
      <c r="K96" s="31"/>
      <c r="L96" s="27" t="s">
        <v>92</v>
      </c>
      <c r="M96" s="27" t="s">
        <v>892</v>
      </c>
      <c r="N96" s="27" t="s">
        <v>44</v>
      </c>
      <c r="O96" s="27"/>
      <c r="P96" s="31"/>
      <c r="Q96" s="27" t="s">
        <v>44</v>
      </c>
      <c r="R96" s="27">
        <v>2.21035181E8</v>
      </c>
      <c r="S96" s="32">
        <v>40858.0</v>
      </c>
      <c r="T96" s="27" t="s">
        <v>893</v>
      </c>
      <c r="U96" s="27">
        <v>44182.0</v>
      </c>
      <c r="V96" s="27" t="s">
        <v>635</v>
      </c>
      <c r="W96" s="27">
        <v>5.24594539E8</v>
      </c>
      <c r="X96" s="27" t="s">
        <v>894</v>
      </c>
      <c r="Y96" s="27">
        <v>5.47522279E8</v>
      </c>
      <c r="Z96" s="26" t="s">
        <v>43</v>
      </c>
      <c r="AA96" s="34">
        <v>1.0</v>
      </c>
      <c r="AB96" s="35"/>
      <c r="AC96" s="35" t="s">
        <v>169</v>
      </c>
      <c r="AD96" s="31"/>
      <c r="AE96" s="31"/>
      <c r="AF96" s="31"/>
    </row>
    <row r="97" hidden="1">
      <c r="A97" s="92" t="s">
        <v>139</v>
      </c>
      <c r="B97" s="20" t="s">
        <v>140</v>
      </c>
      <c r="C97" s="25" t="s">
        <v>238</v>
      </c>
      <c r="D97" s="36" t="s">
        <v>895</v>
      </c>
      <c r="E97" s="40" t="s">
        <v>896</v>
      </c>
      <c r="F97" s="36">
        <v>45979.0</v>
      </c>
      <c r="G97" s="27" t="s">
        <v>90</v>
      </c>
      <c r="H97" s="29">
        <v>17.4</v>
      </c>
      <c r="I97" s="27" t="s">
        <v>897</v>
      </c>
      <c r="J97" s="27" t="s">
        <v>590</v>
      </c>
      <c r="K97" s="33" t="s">
        <v>898</v>
      </c>
      <c r="L97" s="27" t="s">
        <v>92</v>
      </c>
      <c r="M97" s="35" t="s">
        <v>899</v>
      </c>
      <c r="N97" s="27" t="s">
        <v>36</v>
      </c>
      <c r="O97" s="26" t="s">
        <v>900</v>
      </c>
      <c r="P97" s="27"/>
      <c r="Q97" s="27" t="s">
        <v>901</v>
      </c>
      <c r="R97" s="27">
        <v>3.26596658E8</v>
      </c>
      <c r="S97" s="32">
        <v>39647.0</v>
      </c>
      <c r="T97" s="35" t="s">
        <v>902</v>
      </c>
      <c r="U97" s="33" t="s">
        <v>903</v>
      </c>
      <c r="V97" s="27" t="s">
        <v>904</v>
      </c>
      <c r="W97" s="33" t="s">
        <v>905</v>
      </c>
      <c r="X97" s="27" t="s">
        <v>906</v>
      </c>
      <c r="Y97" s="33" t="s">
        <v>907</v>
      </c>
      <c r="Z97" s="26" t="s">
        <v>43</v>
      </c>
      <c r="AA97" s="27">
        <v>1.0</v>
      </c>
      <c r="AB97" s="26"/>
      <c r="AC97" s="20" t="s">
        <v>156</v>
      </c>
      <c r="AD97" s="31"/>
      <c r="AE97" s="31"/>
      <c r="AF97" s="26" t="s">
        <v>908</v>
      </c>
    </row>
    <row r="98" hidden="1">
      <c r="A98" s="20" t="s">
        <v>157</v>
      </c>
      <c r="B98" s="20" t="s">
        <v>158</v>
      </c>
      <c r="C98" s="20" t="s">
        <v>159</v>
      </c>
      <c r="D98" s="26" t="s">
        <v>142</v>
      </c>
      <c r="E98" s="27" t="s">
        <v>909</v>
      </c>
      <c r="F98" s="28">
        <v>44539.0</v>
      </c>
      <c r="G98" s="27" t="s">
        <v>31</v>
      </c>
      <c r="H98" s="29">
        <f>IFERROR(__xludf.DUMMYFUNCTION("IF(ISDATE(S98), DATEDIF(S98, TODAY(), ""Y""), """")"),13.0)</f>
        <v>13</v>
      </c>
      <c r="I98" s="27" t="s">
        <v>910</v>
      </c>
      <c r="J98" s="27" t="s">
        <v>779</v>
      </c>
      <c r="K98" s="31"/>
      <c r="L98" s="27" t="s">
        <v>92</v>
      </c>
      <c r="M98" s="27"/>
      <c r="N98" s="27" t="s">
        <v>44</v>
      </c>
      <c r="O98" s="27"/>
      <c r="P98" s="31"/>
      <c r="Q98" s="27" t="s">
        <v>44</v>
      </c>
      <c r="R98" s="27">
        <v>2.21233927E8</v>
      </c>
      <c r="S98" s="32">
        <v>41251.0</v>
      </c>
      <c r="T98" s="27" t="s">
        <v>82</v>
      </c>
      <c r="U98" s="27">
        <v>44216.0</v>
      </c>
      <c r="V98" s="27" t="s">
        <v>911</v>
      </c>
      <c r="W98" s="27">
        <v>5.45605673E8</v>
      </c>
      <c r="X98" s="27" t="s">
        <v>568</v>
      </c>
      <c r="Y98" s="27">
        <v>5.0724472E8</v>
      </c>
      <c r="Z98" s="26" t="s">
        <v>43</v>
      </c>
      <c r="AA98" s="34">
        <v>1.0</v>
      </c>
      <c r="AB98" s="35"/>
      <c r="AC98" s="35" t="s">
        <v>169</v>
      </c>
      <c r="AD98" s="31"/>
      <c r="AE98" s="31"/>
      <c r="AF98" s="31"/>
    </row>
    <row r="99" hidden="1">
      <c r="A99" s="20" t="s">
        <v>139</v>
      </c>
      <c r="B99" s="20" t="s">
        <v>140</v>
      </c>
      <c r="C99" s="20" t="s">
        <v>238</v>
      </c>
      <c r="D99" s="26" t="s">
        <v>142</v>
      </c>
      <c r="E99" s="40" t="s">
        <v>912</v>
      </c>
      <c r="F99" s="39"/>
      <c r="G99" s="20" t="s">
        <v>90</v>
      </c>
      <c r="H99" s="22">
        <f>IFERROR(__xludf.DUMMYFUNCTION("IF(ISDATE(S99), DATEDIF(S99, TODAY(), ""Y""), """")"),18.0)</f>
        <v>18</v>
      </c>
      <c r="I99" s="39"/>
      <c r="J99" s="20" t="s">
        <v>913</v>
      </c>
      <c r="K99" s="39"/>
      <c r="L99" s="20" t="s">
        <v>92</v>
      </c>
      <c r="M99" s="20" t="s">
        <v>238</v>
      </c>
      <c r="N99" s="20" t="s">
        <v>36</v>
      </c>
      <c r="O99" s="20" t="s">
        <v>914</v>
      </c>
      <c r="P99" s="39"/>
      <c r="Q99" s="20" t="s">
        <v>158</v>
      </c>
      <c r="R99" s="25">
        <v>3.26759131E8</v>
      </c>
      <c r="S99" s="37">
        <v>39455.0</v>
      </c>
      <c r="T99" s="20" t="s">
        <v>915</v>
      </c>
      <c r="U99" s="20" t="s">
        <v>916</v>
      </c>
      <c r="V99" s="20" t="s">
        <v>917</v>
      </c>
      <c r="W99" s="25">
        <v>5.2647535E8</v>
      </c>
      <c r="X99" s="20" t="s">
        <v>763</v>
      </c>
      <c r="Y99" s="25">
        <v>5.23453817E8</v>
      </c>
      <c r="Z99" s="26" t="s">
        <v>43</v>
      </c>
      <c r="AA99" s="25">
        <v>4.0</v>
      </c>
      <c r="AB99" s="20"/>
      <c r="AC99" s="20" t="s">
        <v>169</v>
      </c>
      <c r="AD99" s="39"/>
      <c r="AE99" s="39"/>
      <c r="AF99" s="39"/>
    </row>
    <row r="100" hidden="1">
      <c r="A100" s="20" t="s">
        <v>139</v>
      </c>
      <c r="B100" s="20" t="s">
        <v>140</v>
      </c>
      <c r="C100" s="20" t="s">
        <v>238</v>
      </c>
      <c r="D100" s="26" t="s">
        <v>142</v>
      </c>
      <c r="E100" s="40" t="s">
        <v>918</v>
      </c>
      <c r="F100" s="41">
        <v>45684.030946886574</v>
      </c>
      <c r="G100" s="40" t="s">
        <v>31</v>
      </c>
      <c r="H100" s="29">
        <f>IFERROR(__xludf.DUMMYFUNCTION("IF(ISDATE(S100), DATEDIF(S100, TODAY(), ""Y""), """")"),20.0)</f>
        <v>20</v>
      </c>
      <c r="I100" s="40" t="s">
        <v>769</v>
      </c>
      <c r="J100" s="42" t="s">
        <v>769</v>
      </c>
      <c r="K100" s="43" t="s">
        <v>919</v>
      </c>
      <c r="L100" s="39"/>
      <c r="M100" s="72" t="s">
        <v>920</v>
      </c>
      <c r="N100" s="48" t="s">
        <v>36</v>
      </c>
      <c r="O100" s="39"/>
      <c r="P100" s="40"/>
      <c r="Q100" s="25" t="s">
        <v>36</v>
      </c>
      <c r="R100" s="40">
        <v>3.28309786E8</v>
      </c>
      <c r="S100" s="45">
        <v>38519.0</v>
      </c>
      <c r="T100" s="40" t="s">
        <v>380</v>
      </c>
      <c r="U100" s="39"/>
      <c r="V100" s="39"/>
      <c r="W100" s="39"/>
      <c r="X100" s="40" t="s">
        <v>921</v>
      </c>
      <c r="Y100" s="43" t="s">
        <v>922</v>
      </c>
      <c r="Z100" s="31"/>
      <c r="AA100" s="39"/>
      <c r="AB100" s="46"/>
      <c r="AC100" s="20" t="s">
        <v>169</v>
      </c>
      <c r="AD100" s="39"/>
      <c r="AE100" s="39"/>
      <c r="AF100" s="39"/>
    </row>
    <row r="101" hidden="1">
      <c r="A101" s="20" t="s">
        <v>157</v>
      </c>
      <c r="B101" s="20" t="s">
        <v>158</v>
      </c>
      <c r="C101" s="20" t="s">
        <v>159</v>
      </c>
      <c r="D101" s="26" t="s">
        <v>142</v>
      </c>
      <c r="E101" s="27" t="s">
        <v>923</v>
      </c>
      <c r="F101" s="28">
        <v>45810.0</v>
      </c>
      <c r="G101" s="27" t="s">
        <v>31</v>
      </c>
      <c r="H101" s="22">
        <f>IFERROR(__xludf.DUMMYFUNCTION("IF(ISDATE(S101), DATEDIF(S101, TODAY(), ""Y""), """")"),13.0)</f>
        <v>13</v>
      </c>
      <c r="I101" s="27" t="s">
        <v>924</v>
      </c>
      <c r="J101" s="27" t="s">
        <v>33</v>
      </c>
      <c r="K101" s="33" t="s">
        <v>925</v>
      </c>
      <c r="L101" s="27" t="s">
        <v>92</v>
      </c>
      <c r="M101" s="34" t="s">
        <v>926</v>
      </c>
      <c r="N101" s="34" t="s">
        <v>44</v>
      </c>
      <c r="O101" s="34" t="s">
        <v>927</v>
      </c>
      <c r="P101" s="29" t="s">
        <v>928</v>
      </c>
      <c r="Q101" s="27" t="s">
        <v>929</v>
      </c>
      <c r="R101" s="27">
        <v>2.213361E8</v>
      </c>
      <c r="S101" s="32">
        <v>41036.0</v>
      </c>
      <c r="T101" s="27" t="s">
        <v>930</v>
      </c>
      <c r="U101" s="27" t="s">
        <v>931</v>
      </c>
      <c r="V101" s="27" t="s">
        <v>932</v>
      </c>
      <c r="W101" s="27" t="s">
        <v>933</v>
      </c>
      <c r="X101" s="27" t="s">
        <v>184</v>
      </c>
      <c r="Y101" s="34">
        <v>5.29923963E8</v>
      </c>
      <c r="Z101" s="27" t="s">
        <v>43</v>
      </c>
      <c r="AA101" s="27">
        <v>6.0</v>
      </c>
      <c r="AB101" s="26" t="s">
        <v>934</v>
      </c>
      <c r="AC101" s="20" t="s">
        <v>169</v>
      </c>
      <c r="AD101" s="31"/>
      <c r="AE101" s="31"/>
      <c r="AF101" s="26" t="s">
        <v>935</v>
      </c>
    </row>
    <row r="102" hidden="1">
      <c r="A102" s="20" t="s">
        <v>139</v>
      </c>
      <c r="B102" s="20" t="s">
        <v>140</v>
      </c>
      <c r="C102" s="20" t="s">
        <v>409</v>
      </c>
      <c r="D102" s="26" t="s">
        <v>142</v>
      </c>
      <c r="E102" s="40" t="s">
        <v>936</v>
      </c>
      <c r="F102" s="41">
        <v>45496.736598703705</v>
      </c>
      <c r="G102" s="40" t="s">
        <v>90</v>
      </c>
      <c r="H102" s="29">
        <f>IFERROR(__xludf.DUMMYFUNCTION("IF(ISDATE(S102), DATEDIF(S102, TODAY(), ""Y""), """")"),19.0)</f>
        <v>19</v>
      </c>
      <c r="I102" s="40" t="s">
        <v>937</v>
      </c>
      <c r="J102" s="42" t="s">
        <v>430</v>
      </c>
      <c r="K102" s="47">
        <v>5.84202029E8</v>
      </c>
      <c r="L102" s="39"/>
      <c r="M102" s="40" t="s">
        <v>141</v>
      </c>
      <c r="N102" s="48" t="s">
        <v>36</v>
      </c>
      <c r="O102" s="39"/>
      <c r="P102" s="40"/>
      <c r="Q102" s="39"/>
      <c r="R102" s="40">
        <v>3.28313879E8</v>
      </c>
      <c r="S102" s="81">
        <v>38765.0</v>
      </c>
      <c r="T102" s="40" t="s">
        <v>938</v>
      </c>
      <c r="U102" s="39"/>
      <c r="V102" s="39"/>
      <c r="W102" s="39"/>
      <c r="X102" s="40" t="s">
        <v>939</v>
      </c>
      <c r="Y102" s="43" t="s">
        <v>940</v>
      </c>
      <c r="Z102" s="31"/>
      <c r="AA102" s="39"/>
      <c r="AB102" s="46" t="s">
        <v>941</v>
      </c>
      <c r="AC102" s="20" t="s">
        <v>169</v>
      </c>
      <c r="AD102" s="39"/>
      <c r="AE102" s="39"/>
      <c r="AF102" s="39"/>
    </row>
    <row r="103" hidden="1">
      <c r="A103" s="20" t="s">
        <v>157</v>
      </c>
      <c r="B103" s="20" t="s">
        <v>158</v>
      </c>
      <c r="C103" s="20" t="s">
        <v>159</v>
      </c>
      <c r="D103" s="37" t="s">
        <v>204</v>
      </c>
      <c r="E103" s="20" t="s">
        <v>942</v>
      </c>
      <c r="F103" s="25" t="s">
        <v>943</v>
      </c>
      <c r="G103" s="20" t="s">
        <v>31</v>
      </c>
      <c r="H103" s="22">
        <f>IFERROR(__xludf.DUMMYFUNCTION("IF(ISDATE(S103), DATEDIF(S103, TODAY(), ""Y""), """")"),13.0)</f>
        <v>13</v>
      </c>
      <c r="I103" s="39"/>
      <c r="J103" s="20" t="s">
        <v>517</v>
      </c>
      <c r="K103" s="39"/>
      <c r="L103" s="20" t="s">
        <v>92</v>
      </c>
      <c r="M103" s="20" t="s">
        <v>238</v>
      </c>
      <c r="N103" s="20" t="s">
        <v>36</v>
      </c>
      <c r="O103" s="20" t="s">
        <v>944</v>
      </c>
      <c r="P103" s="39"/>
      <c r="Q103" s="20" t="s">
        <v>36</v>
      </c>
      <c r="R103" s="25">
        <v>2.21349624E8</v>
      </c>
      <c r="S103" s="37">
        <v>41210.0</v>
      </c>
      <c r="T103" s="20" t="s">
        <v>945</v>
      </c>
      <c r="U103" s="20" t="s">
        <v>946</v>
      </c>
      <c r="V103" s="20" t="s">
        <v>947</v>
      </c>
      <c r="W103" s="25">
        <v>5.42852028E8</v>
      </c>
      <c r="X103" s="20" t="s">
        <v>948</v>
      </c>
      <c r="Y103" s="25">
        <v>5.06785806E8</v>
      </c>
      <c r="Z103" s="26" t="s">
        <v>43</v>
      </c>
      <c r="AA103" s="29">
        <v>2.0</v>
      </c>
      <c r="AB103" s="20" t="s">
        <v>949</v>
      </c>
      <c r="AC103" s="20" t="s">
        <v>169</v>
      </c>
      <c r="AD103" s="26" t="s">
        <v>950</v>
      </c>
      <c r="AE103" s="39"/>
      <c r="AF103" s="20" t="s">
        <v>951</v>
      </c>
    </row>
    <row r="104" hidden="1">
      <c r="A104" s="20" t="s">
        <v>139</v>
      </c>
      <c r="B104" s="20" t="s">
        <v>140</v>
      </c>
      <c r="C104" s="25" t="s">
        <v>238</v>
      </c>
      <c r="D104" s="26" t="s">
        <v>142</v>
      </c>
      <c r="E104" s="40" t="s">
        <v>952</v>
      </c>
      <c r="F104" s="28">
        <v>45691.0</v>
      </c>
      <c r="G104" s="27" t="s">
        <v>31</v>
      </c>
      <c r="H104" s="22">
        <f>IFERROR(__xludf.DUMMYFUNCTION("IF(ISDATE(S104), DATEDIF(S104, TODAY(), ""Y""), """")"),16.0)</f>
        <v>16</v>
      </c>
      <c r="I104" s="27" t="s">
        <v>953</v>
      </c>
      <c r="J104" s="27" t="s">
        <v>180</v>
      </c>
      <c r="K104" s="33" t="s">
        <v>954</v>
      </c>
      <c r="L104" s="27" t="s">
        <v>92</v>
      </c>
      <c r="M104" s="27" t="s">
        <v>79</v>
      </c>
      <c r="N104" s="27" t="s">
        <v>36</v>
      </c>
      <c r="O104" s="27" t="s">
        <v>955</v>
      </c>
      <c r="P104" s="31"/>
      <c r="Q104" s="27" t="s">
        <v>36</v>
      </c>
      <c r="R104" s="27">
        <v>3.31024687E8</v>
      </c>
      <c r="S104" s="32">
        <v>39877.0</v>
      </c>
      <c r="T104" s="27" t="s">
        <v>38</v>
      </c>
      <c r="U104" s="33" t="s">
        <v>956</v>
      </c>
      <c r="V104" s="27" t="s">
        <v>957</v>
      </c>
      <c r="W104" s="33" t="s">
        <v>958</v>
      </c>
      <c r="X104" s="27" t="s">
        <v>630</v>
      </c>
      <c r="Y104" s="33" t="s">
        <v>959</v>
      </c>
      <c r="Z104" s="27" t="s">
        <v>43</v>
      </c>
      <c r="AA104" s="27">
        <v>4.0</v>
      </c>
      <c r="AB104" s="26"/>
      <c r="AC104" s="35" t="s">
        <v>156</v>
      </c>
      <c r="AD104" s="31"/>
      <c r="AE104" s="31"/>
      <c r="AF104" s="26" t="s">
        <v>960</v>
      </c>
    </row>
    <row r="105" hidden="1">
      <c r="A105" s="20" t="s">
        <v>157</v>
      </c>
      <c r="B105" s="20" t="s">
        <v>158</v>
      </c>
      <c r="C105" s="20" t="s">
        <v>159</v>
      </c>
      <c r="D105" s="26" t="s">
        <v>142</v>
      </c>
      <c r="E105" s="27" t="s">
        <v>961</v>
      </c>
      <c r="F105" s="28" t="s">
        <v>962</v>
      </c>
      <c r="G105" s="27" t="s">
        <v>31</v>
      </c>
      <c r="H105" s="29">
        <f>IFERROR(__xludf.DUMMYFUNCTION("IF(ISDATE(S105), DATEDIF(S105, TODAY(), ""Y""), """")"),13.0)</f>
        <v>13</v>
      </c>
      <c r="I105" s="27" t="s">
        <v>963</v>
      </c>
      <c r="J105" s="27" t="s">
        <v>779</v>
      </c>
      <c r="K105" s="31">
        <v>5.4604642E8</v>
      </c>
      <c r="L105" s="27" t="s">
        <v>92</v>
      </c>
      <c r="M105" s="27" t="s">
        <v>964</v>
      </c>
      <c r="N105" s="27" t="s">
        <v>44</v>
      </c>
      <c r="O105" s="27"/>
      <c r="P105" s="31"/>
      <c r="Q105" s="27" t="s">
        <v>44</v>
      </c>
      <c r="R105" s="27">
        <v>2.21536121E8</v>
      </c>
      <c r="S105" s="32">
        <v>41228.0</v>
      </c>
      <c r="T105" s="27" t="s">
        <v>965</v>
      </c>
      <c r="U105" s="27">
        <v>42699.0</v>
      </c>
      <c r="V105" s="27" t="s">
        <v>966</v>
      </c>
      <c r="W105" s="27">
        <v>5.52242E8</v>
      </c>
      <c r="X105" s="27" t="s">
        <v>260</v>
      </c>
      <c r="Y105" s="27">
        <v>5.43162E8</v>
      </c>
      <c r="Z105" s="26" t="s">
        <v>43</v>
      </c>
      <c r="AA105" s="34">
        <v>2.0</v>
      </c>
      <c r="AB105" s="35"/>
      <c r="AC105" s="35" t="s">
        <v>169</v>
      </c>
      <c r="AD105" s="31"/>
      <c r="AE105" s="31"/>
      <c r="AF105" s="31"/>
    </row>
    <row r="106" hidden="1">
      <c r="A106" s="92" t="s">
        <v>139</v>
      </c>
      <c r="B106" s="20" t="s">
        <v>140</v>
      </c>
      <c r="C106" s="20" t="s">
        <v>238</v>
      </c>
      <c r="D106" s="97" t="s">
        <v>967</v>
      </c>
      <c r="E106" s="98" t="s">
        <v>968</v>
      </c>
      <c r="F106" s="99">
        <v>45956.0</v>
      </c>
      <c r="G106" s="98" t="s">
        <v>31</v>
      </c>
      <c r="H106" s="100">
        <v>17.0</v>
      </c>
      <c r="I106" s="98" t="s">
        <v>969</v>
      </c>
      <c r="J106" s="98" t="s">
        <v>970</v>
      </c>
      <c r="K106" s="101" t="s">
        <v>77</v>
      </c>
      <c r="L106" s="98" t="s">
        <v>971</v>
      </c>
      <c r="M106" s="98" t="s">
        <v>972</v>
      </c>
      <c r="N106" s="98" t="s">
        <v>36</v>
      </c>
      <c r="O106" s="98" t="s">
        <v>973</v>
      </c>
      <c r="P106" s="102"/>
      <c r="Q106" s="98" t="s">
        <v>759</v>
      </c>
      <c r="R106" s="100">
        <v>3.31030262E8</v>
      </c>
      <c r="S106" s="99">
        <v>39537.0</v>
      </c>
      <c r="T106" s="100" t="s">
        <v>974</v>
      </c>
      <c r="U106" s="103" t="s">
        <v>975</v>
      </c>
      <c r="V106" s="98" t="s">
        <v>976</v>
      </c>
      <c r="W106" s="103" t="s">
        <v>85</v>
      </c>
      <c r="X106" s="98" t="s">
        <v>977</v>
      </c>
      <c r="Y106" s="103" t="s">
        <v>87</v>
      </c>
      <c r="Z106" s="31" t="s">
        <v>43</v>
      </c>
      <c r="AA106" s="98">
        <v>2.0</v>
      </c>
      <c r="AB106" s="104"/>
      <c r="AC106" s="20" t="s">
        <v>978</v>
      </c>
      <c r="AD106" s="105" t="s">
        <v>979</v>
      </c>
      <c r="AE106" s="102"/>
      <c r="AF106" s="102"/>
    </row>
    <row r="107" hidden="1">
      <c r="A107" s="92" t="s">
        <v>139</v>
      </c>
      <c r="B107" s="20" t="s">
        <v>140</v>
      </c>
      <c r="C107" s="25" t="s">
        <v>238</v>
      </c>
      <c r="D107" s="36">
        <v>45966.0</v>
      </c>
      <c r="E107" s="40" t="s">
        <v>980</v>
      </c>
      <c r="F107" s="36">
        <v>45788.0</v>
      </c>
      <c r="G107" s="27" t="s">
        <v>31</v>
      </c>
      <c r="H107" s="29">
        <v>17.0</v>
      </c>
      <c r="I107" s="27" t="s">
        <v>981</v>
      </c>
      <c r="J107" s="27" t="s">
        <v>479</v>
      </c>
      <c r="K107" s="33" t="s">
        <v>982</v>
      </c>
      <c r="L107" s="27" t="s">
        <v>92</v>
      </c>
      <c r="M107" s="35" t="s">
        <v>983</v>
      </c>
      <c r="N107" s="27" t="s">
        <v>36</v>
      </c>
      <c r="O107" s="26"/>
      <c r="P107" s="27"/>
      <c r="Q107" s="27" t="s">
        <v>984</v>
      </c>
      <c r="R107" s="27">
        <v>3.31233213E8</v>
      </c>
      <c r="S107" s="32">
        <v>39463.0</v>
      </c>
      <c r="T107" s="35" t="s">
        <v>380</v>
      </c>
      <c r="U107" s="27" t="s">
        <v>985</v>
      </c>
      <c r="V107" s="27" t="s">
        <v>986</v>
      </c>
      <c r="W107" s="33" t="s">
        <v>987</v>
      </c>
      <c r="X107" s="27" t="s">
        <v>988</v>
      </c>
      <c r="Y107" s="33" t="s">
        <v>989</v>
      </c>
      <c r="Z107" s="26" t="s">
        <v>43</v>
      </c>
      <c r="AA107" s="27">
        <v>4.0</v>
      </c>
      <c r="AB107" s="26" t="s">
        <v>990</v>
      </c>
      <c r="AC107" s="20" t="s">
        <v>156</v>
      </c>
      <c r="AD107" s="31"/>
      <c r="AE107" s="31"/>
      <c r="AF107" s="26"/>
    </row>
    <row r="108" hidden="1">
      <c r="A108" s="20" t="s">
        <v>157</v>
      </c>
      <c r="B108" s="20" t="s">
        <v>158</v>
      </c>
      <c r="C108" s="20" t="s">
        <v>159</v>
      </c>
      <c r="D108" s="37">
        <v>45845.0</v>
      </c>
      <c r="E108" s="20" t="s">
        <v>991</v>
      </c>
      <c r="F108" s="25" t="s">
        <v>992</v>
      </c>
      <c r="G108" s="20" t="s">
        <v>90</v>
      </c>
      <c r="H108" s="29">
        <f>IFERROR(__xludf.DUMMYFUNCTION("IF(ISDATE(S108), DATEDIF(S108, TODAY(), ""Y""), """")"),12.0)</f>
        <v>12</v>
      </c>
      <c r="I108" s="20" t="s">
        <v>993</v>
      </c>
      <c r="J108" s="20" t="s">
        <v>590</v>
      </c>
      <c r="K108" s="39"/>
      <c r="L108" s="20" t="s">
        <v>92</v>
      </c>
      <c r="M108" s="20" t="s">
        <v>994</v>
      </c>
      <c r="N108" s="20" t="s">
        <v>44</v>
      </c>
      <c r="O108" s="26" t="s">
        <v>995</v>
      </c>
      <c r="P108" s="20" t="s">
        <v>995</v>
      </c>
      <c r="Q108" s="20" t="s">
        <v>44</v>
      </c>
      <c r="R108" s="25">
        <v>2.21909914E8</v>
      </c>
      <c r="S108" s="37">
        <v>41572.0</v>
      </c>
      <c r="T108" s="20" t="s">
        <v>996</v>
      </c>
      <c r="U108" s="25" t="s">
        <v>997</v>
      </c>
      <c r="V108" s="20" t="s">
        <v>998</v>
      </c>
      <c r="W108" s="25">
        <v>5.05882237E8</v>
      </c>
      <c r="X108" s="20" t="s">
        <v>636</v>
      </c>
      <c r="Y108" s="25">
        <v>5.28477341E8</v>
      </c>
      <c r="Z108" s="26" t="s">
        <v>43</v>
      </c>
      <c r="AA108" s="25">
        <v>3.0</v>
      </c>
      <c r="AB108" s="20" t="s">
        <v>999</v>
      </c>
      <c r="AC108" s="20" t="s">
        <v>169</v>
      </c>
      <c r="AD108" s="39"/>
      <c r="AE108" s="20"/>
      <c r="AF108" s="20"/>
    </row>
    <row r="109" hidden="1">
      <c r="A109" s="20" t="s">
        <v>157</v>
      </c>
      <c r="B109" s="20" t="s">
        <v>158</v>
      </c>
      <c r="C109" s="20" t="s">
        <v>159</v>
      </c>
      <c r="D109" s="26" t="s">
        <v>142</v>
      </c>
      <c r="E109" s="27" t="s">
        <v>1000</v>
      </c>
      <c r="F109" s="28" t="s">
        <v>1001</v>
      </c>
      <c r="G109" s="27" t="s">
        <v>90</v>
      </c>
      <c r="H109" s="29">
        <f>IFERROR(__xludf.DUMMYFUNCTION("IF(ISDATE(S109), DATEDIF(S109, TODAY(), ""Y""), """")"),13.0)</f>
        <v>13</v>
      </c>
      <c r="I109" s="27" t="s">
        <v>1002</v>
      </c>
      <c r="J109" s="27" t="s">
        <v>1003</v>
      </c>
      <c r="K109" s="31">
        <v>5.22594484E8</v>
      </c>
      <c r="L109" s="27" t="s">
        <v>92</v>
      </c>
      <c r="M109" s="27" t="s">
        <v>1004</v>
      </c>
      <c r="N109" s="27" t="s">
        <v>44</v>
      </c>
      <c r="O109" s="27"/>
      <c r="P109" s="31"/>
      <c r="Q109" s="27" t="s">
        <v>44</v>
      </c>
      <c r="R109" s="27">
        <v>2.22008963E8</v>
      </c>
      <c r="S109" s="32">
        <v>41259.0</v>
      </c>
      <c r="T109" s="27" t="s">
        <v>1005</v>
      </c>
      <c r="U109" s="27">
        <v>43424.0</v>
      </c>
      <c r="V109" s="27" t="s">
        <v>198</v>
      </c>
      <c r="W109" s="27">
        <v>0.0</v>
      </c>
      <c r="X109" s="27" t="s">
        <v>1006</v>
      </c>
      <c r="Y109" s="27">
        <v>5.35368129E8</v>
      </c>
      <c r="Z109" s="26"/>
      <c r="AA109" s="34"/>
      <c r="AB109" s="35"/>
      <c r="AC109" s="35" t="s">
        <v>169</v>
      </c>
      <c r="AD109" s="31"/>
      <c r="AE109" s="31"/>
      <c r="AF109" s="31"/>
    </row>
    <row r="110" hidden="1">
      <c r="A110" s="20" t="s">
        <v>139</v>
      </c>
      <c r="B110" s="20" t="s">
        <v>140</v>
      </c>
      <c r="C110" s="20" t="s">
        <v>141</v>
      </c>
      <c r="D110" s="26" t="s">
        <v>142</v>
      </c>
      <c r="E110" s="40" t="s">
        <v>1007</v>
      </c>
      <c r="F110" s="93">
        <v>45772.0</v>
      </c>
      <c r="G110" s="26" t="s">
        <v>31</v>
      </c>
      <c r="H110" s="29">
        <v>17.0</v>
      </c>
      <c r="I110" s="26" t="s">
        <v>1008</v>
      </c>
      <c r="J110" s="26" t="s">
        <v>517</v>
      </c>
      <c r="K110" s="30" t="s">
        <v>1009</v>
      </c>
      <c r="L110" s="26" t="s">
        <v>103</v>
      </c>
      <c r="M110" s="26" t="s">
        <v>1010</v>
      </c>
      <c r="N110" s="26" t="s">
        <v>36</v>
      </c>
      <c r="O110" s="26" t="s">
        <v>1011</v>
      </c>
      <c r="P110" s="26"/>
      <c r="Q110" s="26" t="s">
        <v>36</v>
      </c>
      <c r="R110" s="29">
        <v>3.31241828E8</v>
      </c>
      <c r="S110" s="95">
        <v>39517.0</v>
      </c>
      <c r="T110" s="26" t="s">
        <v>1012</v>
      </c>
      <c r="U110" s="29" t="s">
        <v>1013</v>
      </c>
      <c r="V110" s="26" t="s">
        <v>252</v>
      </c>
      <c r="W110" s="94" t="s">
        <v>1014</v>
      </c>
      <c r="X110" s="26" t="s">
        <v>1015</v>
      </c>
      <c r="Y110" s="94" t="s">
        <v>1014</v>
      </c>
      <c r="Z110" s="26" t="s">
        <v>168</v>
      </c>
      <c r="AA110" s="29">
        <v>4.0</v>
      </c>
      <c r="AB110" s="26" t="s">
        <v>1016</v>
      </c>
      <c r="AC110" s="20" t="s">
        <v>156</v>
      </c>
      <c r="AD110" s="31"/>
      <c r="AE110" s="31"/>
      <c r="AF110" s="26" t="s">
        <v>1017</v>
      </c>
    </row>
    <row r="111" hidden="1">
      <c r="A111" s="20" t="s">
        <v>157</v>
      </c>
      <c r="B111" s="20" t="s">
        <v>158</v>
      </c>
      <c r="C111" s="20" t="s">
        <v>159</v>
      </c>
      <c r="D111" s="37">
        <v>45937.0</v>
      </c>
      <c r="E111" s="20" t="s">
        <v>1018</v>
      </c>
      <c r="F111" s="25" t="s">
        <v>1019</v>
      </c>
      <c r="G111" s="20" t="s">
        <v>90</v>
      </c>
      <c r="H111" s="29">
        <f>IFERROR(__xludf.DUMMYFUNCTION("IF(ISDATE(S111), DATEDIF(S111, TODAY(), ""Y""), """")"),11.0)</f>
        <v>11</v>
      </c>
      <c r="I111" s="20" t="s">
        <v>1020</v>
      </c>
      <c r="J111" s="20" t="s">
        <v>1021</v>
      </c>
      <c r="K111" s="25">
        <v>6.0207091E8</v>
      </c>
      <c r="L111" s="20" t="s">
        <v>92</v>
      </c>
      <c r="M111" s="20" t="s">
        <v>1022</v>
      </c>
      <c r="N111" s="20" t="s">
        <v>44</v>
      </c>
      <c r="O111" s="39"/>
      <c r="P111" s="38">
        <v>44748.0</v>
      </c>
      <c r="Q111" s="20" t="s">
        <v>44</v>
      </c>
      <c r="R111" s="25">
        <v>2.22464604E8</v>
      </c>
      <c r="S111" s="37">
        <v>41716.0</v>
      </c>
      <c r="T111" s="20" t="s">
        <v>38</v>
      </c>
      <c r="U111" s="38">
        <v>44324.0</v>
      </c>
      <c r="V111" s="20" t="s">
        <v>921</v>
      </c>
      <c r="W111" s="25">
        <v>5.07701443E8</v>
      </c>
      <c r="X111" s="20" t="s">
        <v>771</v>
      </c>
      <c r="Y111" s="25">
        <v>5.06509132E8</v>
      </c>
      <c r="Z111" s="26" t="s">
        <v>43</v>
      </c>
      <c r="AA111" s="25">
        <v>5.0</v>
      </c>
      <c r="AB111" s="39"/>
      <c r="AC111" s="20" t="s">
        <v>156</v>
      </c>
      <c r="AD111" s="39"/>
      <c r="AE111" s="39"/>
      <c r="AF111" s="39"/>
    </row>
    <row r="112" hidden="1">
      <c r="A112" s="20" t="s">
        <v>157</v>
      </c>
      <c r="B112" s="20" t="s">
        <v>158</v>
      </c>
      <c r="C112" s="20" t="s">
        <v>159</v>
      </c>
      <c r="D112" s="26" t="s">
        <v>142</v>
      </c>
      <c r="E112" s="27" t="s">
        <v>1023</v>
      </c>
      <c r="F112" s="28" t="s">
        <v>1024</v>
      </c>
      <c r="G112" s="27" t="s">
        <v>90</v>
      </c>
      <c r="H112" s="29">
        <f>IFERROR(__xludf.DUMMYFUNCTION("IF(ISDATE(S112), DATEDIF(S112, TODAY(), ""Y""), """")"),11.0)</f>
        <v>11</v>
      </c>
      <c r="I112" s="27" t="s">
        <v>1025</v>
      </c>
      <c r="J112" s="27" t="s">
        <v>597</v>
      </c>
      <c r="K112" s="31" t="s">
        <v>1026</v>
      </c>
      <c r="L112" s="27" t="s">
        <v>92</v>
      </c>
      <c r="M112" s="27" t="s">
        <v>1027</v>
      </c>
      <c r="N112" s="27" t="s">
        <v>44</v>
      </c>
      <c r="O112" s="27"/>
      <c r="P112" s="31"/>
      <c r="Q112" s="27" t="s">
        <v>44</v>
      </c>
      <c r="R112" s="27">
        <v>2.22593378E8</v>
      </c>
      <c r="S112" s="32">
        <v>41768.0</v>
      </c>
      <c r="T112" s="27" t="s">
        <v>1028</v>
      </c>
      <c r="U112" s="27" t="s">
        <v>1029</v>
      </c>
      <c r="V112" s="27" t="s">
        <v>1030</v>
      </c>
      <c r="W112" s="27">
        <v>5.47703605E8</v>
      </c>
      <c r="X112" s="27" t="s">
        <v>1031</v>
      </c>
      <c r="Y112" s="27">
        <v>5.04433983E8</v>
      </c>
      <c r="Z112" s="26" t="s">
        <v>43</v>
      </c>
      <c r="AA112" s="34">
        <v>1.0</v>
      </c>
      <c r="AB112" s="35"/>
      <c r="AC112" s="35" t="s">
        <v>169</v>
      </c>
      <c r="AD112" s="31"/>
      <c r="AE112" s="31"/>
      <c r="AF112" s="31"/>
    </row>
    <row r="113" hidden="1">
      <c r="A113" s="20" t="s">
        <v>157</v>
      </c>
      <c r="B113" s="20" t="s">
        <v>158</v>
      </c>
      <c r="C113" s="20" t="s">
        <v>159</v>
      </c>
      <c r="D113" s="26" t="s">
        <v>142</v>
      </c>
      <c r="E113" s="27" t="s">
        <v>1032</v>
      </c>
      <c r="F113" s="28">
        <v>44477.0</v>
      </c>
      <c r="G113" s="27" t="s">
        <v>31</v>
      </c>
      <c r="H113" s="29">
        <f>IFERROR(__xludf.DUMMYFUNCTION("IF(ISDATE(S113), DATEDIF(S113, TODAY(), ""Y""), """")"),11.0)</f>
        <v>11</v>
      </c>
      <c r="I113" s="27" t="s">
        <v>1033</v>
      </c>
      <c r="J113" s="27" t="s">
        <v>1034</v>
      </c>
      <c r="K113" s="31"/>
      <c r="L113" s="27" t="s">
        <v>92</v>
      </c>
      <c r="M113" s="27" t="s">
        <v>1035</v>
      </c>
      <c r="N113" s="27" t="s">
        <v>44</v>
      </c>
      <c r="O113" s="27"/>
      <c r="P113" s="31"/>
      <c r="Q113" s="27" t="s">
        <v>36</v>
      </c>
      <c r="R113" s="27">
        <v>2.22664849E8</v>
      </c>
      <c r="S113" s="32">
        <v>41993.0</v>
      </c>
      <c r="T113" s="27" t="s">
        <v>259</v>
      </c>
      <c r="U113" s="27">
        <v>44166.0</v>
      </c>
      <c r="V113" s="27" t="s">
        <v>1036</v>
      </c>
      <c r="W113" s="27">
        <v>5.25826515E8</v>
      </c>
      <c r="X113" s="27" t="s">
        <v>1037</v>
      </c>
      <c r="Y113" s="27">
        <v>5.226356E8</v>
      </c>
      <c r="Z113" s="26" t="s">
        <v>168</v>
      </c>
      <c r="AA113" s="34">
        <v>1.0</v>
      </c>
      <c r="AB113" s="35"/>
      <c r="AC113" s="35" t="s">
        <v>169</v>
      </c>
      <c r="AD113" s="31"/>
      <c r="AE113" s="31"/>
      <c r="AF113" s="31"/>
    </row>
    <row r="114" hidden="1">
      <c r="A114" s="20" t="s">
        <v>157</v>
      </c>
      <c r="B114" s="20" t="s">
        <v>158</v>
      </c>
      <c r="C114" s="20" t="s">
        <v>159</v>
      </c>
      <c r="D114" s="26" t="s">
        <v>142</v>
      </c>
      <c r="E114" s="27" t="s">
        <v>1038</v>
      </c>
      <c r="F114" s="28">
        <v>44745.0</v>
      </c>
      <c r="G114" s="27" t="s">
        <v>31</v>
      </c>
      <c r="H114" s="29">
        <f>IFERROR(__xludf.DUMMYFUNCTION("IF(ISDATE(S114), DATEDIF(S114, TODAY(), ""Y""), """")"),11.0)</f>
        <v>11</v>
      </c>
      <c r="I114" s="27" t="s">
        <v>1039</v>
      </c>
      <c r="J114" s="27" t="s">
        <v>342</v>
      </c>
      <c r="K114" s="31">
        <v>5.27726812E8</v>
      </c>
      <c r="L114" s="27" t="s">
        <v>164</v>
      </c>
      <c r="M114" s="27"/>
      <c r="N114" s="27" t="s">
        <v>44</v>
      </c>
      <c r="O114" s="27"/>
      <c r="P114" s="31"/>
      <c r="Q114" s="27" t="s">
        <v>36</v>
      </c>
      <c r="R114" s="27">
        <v>2.22699027E8</v>
      </c>
      <c r="S114" s="32">
        <v>41773.0</v>
      </c>
      <c r="T114" s="27" t="s">
        <v>447</v>
      </c>
      <c r="U114" s="27">
        <v>44475.0</v>
      </c>
      <c r="V114" s="27" t="s">
        <v>1040</v>
      </c>
      <c r="W114" s="27">
        <v>5.27726811E8</v>
      </c>
      <c r="X114" s="27" t="s">
        <v>301</v>
      </c>
      <c r="Y114" s="27">
        <v>5.27726812E8</v>
      </c>
      <c r="Z114" s="26" t="s">
        <v>43</v>
      </c>
      <c r="AA114" s="34">
        <v>3.0</v>
      </c>
      <c r="AB114" s="35"/>
      <c r="AC114" s="35" t="s">
        <v>169</v>
      </c>
      <c r="AD114" s="31"/>
      <c r="AE114" s="31"/>
      <c r="AF114" s="31"/>
    </row>
    <row r="115" hidden="1">
      <c r="A115" s="20" t="s">
        <v>157</v>
      </c>
      <c r="B115" s="20" t="s">
        <v>158</v>
      </c>
      <c r="C115" s="20" t="s">
        <v>159</v>
      </c>
      <c r="D115" s="37">
        <v>45845.0</v>
      </c>
      <c r="E115" s="26" t="s">
        <v>1041</v>
      </c>
      <c r="F115" s="29" t="s">
        <v>1042</v>
      </c>
      <c r="G115" s="31" t="s">
        <v>90</v>
      </c>
      <c r="H115" s="29">
        <f>IFERROR(__xludf.DUMMYFUNCTION("IF(ISDATE(S115), DATEDIF(S115, TODAY(), ""Y""), """")"),11.0)</f>
        <v>11</v>
      </c>
      <c r="I115" s="20" t="s">
        <v>1043</v>
      </c>
      <c r="J115" s="31" t="s">
        <v>517</v>
      </c>
      <c r="K115" s="39"/>
      <c r="L115" s="31" t="s">
        <v>92</v>
      </c>
      <c r="M115" s="26" t="s">
        <v>1044</v>
      </c>
      <c r="N115" s="20" t="s">
        <v>44</v>
      </c>
      <c r="O115" s="20" t="s">
        <v>1045</v>
      </c>
      <c r="P115" s="20" t="s">
        <v>1046</v>
      </c>
      <c r="Q115" s="26" t="s">
        <v>36</v>
      </c>
      <c r="R115" s="25">
        <v>2.22779753E8</v>
      </c>
      <c r="S115" s="37">
        <v>41883.0</v>
      </c>
      <c r="T115" s="31" t="s">
        <v>1047</v>
      </c>
      <c r="U115" s="106">
        <v>46015.0</v>
      </c>
      <c r="V115" s="31" t="s">
        <v>1048</v>
      </c>
      <c r="W115" s="31" t="s">
        <v>1049</v>
      </c>
      <c r="X115" s="31" t="s">
        <v>1050</v>
      </c>
      <c r="Y115" s="31">
        <v>5.4774566E8</v>
      </c>
      <c r="Z115" s="26" t="s">
        <v>43</v>
      </c>
      <c r="AA115" s="31">
        <v>1.0</v>
      </c>
      <c r="AB115" s="39"/>
      <c r="AC115" s="20" t="s">
        <v>156</v>
      </c>
      <c r="AD115" s="31"/>
      <c r="AE115" s="39"/>
      <c r="AF115" s="39"/>
    </row>
    <row r="116" hidden="1">
      <c r="A116" s="20" t="s">
        <v>157</v>
      </c>
      <c r="B116" s="20" t="s">
        <v>158</v>
      </c>
      <c r="C116" s="20" t="s">
        <v>159</v>
      </c>
      <c r="D116" s="26" t="s">
        <v>142</v>
      </c>
      <c r="E116" s="27" t="s">
        <v>1051</v>
      </c>
      <c r="F116" s="28" t="s">
        <v>1052</v>
      </c>
      <c r="G116" s="27" t="s">
        <v>31</v>
      </c>
      <c r="H116" s="29">
        <f>IFERROR(__xludf.DUMMYFUNCTION("IF(ISDATE(S116), DATEDIF(S116, TODAY(), ""Y""), """")"),12.0)</f>
        <v>12</v>
      </c>
      <c r="I116" s="27" t="s">
        <v>1053</v>
      </c>
      <c r="J116" s="27" t="s">
        <v>1054</v>
      </c>
      <c r="K116" s="31">
        <v>5.06266102E8</v>
      </c>
      <c r="L116" s="27"/>
      <c r="M116" s="27" t="s">
        <v>1055</v>
      </c>
      <c r="N116" s="27" t="s">
        <v>44</v>
      </c>
      <c r="O116" s="27"/>
      <c r="P116" s="31"/>
      <c r="Q116" s="27" t="s">
        <v>1056</v>
      </c>
      <c r="R116" s="27">
        <v>2.22790032E8</v>
      </c>
      <c r="S116" s="32">
        <v>41642.0</v>
      </c>
      <c r="T116" s="27" t="s">
        <v>1057</v>
      </c>
      <c r="U116" s="27">
        <v>44832.0</v>
      </c>
      <c r="V116" s="27" t="s">
        <v>119</v>
      </c>
      <c r="W116" s="27">
        <v>5.04217818E8</v>
      </c>
      <c r="X116" s="27" t="s">
        <v>382</v>
      </c>
      <c r="Y116" s="27">
        <v>5.06266102E8</v>
      </c>
      <c r="Z116" s="26" t="s">
        <v>43</v>
      </c>
      <c r="AA116" s="34">
        <v>4.0</v>
      </c>
      <c r="AB116" s="35"/>
      <c r="AC116" s="20" t="s">
        <v>169</v>
      </c>
      <c r="AD116" s="31"/>
      <c r="AE116" s="31"/>
      <c r="AF116" s="31"/>
    </row>
    <row r="117" hidden="1">
      <c r="A117" s="20" t="s">
        <v>139</v>
      </c>
      <c r="B117" s="20" t="s">
        <v>158</v>
      </c>
      <c r="C117" s="25" t="s">
        <v>566</v>
      </c>
      <c r="D117" s="26" t="s">
        <v>142</v>
      </c>
      <c r="E117" s="40" t="s">
        <v>1058</v>
      </c>
      <c r="F117" s="65" t="s">
        <v>1059</v>
      </c>
      <c r="G117" s="64" t="s">
        <v>31</v>
      </c>
      <c r="H117" s="29">
        <f>IFERROR(__xludf.DUMMYFUNCTION("IF(ISDATE(S117), DATEDIF(S117, TODAY(), ""Y""), """")"),18.0)</f>
        <v>18</v>
      </c>
      <c r="I117" s="64" t="s">
        <v>1060</v>
      </c>
      <c r="J117" s="48" t="s">
        <v>479</v>
      </c>
      <c r="K117" s="66">
        <v>5.33858526E8</v>
      </c>
      <c r="L117" s="25" t="s">
        <v>92</v>
      </c>
      <c r="M117" s="66" t="s">
        <v>1061</v>
      </c>
      <c r="N117" s="48" t="s">
        <v>36</v>
      </c>
      <c r="O117" s="39"/>
      <c r="P117" s="67" t="s">
        <v>1062</v>
      </c>
      <c r="Q117" s="25" t="s">
        <v>36</v>
      </c>
      <c r="R117" s="66">
        <v>3.3176759E8</v>
      </c>
      <c r="S117" s="68">
        <v>39432.0</v>
      </c>
      <c r="T117" s="64" t="s">
        <v>1063</v>
      </c>
      <c r="U117" s="39"/>
      <c r="V117" s="39"/>
      <c r="W117" s="39"/>
      <c r="X117" s="64" t="s">
        <v>1064</v>
      </c>
      <c r="Y117" s="66">
        <v>5.04523471E8</v>
      </c>
      <c r="Z117" s="31"/>
      <c r="AA117" s="39"/>
      <c r="AB117" s="69" t="s">
        <v>1065</v>
      </c>
      <c r="AC117" s="20" t="s">
        <v>169</v>
      </c>
      <c r="AD117" s="39"/>
      <c r="AE117" s="39"/>
      <c r="AF117" s="39"/>
    </row>
    <row r="118" hidden="1">
      <c r="A118" s="92" t="s">
        <v>139</v>
      </c>
      <c r="B118" s="20" t="s">
        <v>140</v>
      </c>
      <c r="C118" s="25" t="s">
        <v>141</v>
      </c>
      <c r="D118" s="37">
        <v>45949.0</v>
      </c>
      <c r="E118" s="40" t="s">
        <v>1066</v>
      </c>
      <c r="F118" s="25" t="s">
        <v>1067</v>
      </c>
      <c r="G118" s="20" t="s">
        <v>31</v>
      </c>
      <c r="H118" s="29">
        <f>IFERROR(__xludf.DUMMYFUNCTION("IF(ISDATE(S118), DATEDIF(S118, TODAY(), ""Y""), """")"),16.0)</f>
        <v>16</v>
      </c>
      <c r="I118" s="20" t="s">
        <v>1068</v>
      </c>
      <c r="J118" s="20" t="s">
        <v>1069</v>
      </c>
      <c r="K118" s="25">
        <v>5.06990298E8</v>
      </c>
      <c r="L118" s="20" t="s">
        <v>92</v>
      </c>
      <c r="M118" s="20" t="s">
        <v>1070</v>
      </c>
      <c r="N118" s="20" t="s">
        <v>36</v>
      </c>
      <c r="O118" s="20" t="s">
        <v>1071</v>
      </c>
      <c r="P118" s="39"/>
      <c r="Q118" s="20" t="s">
        <v>44</v>
      </c>
      <c r="R118" s="25">
        <v>3.33538403E8</v>
      </c>
      <c r="S118" s="37">
        <v>40079.0</v>
      </c>
      <c r="T118" s="20" t="s">
        <v>726</v>
      </c>
      <c r="U118" s="25" t="s">
        <v>1072</v>
      </c>
      <c r="V118" s="20" t="s">
        <v>1073</v>
      </c>
      <c r="W118" s="25">
        <v>5.05987298E8</v>
      </c>
      <c r="X118" s="20" t="s">
        <v>1074</v>
      </c>
      <c r="Y118" s="25">
        <v>5.0698409E8</v>
      </c>
      <c r="Z118" s="26" t="s">
        <v>43</v>
      </c>
      <c r="AA118" s="25">
        <v>3.0</v>
      </c>
      <c r="AB118" s="20"/>
      <c r="AC118" s="20" t="s">
        <v>156</v>
      </c>
      <c r="AD118" s="39"/>
      <c r="AE118" s="39"/>
      <c r="AF118" s="20" t="s">
        <v>1075</v>
      </c>
    </row>
    <row r="119" ht="20.25" hidden="1" customHeight="1">
      <c r="A119" s="20" t="s">
        <v>157</v>
      </c>
      <c r="B119" s="20" t="s">
        <v>158</v>
      </c>
      <c r="C119" s="20" t="s">
        <v>159</v>
      </c>
      <c r="D119" s="26" t="s">
        <v>142</v>
      </c>
      <c r="E119" s="27" t="s">
        <v>1076</v>
      </c>
      <c r="F119" s="28" t="s">
        <v>161</v>
      </c>
      <c r="G119" s="27" t="s">
        <v>31</v>
      </c>
      <c r="H119" s="29">
        <f>IFERROR(__xludf.DUMMYFUNCTION("IF(ISDATE(S119), DATEDIF(S119, TODAY(), ""Y""), """")"),10.0)</f>
        <v>10</v>
      </c>
      <c r="I119" s="27" t="s">
        <v>1077</v>
      </c>
      <c r="J119" s="27" t="s">
        <v>1078</v>
      </c>
      <c r="K119" s="31"/>
      <c r="L119" s="27" t="s">
        <v>92</v>
      </c>
      <c r="M119" s="27" t="s">
        <v>1079</v>
      </c>
      <c r="N119" s="27" t="s">
        <v>44</v>
      </c>
      <c r="O119" s="27"/>
      <c r="P119" s="31"/>
      <c r="Q119" s="27" t="s">
        <v>36</v>
      </c>
      <c r="R119" s="27">
        <v>2.23267816E8</v>
      </c>
      <c r="S119" s="32">
        <v>42152.0</v>
      </c>
      <c r="T119" s="27" t="s">
        <v>1080</v>
      </c>
      <c r="U119" s="27">
        <v>44192.0</v>
      </c>
      <c r="V119" s="27" t="s">
        <v>560</v>
      </c>
      <c r="W119" s="27">
        <v>5.28743173E8</v>
      </c>
      <c r="X119" s="27" t="s">
        <v>878</v>
      </c>
      <c r="Y119" s="27">
        <v>5.28888616E8</v>
      </c>
      <c r="Z119" s="26" t="s">
        <v>43</v>
      </c>
      <c r="AA119" s="34">
        <v>2.0</v>
      </c>
      <c r="AB119" s="35"/>
      <c r="AC119" s="35" t="s">
        <v>169</v>
      </c>
      <c r="AD119" s="31"/>
      <c r="AE119" s="31"/>
      <c r="AF119" s="31"/>
    </row>
    <row r="120" hidden="1">
      <c r="A120" s="20" t="s">
        <v>157</v>
      </c>
      <c r="B120" s="20" t="s">
        <v>140</v>
      </c>
      <c r="C120" s="20" t="s">
        <v>238</v>
      </c>
      <c r="D120" s="26" t="s">
        <v>142</v>
      </c>
      <c r="E120" s="27" t="s">
        <v>1081</v>
      </c>
      <c r="F120" s="28" t="s">
        <v>1082</v>
      </c>
      <c r="G120" s="27" t="s">
        <v>90</v>
      </c>
      <c r="H120" s="29">
        <f>IFERROR(__xludf.DUMMYFUNCTION("IF(ISDATE(S120), DATEDIF(S120, TODAY(), ""Y""), """")"),9.0)</f>
        <v>9</v>
      </c>
      <c r="I120" s="27" t="s">
        <v>1083</v>
      </c>
      <c r="J120" s="27" t="s">
        <v>779</v>
      </c>
      <c r="K120" s="31"/>
      <c r="L120" s="27" t="s">
        <v>92</v>
      </c>
      <c r="M120" s="27" t="s">
        <v>1084</v>
      </c>
      <c r="N120" s="27" t="s">
        <v>44</v>
      </c>
      <c r="O120" s="27"/>
      <c r="P120" s="31"/>
      <c r="Q120" s="27" t="s">
        <v>44</v>
      </c>
      <c r="R120" s="27">
        <v>2.23291394E8</v>
      </c>
      <c r="S120" s="32">
        <v>42503.0</v>
      </c>
      <c r="T120" s="27" t="s">
        <v>1085</v>
      </c>
      <c r="U120" s="27">
        <v>44238.0</v>
      </c>
      <c r="V120" s="27" t="s">
        <v>1086</v>
      </c>
      <c r="W120" s="27">
        <v>5.46782443E8</v>
      </c>
      <c r="X120" s="27" t="s">
        <v>894</v>
      </c>
      <c r="Y120" s="27">
        <v>5.03396677E8</v>
      </c>
      <c r="Z120" s="26" t="s">
        <v>43</v>
      </c>
      <c r="AA120" s="34">
        <v>3.0</v>
      </c>
      <c r="AB120" s="35"/>
      <c r="AC120" s="20" t="s">
        <v>169</v>
      </c>
      <c r="AD120" s="31"/>
      <c r="AE120" s="31"/>
      <c r="AF120" s="31"/>
    </row>
    <row r="121" hidden="1">
      <c r="A121" s="20" t="s">
        <v>157</v>
      </c>
      <c r="B121" s="20" t="s">
        <v>158</v>
      </c>
      <c r="C121" s="20" t="s">
        <v>159</v>
      </c>
      <c r="D121" s="26" t="s">
        <v>142</v>
      </c>
      <c r="E121" s="27" t="s">
        <v>1087</v>
      </c>
      <c r="F121" s="28" t="s">
        <v>1088</v>
      </c>
      <c r="G121" s="27" t="s">
        <v>31</v>
      </c>
      <c r="H121" s="29">
        <f>IFERROR(__xludf.DUMMYFUNCTION("IF(ISDATE(S121), DATEDIF(S121, TODAY(), ""Y""), """")"),10.0)</f>
        <v>10</v>
      </c>
      <c r="I121" s="27" t="s">
        <v>1089</v>
      </c>
      <c r="J121" s="27" t="s">
        <v>241</v>
      </c>
      <c r="K121" s="31">
        <v>5.26051361E8</v>
      </c>
      <c r="L121" s="27" t="s">
        <v>164</v>
      </c>
      <c r="M121" s="27"/>
      <c r="N121" s="27" t="s">
        <v>44</v>
      </c>
      <c r="O121" s="27"/>
      <c r="P121" s="31"/>
      <c r="Q121" s="27" t="s">
        <v>36</v>
      </c>
      <c r="R121" s="27">
        <v>2.23381948E8</v>
      </c>
      <c r="S121" s="32">
        <v>42073.0</v>
      </c>
      <c r="T121" s="27" t="s">
        <v>1090</v>
      </c>
      <c r="U121" s="27">
        <v>44138.0</v>
      </c>
      <c r="V121" s="27" t="s">
        <v>1091</v>
      </c>
      <c r="W121" s="27">
        <v>5.28155575E8</v>
      </c>
      <c r="X121" s="27" t="s">
        <v>1092</v>
      </c>
      <c r="Y121" s="27">
        <v>5.26051361E8</v>
      </c>
      <c r="Z121" s="26" t="s">
        <v>43</v>
      </c>
      <c r="AA121" s="34">
        <v>3.0</v>
      </c>
      <c r="AB121" s="35"/>
      <c r="AC121" s="35" t="s">
        <v>169</v>
      </c>
      <c r="AD121" s="31"/>
      <c r="AE121" s="31"/>
      <c r="AF121" s="31"/>
    </row>
    <row r="122" hidden="1">
      <c r="A122" s="20" t="s">
        <v>139</v>
      </c>
      <c r="B122" s="20" t="s">
        <v>140</v>
      </c>
      <c r="C122" s="20" t="s">
        <v>238</v>
      </c>
      <c r="D122" s="26" t="s">
        <v>142</v>
      </c>
      <c r="E122" s="40" t="s">
        <v>1093</v>
      </c>
      <c r="F122" s="65">
        <v>45901.0</v>
      </c>
      <c r="G122" s="64" t="s">
        <v>90</v>
      </c>
      <c r="H122" s="29">
        <v>15.0</v>
      </c>
      <c r="I122" s="64" t="s">
        <v>1094</v>
      </c>
      <c r="J122" s="48" t="s">
        <v>225</v>
      </c>
      <c r="K122" s="66" t="s">
        <v>1095</v>
      </c>
      <c r="L122" s="39" t="s">
        <v>610</v>
      </c>
      <c r="M122" s="64" t="s">
        <v>1096</v>
      </c>
      <c r="N122" s="48" t="s">
        <v>36</v>
      </c>
      <c r="O122" s="39" t="s">
        <v>1097</v>
      </c>
      <c r="P122" s="39"/>
      <c r="Q122" s="39" t="s">
        <v>36</v>
      </c>
      <c r="R122" s="39">
        <v>3.34452273E8</v>
      </c>
      <c r="S122" s="68">
        <v>40247.0</v>
      </c>
      <c r="T122" s="64" t="s">
        <v>1098</v>
      </c>
      <c r="U122" s="73" t="s">
        <v>1099</v>
      </c>
      <c r="V122" s="39" t="s">
        <v>1100</v>
      </c>
      <c r="W122" s="73" t="s">
        <v>1101</v>
      </c>
      <c r="X122" s="64" t="s">
        <v>491</v>
      </c>
      <c r="Y122" s="70" t="s">
        <v>1102</v>
      </c>
      <c r="Z122" s="31" t="s">
        <v>43</v>
      </c>
      <c r="AA122" s="25">
        <v>1.0</v>
      </c>
      <c r="AB122" s="69" t="s">
        <v>36</v>
      </c>
      <c r="AC122" s="20" t="s">
        <v>169</v>
      </c>
      <c r="AD122" s="74"/>
      <c r="AE122" s="39"/>
      <c r="AF122" s="39"/>
    </row>
    <row r="123" hidden="1">
      <c r="A123" s="20" t="s">
        <v>157</v>
      </c>
      <c r="B123" s="20" t="s">
        <v>158</v>
      </c>
      <c r="C123" s="20" t="s">
        <v>159</v>
      </c>
      <c r="D123" s="37" t="s">
        <v>1103</v>
      </c>
      <c r="E123" s="20" t="s">
        <v>1104</v>
      </c>
      <c r="F123" s="38">
        <v>45177.0</v>
      </c>
      <c r="G123" s="20" t="s">
        <v>31</v>
      </c>
      <c r="H123" s="29">
        <f>IFERROR(__xludf.DUMMYFUNCTION("IF(ISDATE(S123), DATEDIF(S123, TODAY(), ""Y""), """")"),11.0)</f>
        <v>11</v>
      </c>
      <c r="I123" s="20" t="s">
        <v>1105</v>
      </c>
      <c r="J123" s="20" t="s">
        <v>436</v>
      </c>
      <c r="K123" s="39"/>
      <c r="L123" s="20" t="s">
        <v>92</v>
      </c>
      <c r="M123" s="25" t="s">
        <v>1106</v>
      </c>
      <c r="N123" s="25" t="s">
        <v>44</v>
      </c>
      <c r="O123" s="39"/>
      <c r="P123" s="25" t="s">
        <v>1107</v>
      </c>
      <c r="Q123" s="20" t="s">
        <v>44</v>
      </c>
      <c r="R123" s="25">
        <v>2.23479759E8</v>
      </c>
      <c r="S123" s="37">
        <v>41924.0</v>
      </c>
      <c r="T123" s="25" t="s">
        <v>1108</v>
      </c>
      <c r="U123" s="25" t="s">
        <v>1109</v>
      </c>
      <c r="V123" s="20" t="s">
        <v>1110</v>
      </c>
      <c r="W123" s="25">
        <v>5.2295503E8</v>
      </c>
      <c r="X123" s="20" t="s">
        <v>1111</v>
      </c>
      <c r="Y123" s="25">
        <v>5.2895503E8</v>
      </c>
      <c r="Z123" s="26" t="s">
        <v>1112</v>
      </c>
      <c r="AA123" s="25">
        <v>4.0</v>
      </c>
      <c r="AB123" s="39"/>
      <c r="AC123" s="20" t="s">
        <v>156</v>
      </c>
      <c r="AD123" s="20"/>
      <c r="AE123" s="39"/>
      <c r="AF123" s="39"/>
    </row>
    <row r="124" hidden="1">
      <c r="A124" s="20" t="s">
        <v>139</v>
      </c>
      <c r="B124" s="20" t="s">
        <v>140</v>
      </c>
      <c r="C124" s="25" t="s">
        <v>409</v>
      </c>
      <c r="D124" s="26" t="s">
        <v>142</v>
      </c>
      <c r="E124" s="40" t="s">
        <v>1113</v>
      </c>
      <c r="F124" s="65">
        <v>45887.59979759259</v>
      </c>
      <c r="G124" s="64" t="s">
        <v>90</v>
      </c>
      <c r="H124" s="29">
        <f>IFERROR(__xludf.DUMMYFUNCTION("IF(ISDATE(S124), DATEDIF(S124, TODAY(), ""Y""), """")"),19.0)</f>
        <v>19</v>
      </c>
      <c r="I124" s="64" t="s">
        <v>1114</v>
      </c>
      <c r="J124" s="48" t="s">
        <v>1115</v>
      </c>
      <c r="K124" s="70" t="s">
        <v>1116</v>
      </c>
      <c r="L124" s="39"/>
      <c r="M124" s="64" t="s">
        <v>1117</v>
      </c>
      <c r="N124" s="48" t="s">
        <v>36</v>
      </c>
      <c r="O124" s="39"/>
      <c r="P124" s="67"/>
      <c r="Q124" s="25" t="s">
        <v>36</v>
      </c>
      <c r="R124" s="70" t="s">
        <v>1118</v>
      </c>
      <c r="S124" s="68">
        <v>38883.0</v>
      </c>
      <c r="T124" s="64" t="s">
        <v>1090</v>
      </c>
      <c r="U124" s="39"/>
      <c r="V124" s="39"/>
      <c r="W124" s="39"/>
      <c r="X124" s="64" t="s">
        <v>1119</v>
      </c>
      <c r="Y124" s="70" t="s">
        <v>1120</v>
      </c>
      <c r="Z124" s="31"/>
      <c r="AA124" s="39"/>
      <c r="AB124" s="107" t="s">
        <v>623</v>
      </c>
      <c r="AC124" s="20" t="s">
        <v>169</v>
      </c>
      <c r="AD124" s="39"/>
      <c r="AE124" s="39"/>
      <c r="AF124" s="39"/>
    </row>
    <row r="125" hidden="1">
      <c r="A125" s="20" t="s">
        <v>157</v>
      </c>
      <c r="B125" s="20" t="s">
        <v>158</v>
      </c>
      <c r="C125" s="20" t="s">
        <v>159</v>
      </c>
      <c r="D125" s="26" t="s">
        <v>142</v>
      </c>
      <c r="E125" s="27" t="s">
        <v>1121</v>
      </c>
      <c r="F125" s="28" t="s">
        <v>1122</v>
      </c>
      <c r="G125" s="27" t="s">
        <v>31</v>
      </c>
      <c r="H125" s="29">
        <f>IFERROR(__xludf.DUMMYFUNCTION("IF(ISDATE(S125), DATEDIF(S125, TODAY(), ""Y""), """")"),10.0)</f>
        <v>10</v>
      </c>
      <c r="I125" s="27" t="s">
        <v>1123</v>
      </c>
      <c r="J125" s="27" t="s">
        <v>779</v>
      </c>
      <c r="K125" s="31">
        <v>5.25783376E8</v>
      </c>
      <c r="L125" s="27" t="s">
        <v>92</v>
      </c>
      <c r="M125" s="27" t="s">
        <v>1124</v>
      </c>
      <c r="N125" s="27" t="s">
        <v>44</v>
      </c>
      <c r="O125" s="27"/>
      <c r="P125" s="31"/>
      <c r="Q125" s="27" t="s">
        <v>1125</v>
      </c>
      <c r="R125" s="27">
        <v>2.23735069E8</v>
      </c>
      <c r="S125" s="32">
        <v>42254.0</v>
      </c>
      <c r="T125" s="27" t="s">
        <v>1126</v>
      </c>
      <c r="U125" s="27">
        <v>44838.0</v>
      </c>
      <c r="V125" s="27" t="s">
        <v>682</v>
      </c>
      <c r="W125" s="27">
        <v>5.26754445E8</v>
      </c>
      <c r="X125" s="27" t="s">
        <v>1127</v>
      </c>
      <c r="Y125" s="27">
        <v>5.25783376E8</v>
      </c>
      <c r="Z125" s="26" t="s">
        <v>43</v>
      </c>
      <c r="AA125" s="34">
        <v>3.0</v>
      </c>
      <c r="AB125" s="35"/>
      <c r="AC125" s="35" t="s">
        <v>169</v>
      </c>
      <c r="AD125" s="31"/>
      <c r="AE125" s="31"/>
      <c r="AF125" s="31"/>
    </row>
    <row r="126" hidden="1">
      <c r="A126" s="20" t="s">
        <v>157</v>
      </c>
      <c r="B126" s="20" t="s">
        <v>158</v>
      </c>
      <c r="C126" s="20" t="s">
        <v>159</v>
      </c>
      <c r="D126" s="26" t="s">
        <v>142</v>
      </c>
      <c r="E126" s="27" t="s">
        <v>1128</v>
      </c>
      <c r="F126" s="28">
        <v>44503.0</v>
      </c>
      <c r="G126" s="27" t="s">
        <v>31</v>
      </c>
      <c r="H126" s="29">
        <f>IFERROR(__xludf.DUMMYFUNCTION("IF(ISDATE(S126), DATEDIF(S126, TODAY(), ""Y""), """")"),10.0)</f>
        <v>10</v>
      </c>
      <c r="I126" s="27" t="s">
        <v>1129</v>
      </c>
      <c r="J126" s="27" t="s">
        <v>1130</v>
      </c>
      <c r="K126" s="31"/>
      <c r="L126" s="27" t="s">
        <v>92</v>
      </c>
      <c r="M126" s="27" t="s">
        <v>165</v>
      </c>
      <c r="N126" s="27" t="s">
        <v>44</v>
      </c>
      <c r="O126" s="27"/>
      <c r="P126" s="31"/>
      <c r="Q126" s="27" t="s">
        <v>44</v>
      </c>
      <c r="R126" s="27">
        <v>2.23735374E8</v>
      </c>
      <c r="S126" s="32">
        <v>42303.0</v>
      </c>
      <c r="T126" s="27" t="s">
        <v>1028</v>
      </c>
      <c r="U126" s="27">
        <v>44206.0</v>
      </c>
      <c r="V126" s="27" t="s">
        <v>1131</v>
      </c>
      <c r="W126" s="27">
        <v>5.47334145E8</v>
      </c>
      <c r="X126" s="27" t="s">
        <v>745</v>
      </c>
      <c r="Y126" s="27">
        <v>5.45997533E8</v>
      </c>
      <c r="Z126" s="26" t="s">
        <v>43</v>
      </c>
      <c r="AA126" s="34">
        <v>1.0</v>
      </c>
      <c r="AB126" s="35"/>
      <c r="AC126" s="35" t="s">
        <v>169</v>
      </c>
      <c r="AD126" s="31"/>
      <c r="AE126" s="31"/>
      <c r="AF126" s="31"/>
    </row>
    <row r="127" hidden="1">
      <c r="A127" s="20" t="s">
        <v>139</v>
      </c>
      <c r="B127" s="20" t="s">
        <v>140</v>
      </c>
      <c r="C127" s="25" t="s">
        <v>141</v>
      </c>
      <c r="D127" s="26" t="s">
        <v>142</v>
      </c>
      <c r="E127" s="40" t="s">
        <v>654</v>
      </c>
      <c r="F127" s="41">
        <v>45678.84698403935</v>
      </c>
      <c r="G127" s="40" t="s">
        <v>90</v>
      </c>
      <c r="H127" s="29">
        <f>IFERROR(__xludf.DUMMYFUNCTION("IF(ISDATE(S127), DATEDIF(S127, TODAY(), ""Y""), """")"),18.0)</f>
        <v>18</v>
      </c>
      <c r="I127" s="40" t="s">
        <v>655</v>
      </c>
      <c r="J127" s="42" t="s">
        <v>656</v>
      </c>
      <c r="K127" s="43" t="s">
        <v>657</v>
      </c>
      <c r="L127" s="39"/>
      <c r="M127" s="40" t="s">
        <v>238</v>
      </c>
      <c r="N127" s="48" t="s">
        <v>36</v>
      </c>
      <c r="O127" s="39"/>
      <c r="P127" s="40"/>
      <c r="Q127" s="25" t="s">
        <v>36</v>
      </c>
      <c r="R127" s="43" t="s">
        <v>1132</v>
      </c>
      <c r="S127" s="45">
        <v>39313.0</v>
      </c>
      <c r="T127" s="40" t="s">
        <v>38</v>
      </c>
      <c r="U127" s="39"/>
      <c r="V127" s="39"/>
      <c r="W127" s="39"/>
      <c r="X127" s="40" t="s">
        <v>662</v>
      </c>
      <c r="Y127" s="43" t="s">
        <v>663</v>
      </c>
      <c r="Z127" s="31"/>
      <c r="AA127" s="39"/>
      <c r="AB127" s="46"/>
      <c r="AC127" s="20" t="s">
        <v>169</v>
      </c>
      <c r="AD127" s="39"/>
      <c r="AE127" s="39"/>
      <c r="AF127" s="39"/>
    </row>
    <row r="128" hidden="1">
      <c r="A128" s="20" t="s">
        <v>157</v>
      </c>
      <c r="B128" s="20" t="s">
        <v>158</v>
      </c>
      <c r="C128" s="20" t="s">
        <v>159</v>
      </c>
      <c r="D128" s="26" t="s">
        <v>142</v>
      </c>
      <c r="E128" s="27" t="s">
        <v>1133</v>
      </c>
      <c r="F128" s="28" t="s">
        <v>1001</v>
      </c>
      <c r="G128" s="27" t="s">
        <v>90</v>
      </c>
      <c r="H128" s="29">
        <f>IFERROR(__xludf.DUMMYFUNCTION("IF(ISDATE(S128), DATEDIF(S128, TODAY(), ""Y""), """")"),8.0)</f>
        <v>8</v>
      </c>
      <c r="I128" s="27" t="s">
        <v>1134</v>
      </c>
      <c r="J128" s="27" t="s">
        <v>1135</v>
      </c>
      <c r="K128" s="31"/>
      <c r="L128" s="27" t="s">
        <v>649</v>
      </c>
      <c r="M128" s="27" t="s">
        <v>1136</v>
      </c>
      <c r="N128" s="27" t="s">
        <v>44</v>
      </c>
      <c r="O128" s="27"/>
      <c r="P128" s="31"/>
      <c r="Q128" s="27" t="s">
        <v>44</v>
      </c>
      <c r="R128" s="27">
        <v>2.24029629E8</v>
      </c>
      <c r="S128" s="32">
        <v>43038.0</v>
      </c>
      <c r="T128" s="27" t="s">
        <v>726</v>
      </c>
      <c r="U128" s="27">
        <v>43565.0</v>
      </c>
      <c r="V128" s="27" t="s">
        <v>84</v>
      </c>
      <c r="W128" s="27">
        <v>5.07502405E8</v>
      </c>
      <c r="X128" s="27" t="s">
        <v>98</v>
      </c>
      <c r="Y128" s="27">
        <v>5.28299686E8</v>
      </c>
      <c r="Z128" s="26" t="s">
        <v>43</v>
      </c>
      <c r="AA128" s="34"/>
      <c r="AB128" s="35"/>
      <c r="AC128" s="35" t="s">
        <v>169</v>
      </c>
      <c r="AD128" s="31"/>
      <c r="AE128" s="31"/>
      <c r="AF128" s="31"/>
    </row>
    <row r="129" hidden="1">
      <c r="A129" s="20" t="s">
        <v>157</v>
      </c>
      <c r="B129" s="20" t="s">
        <v>158</v>
      </c>
      <c r="C129" s="20" t="s">
        <v>159</v>
      </c>
      <c r="D129" s="26" t="s">
        <v>142</v>
      </c>
      <c r="E129" s="27" t="s">
        <v>1137</v>
      </c>
      <c r="F129" s="28">
        <v>44326.0</v>
      </c>
      <c r="G129" s="27" t="s">
        <v>31</v>
      </c>
      <c r="H129" s="29">
        <f>IFERROR(__xludf.DUMMYFUNCTION("IF(ISDATE(S129), DATEDIF(S129, TODAY(), ""Y""), """")"),9.0)</f>
        <v>9</v>
      </c>
      <c r="I129" s="27" t="s">
        <v>1138</v>
      </c>
      <c r="J129" s="27" t="s">
        <v>1139</v>
      </c>
      <c r="K129" s="31"/>
      <c r="L129" s="27" t="s">
        <v>92</v>
      </c>
      <c r="M129" s="27" t="s">
        <v>1140</v>
      </c>
      <c r="N129" s="27" t="s">
        <v>44</v>
      </c>
      <c r="O129" s="27"/>
      <c r="P129" s="31"/>
      <c r="Q129" s="27" t="s">
        <v>44</v>
      </c>
      <c r="R129" s="27">
        <v>2.24155077E8</v>
      </c>
      <c r="S129" s="32">
        <v>42395.0</v>
      </c>
      <c r="T129" s="27" t="s">
        <v>38</v>
      </c>
      <c r="U129" s="27">
        <v>43838.0</v>
      </c>
      <c r="V129" s="27" t="s">
        <v>1141</v>
      </c>
      <c r="W129" s="27">
        <v>5.29285352E8</v>
      </c>
      <c r="X129" s="27" t="s">
        <v>1142</v>
      </c>
      <c r="Y129" s="27">
        <v>5.05623999E8</v>
      </c>
      <c r="Z129" s="26" t="s">
        <v>43</v>
      </c>
      <c r="AA129" s="34">
        <v>2.0</v>
      </c>
      <c r="AB129" s="35"/>
      <c r="AC129" s="35" t="s">
        <v>169</v>
      </c>
      <c r="AD129" s="31"/>
      <c r="AE129" s="31"/>
      <c r="AF129" s="31"/>
    </row>
    <row r="130" hidden="1">
      <c r="A130" s="108" t="s">
        <v>157</v>
      </c>
      <c r="B130" s="20" t="s">
        <v>1143</v>
      </c>
      <c r="C130" s="25" t="s">
        <v>238</v>
      </c>
      <c r="D130" s="37">
        <v>45958.0</v>
      </c>
      <c r="E130" s="109" t="s">
        <v>1144</v>
      </c>
      <c r="F130" s="37">
        <v>45958.0</v>
      </c>
      <c r="G130" s="39" t="s">
        <v>90</v>
      </c>
      <c r="H130" s="25">
        <v>14.0</v>
      </c>
      <c r="I130" s="39" t="s">
        <v>1145</v>
      </c>
      <c r="J130" s="39" t="s">
        <v>1146</v>
      </c>
      <c r="K130" s="39"/>
      <c r="L130" s="39" t="s">
        <v>92</v>
      </c>
      <c r="M130" s="20" t="s">
        <v>38</v>
      </c>
      <c r="N130" s="39" t="s">
        <v>36</v>
      </c>
      <c r="O130" s="20" t="s">
        <v>1147</v>
      </c>
      <c r="P130" s="39"/>
      <c r="Q130" s="39" t="s">
        <v>36</v>
      </c>
      <c r="R130" s="39">
        <v>2.20392047E8</v>
      </c>
      <c r="S130" s="110">
        <v>40596.0</v>
      </c>
      <c r="T130" s="20" t="s">
        <v>38</v>
      </c>
      <c r="U130" s="39" t="s">
        <v>1148</v>
      </c>
      <c r="V130" s="39" t="s">
        <v>1149</v>
      </c>
      <c r="W130" s="73" t="s">
        <v>1150</v>
      </c>
      <c r="X130" s="39" t="s">
        <v>855</v>
      </c>
      <c r="Y130" s="73" t="s">
        <v>1151</v>
      </c>
      <c r="Z130" s="20" t="s">
        <v>43</v>
      </c>
      <c r="AA130" s="39">
        <v>2.0</v>
      </c>
      <c r="AB130" s="20"/>
      <c r="AC130" s="20" t="s">
        <v>1152</v>
      </c>
      <c r="AD130" s="39"/>
      <c r="AE130" s="39" t="s">
        <v>1153</v>
      </c>
      <c r="AF130" s="20"/>
    </row>
    <row r="131" hidden="1">
      <c r="A131" s="20" t="s">
        <v>157</v>
      </c>
      <c r="B131" s="20" t="s">
        <v>158</v>
      </c>
      <c r="C131" s="20" t="s">
        <v>159</v>
      </c>
      <c r="D131" s="37">
        <v>45937.0</v>
      </c>
      <c r="E131" s="20" t="s">
        <v>1154</v>
      </c>
      <c r="F131" s="25" t="s">
        <v>1155</v>
      </c>
      <c r="G131" s="20" t="s">
        <v>31</v>
      </c>
      <c r="H131" s="29">
        <f>IFERROR(__xludf.DUMMYFUNCTION("IF(ISDATE(S131), DATEDIF(S131, TODAY(), ""Y""), """")"),10.0)</f>
        <v>10</v>
      </c>
      <c r="I131" s="20" t="s">
        <v>1156</v>
      </c>
      <c r="J131" s="20" t="s">
        <v>1157</v>
      </c>
      <c r="K131" s="39"/>
      <c r="L131" s="20" t="s">
        <v>49</v>
      </c>
      <c r="M131" s="20" t="s">
        <v>409</v>
      </c>
      <c r="N131" s="20" t="s">
        <v>44</v>
      </c>
      <c r="O131" s="20"/>
      <c r="P131" s="20" t="s">
        <v>1158</v>
      </c>
      <c r="Q131" s="20" t="s">
        <v>44</v>
      </c>
      <c r="R131" s="25">
        <v>2.24263392E8</v>
      </c>
      <c r="S131" s="37">
        <v>42369.0</v>
      </c>
      <c r="T131" s="20" t="s">
        <v>1159</v>
      </c>
      <c r="U131" s="25" t="s">
        <v>1160</v>
      </c>
      <c r="V131" s="20" t="s">
        <v>1161</v>
      </c>
      <c r="W131" s="25">
        <v>5.24624721E8</v>
      </c>
      <c r="X131" s="20" t="s">
        <v>1162</v>
      </c>
      <c r="Y131" s="25">
        <v>5.07244925E8</v>
      </c>
      <c r="Z131" s="26" t="s">
        <v>43</v>
      </c>
      <c r="AA131" s="25">
        <v>1.0</v>
      </c>
      <c r="AB131" s="20" t="s">
        <v>1163</v>
      </c>
      <c r="AC131" s="20" t="s">
        <v>169</v>
      </c>
      <c r="AD131" s="20"/>
      <c r="AE131" s="20"/>
      <c r="AF131" s="20"/>
    </row>
    <row r="132" hidden="1">
      <c r="A132" s="20" t="s">
        <v>157</v>
      </c>
      <c r="B132" s="20" t="s">
        <v>158</v>
      </c>
      <c r="C132" s="20" t="s">
        <v>159</v>
      </c>
      <c r="D132" s="26" t="s">
        <v>142</v>
      </c>
      <c r="E132" s="27" t="s">
        <v>1164</v>
      </c>
      <c r="F132" s="28">
        <v>44350.0</v>
      </c>
      <c r="G132" s="27" t="s">
        <v>31</v>
      </c>
      <c r="H132" s="29">
        <f>IFERROR(__xludf.DUMMYFUNCTION("IF(ISDATE(S132), DATEDIF(S132, TODAY(), ""Y""), """")"),10.0)</f>
        <v>10</v>
      </c>
      <c r="I132" s="27" t="s">
        <v>1165</v>
      </c>
      <c r="J132" s="27" t="s">
        <v>479</v>
      </c>
      <c r="K132" s="31"/>
      <c r="L132" s="27" t="s">
        <v>92</v>
      </c>
      <c r="M132" s="27" t="s">
        <v>1166</v>
      </c>
      <c r="N132" s="27" t="s">
        <v>44</v>
      </c>
      <c r="O132" s="27"/>
      <c r="P132" s="31"/>
      <c r="Q132" s="27" t="s">
        <v>44</v>
      </c>
      <c r="R132" s="27">
        <v>2.24336321E8</v>
      </c>
      <c r="S132" s="32">
        <v>42368.0</v>
      </c>
      <c r="T132" s="27" t="s">
        <v>38</v>
      </c>
      <c r="U132" s="27">
        <v>44232.0</v>
      </c>
      <c r="V132" s="27" t="s">
        <v>1167</v>
      </c>
      <c r="W132" s="27">
        <v>5.2666379E8</v>
      </c>
      <c r="X132" s="27" t="s">
        <v>1168</v>
      </c>
      <c r="Y132" s="27">
        <v>5.24399774E8</v>
      </c>
      <c r="Z132" s="26" t="s">
        <v>43</v>
      </c>
      <c r="AA132" s="34">
        <v>2.0</v>
      </c>
      <c r="AB132" s="35"/>
      <c r="AC132" s="35" t="s">
        <v>169</v>
      </c>
      <c r="AD132" s="31"/>
      <c r="AE132" s="31"/>
      <c r="AF132" s="31"/>
    </row>
    <row r="133" hidden="1">
      <c r="A133" s="20" t="s">
        <v>157</v>
      </c>
      <c r="B133" s="20" t="s">
        <v>158</v>
      </c>
      <c r="C133" s="20" t="s">
        <v>159</v>
      </c>
      <c r="D133" s="37">
        <v>45876.0</v>
      </c>
      <c r="E133" s="20" t="s">
        <v>1169</v>
      </c>
      <c r="F133" s="25" t="s">
        <v>1170</v>
      </c>
      <c r="G133" s="20" t="s">
        <v>90</v>
      </c>
      <c r="H133" s="29">
        <f>IFERROR(__xludf.DUMMYFUNCTION("IF(ISDATE(S133), DATEDIF(S133, TODAY(), ""Y""), """")"),9.0)</f>
        <v>9</v>
      </c>
      <c r="I133" s="20" t="s">
        <v>1171</v>
      </c>
      <c r="J133" s="20" t="s">
        <v>1172</v>
      </c>
      <c r="K133" s="25" t="s">
        <v>198</v>
      </c>
      <c r="L133" s="20" t="s">
        <v>92</v>
      </c>
      <c r="M133" s="20" t="s">
        <v>1173</v>
      </c>
      <c r="N133" s="20" t="s">
        <v>44</v>
      </c>
      <c r="O133" s="39"/>
      <c r="P133" s="20" t="s">
        <v>1174</v>
      </c>
      <c r="Q133" s="20" t="s">
        <v>44</v>
      </c>
      <c r="R133" s="25">
        <v>2.24399931E8</v>
      </c>
      <c r="S133" s="37">
        <v>42521.0</v>
      </c>
      <c r="T133" s="20" t="s">
        <v>331</v>
      </c>
      <c r="U133" s="38">
        <v>44605.0</v>
      </c>
      <c r="V133" s="20" t="s">
        <v>1175</v>
      </c>
      <c r="W133" s="25">
        <v>5.05457869E8</v>
      </c>
      <c r="X133" s="20" t="s">
        <v>1176</v>
      </c>
      <c r="Y133" s="25">
        <v>5.05519601E8</v>
      </c>
      <c r="Z133" s="26" t="s">
        <v>43</v>
      </c>
      <c r="AA133" s="25">
        <v>6.0</v>
      </c>
      <c r="AB133" s="39"/>
      <c r="AC133" s="20" t="s">
        <v>169</v>
      </c>
      <c r="AD133" s="39"/>
      <c r="AE133" s="39"/>
      <c r="AF133" s="39"/>
    </row>
    <row r="134" hidden="1">
      <c r="A134" s="20" t="s">
        <v>157</v>
      </c>
      <c r="B134" s="20" t="s">
        <v>158</v>
      </c>
      <c r="C134" s="20" t="s">
        <v>159</v>
      </c>
      <c r="D134" s="26" t="s">
        <v>142</v>
      </c>
      <c r="E134" s="27" t="s">
        <v>1177</v>
      </c>
      <c r="F134" s="28">
        <v>44511.0</v>
      </c>
      <c r="G134" s="27" t="s">
        <v>90</v>
      </c>
      <c r="H134" s="29">
        <f>IFERROR(__xludf.DUMMYFUNCTION("IF(ISDATE(S134), DATEDIF(S134, TODAY(), ""Y""), """")"),10.0)</f>
        <v>10</v>
      </c>
      <c r="I134" s="27" t="s">
        <v>1178</v>
      </c>
      <c r="J134" s="27" t="s">
        <v>668</v>
      </c>
      <c r="K134" s="31">
        <v>5.48841123E8</v>
      </c>
      <c r="L134" s="27" t="s">
        <v>103</v>
      </c>
      <c r="M134" s="27" t="s">
        <v>1179</v>
      </c>
      <c r="N134" s="27" t="s">
        <v>44</v>
      </c>
      <c r="O134" s="27"/>
      <c r="P134" s="31"/>
      <c r="Q134" s="27" t="s">
        <v>44</v>
      </c>
      <c r="R134" s="27">
        <v>2.24475871E8</v>
      </c>
      <c r="S134" s="32">
        <v>42380.0</v>
      </c>
      <c r="T134" s="27" t="s">
        <v>1180</v>
      </c>
      <c r="U134" s="27">
        <v>43586.0</v>
      </c>
      <c r="V134" s="27" t="s">
        <v>689</v>
      </c>
      <c r="W134" s="27">
        <v>5.03450078E8</v>
      </c>
      <c r="X134" s="27" t="s">
        <v>1127</v>
      </c>
      <c r="Y134" s="27">
        <v>5.48841123E8</v>
      </c>
      <c r="Z134" s="26" t="s">
        <v>43</v>
      </c>
      <c r="AA134" s="34">
        <v>2.0</v>
      </c>
      <c r="AB134" s="35"/>
      <c r="AC134" s="35" t="s">
        <v>169</v>
      </c>
      <c r="AD134" s="31"/>
      <c r="AE134" s="31"/>
      <c r="AF134" s="31"/>
    </row>
    <row r="135" hidden="1">
      <c r="A135" s="20" t="s">
        <v>157</v>
      </c>
      <c r="B135" s="20" t="s">
        <v>158</v>
      </c>
      <c r="C135" s="20" t="s">
        <v>159</v>
      </c>
      <c r="D135" s="26" t="s">
        <v>142</v>
      </c>
      <c r="E135" s="27" t="s">
        <v>1181</v>
      </c>
      <c r="F135" s="28">
        <v>44353.0</v>
      </c>
      <c r="G135" s="27" t="s">
        <v>90</v>
      </c>
      <c r="H135" s="29">
        <f>IFERROR(__xludf.DUMMYFUNCTION("IF(ISDATE(S135), DATEDIF(S135, TODAY(), ""Y""), """")"),10.0)</f>
        <v>10</v>
      </c>
      <c r="I135" s="27" t="s">
        <v>1182</v>
      </c>
      <c r="J135" s="27" t="s">
        <v>145</v>
      </c>
      <c r="K135" s="31">
        <v>5.25124105E8</v>
      </c>
      <c r="L135" s="27" t="s">
        <v>92</v>
      </c>
      <c r="M135" s="27"/>
      <c r="N135" s="27" t="s">
        <v>44</v>
      </c>
      <c r="O135" s="27"/>
      <c r="P135" s="31"/>
      <c r="Q135" s="27" t="s">
        <v>36</v>
      </c>
      <c r="R135" s="27">
        <v>2.24635268E8</v>
      </c>
      <c r="S135" s="32">
        <v>42293.0</v>
      </c>
      <c r="T135" s="27" t="s">
        <v>1183</v>
      </c>
      <c r="U135" s="27">
        <v>44041.0</v>
      </c>
      <c r="V135" s="27" t="s">
        <v>84</v>
      </c>
      <c r="W135" s="27">
        <v>5.25147881E8</v>
      </c>
      <c r="X135" s="27" t="s">
        <v>1184</v>
      </c>
      <c r="Y135" s="27">
        <v>5.25124105E8</v>
      </c>
      <c r="Z135" s="26" t="s">
        <v>43</v>
      </c>
      <c r="AA135" s="34">
        <v>1.0</v>
      </c>
      <c r="AB135" s="35"/>
      <c r="AC135" s="35" t="s">
        <v>169</v>
      </c>
      <c r="AD135" s="31"/>
      <c r="AE135" s="31"/>
      <c r="AF135" s="31"/>
    </row>
    <row r="136" hidden="1">
      <c r="A136" s="20" t="s">
        <v>157</v>
      </c>
      <c r="B136" s="20" t="s">
        <v>158</v>
      </c>
      <c r="C136" s="20" t="s">
        <v>159</v>
      </c>
      <c r="D136" s="26" t="s">
        <v>142</v>
      </c>
      <c r="E136" s="27" t="s">
        <v>1185</v>
      </c>
      <c r="F136" s="28">
        <v>44746.0</v>
      </c>
      <c r="G136" s="27" t="s">
        <v>90</v>
      </c>
      <c r="H136" s="29">
        <f>IFERROR(__xludf.DUMMYFUNCTION("IF(ISDATE(S136), DATEDIF(S136, TODAY(), ""Y""), """")"),10.0)</f>
        <v>10</v>
      </c>
      <c r="I136" s="27" t="s">
        <v>1186</v>
      </c>
      <c r="J136" s="27" t="s">
        <v>572</v>
      </c>
      <c r="K136" s="31">
        <v>5.42385949E8</v>
      </c>
      <c r="L136" s="27" t="s">
        <v>103</v>
      </c>
      <c r="M136" s="27" t="s">
        <v>1187</v>
      </c>
      <c r="N136" s="27" t="s">
        <v>44</v>
      </c>
      <c r="O136" s="27"/>
      <c r="P136" s="31"/>
      <c r="Q136" s="27" t="s">
        <v>44</v>
      </c>
      <c r="R136" s="27">
        <v>2.24743096E8</v>
      </c>
      <c r="S136" s="32">
        <v>42339.0</v>
      </c>
      <c r="T136" s="27" t="s">
        <v>38</v>
      </c>
      <c r="U136" s="27">
        <v>44181.0</v>
      </c>
      <c r="V136" s="27" t="s">
        <v>1188</v>
      </c>
      <c r="W136" s="27">
        <v>5.28821859E8</v>
      </c>
      <c r="X136" s="27" t="s">
        <v>1189</v>
      </c>
      <c r="Y136" s="27">
        <v>5.42385949E8</v>
      </c>
      <c r="Z136" s="26" t="s">
        <v>43</v>
      </c>
      <c r="AA136" s="34">
        <v>2.0</v>
      </c>
      <c r="AB136" s="35"/>
      <c r="AC136" s="35" t="s">
        <v>169</v>
      </c>
      <c r="AD136" s="31"/>
      <c r="AE136" s="31"/>
      <c r="AF136" s="31"/>
    </row>
    <row r="137">
      <c r="A137" s="108" t="s">
        <v>157</v>
      </c>
      <c r="B137" s="92" t="s">
        <v>1143</v>
      </c>
      <c r="C137" s="111" t="s">
        <v>238</v>
      </c>
      <c r="D137" s="112">
        <v>45819.0</v>
      </c>
      <c r="E137" s="113" t="s">
        <v>1190</v>
      </c>
      <c r="F137" s="112">
        <v>45967.0</v>
      </c>
      <c r="G137" s="113" t="s">
        <v>90</v>
      </c>
      <c r="H137" s="114">
        <v>14.0</v>
      </c>
      <c r="I137" s="113" t="s">
        <v>1191</v>
      </c>
      <c r="J137" s="113" t="s">
        <v>1192</v>
      </c>
      <c r="K137" s="115" t="s">
        <v>1193</v>
      </c>
      <c r="L137" s="113" t="s">
        <v>1194</v>
      </c>
      <c r="M137" s="116" t="s">
        <v>1195</v>
      </c>
      <c r="N137" s="113" t="s">
        <v>36</v>
      </c>
      <c r="O137" s="117" t="s">
        <v>1196</v>
      </c>
      <c r="P137" s="113"/>
      <c r="Q137" s="113" t="s">
        <v>36</v>
      </c>
      <c r="R137" s="113">
        <v>3.35239836E8</v>
      </c>
      <c r="S137" s="118">
        <v>40717.0</v>
      </c>
      <c r="T137" s="116" t="s">
        <v>38</v>
      </c>
      <c r="U137" s="115" t="s">
        <v>1197</v>
      </c>
      <c r="V137" s="113" t="s">
        <v>682</v>
      </c>
      <c r="W137" s="115" t="s">
        <v>1198</v>
      </c>
      <c r="X137" s="113" t="s">
        <v>718</v>
      </c>
      <c r="Y137" s="115" t="s">
        <v>1199</v>
      </c>
      <c r="Z137" s="117" t="s">
        <v>43</v>
      </c>
      <c r="AA137" s="113">
        <v>3.0</v>
      </c>
      <c r="AB137" s="117" t="s">
        <v>1200</v>
      </c>
      <c r="AC137" s="92" t="s">
        <v>1201</v>
      </c>
      <c r="AD137" s="119" t="s">
        <v>1202</v>
      </c>
      <c r="AE137" s="119"/>
      <c r="AF137" s="117"/>
    </row>
    <row r="138" hidden="1">
      <c r="A138" s="120" t="s">
        <v>157</v>
      </c>
      <c r="B138" s="120" t="s">
        <v>158</v>
      </c>
      <c r="C138" s="120" t="s">
        <v>159</v>
      </c>
      <c r="D138" s="121">
        <v>45912.0</v>
      </c>
      <c r="E138" s="122" t="s">
        <v>1203</v>
      </c>
      <c r="F138" s="122" t="s">
        <v>1204</v>
      </c>
      <c r="G138" s="122" t="s">
        <v>31</v>
      </c>
      <c r="H138" s="123">
        <f>IFERROR(__xludf.DUMMYFUNCTION("IF(ISDATE(S138), DATEDIF(S138, TODAY(), ""Y""), """")"),5.0)</f>
        <v>5</v>
      </c>
      <c r="I138" s="122" t="s">
        <v>198</v>
      </c>
      <c r="J138" s="122" t="s">
        <v>1205</v>
      </c>
      <c r="K138" s="122" t="s">
        <v>1206</v>
      </c>
      <c r="L138" s="122" t="s">
        <v>92</v>
      </c>
      <c r="M138" s="122" t="s">
        <v>141</v>
      </c>
      <c r="N138" s="122" t="s">
        <v>44</v>
      </c>
      <c r="O138" s="122" t="s">
        <v>1207</v>
      </c>
      <c r="P138" s="122" t="s">
        <v>1107</v>
      </c>
      <c r="Q138" s="122" t="s">
        <v>36</v>
      </c>
      <c r="R138" s="122">
        <v>2.25086636E8</v>
      </c>
      <c r="S138" s="121">
        <v>43971.0</v>
      </c>
      <c r="T138" s="122" t="s">
        <v>1208</v>
      </c>
      <c r="U138" s="122" t="s">
        <v>1209</v>
      </c>
      <c r="V138" s="122" t="s">
        <v>1210</v>
      </c>
      <c r="W138" s="122" t="s">
        <v>198</v>
      </c>
      <c r="X138" s="122" t="s">
        <v>1211</v>
      </c>
      <c r="Y138" s="122">
        <v>5.26717134E8</v>
      </c>
      <c r="Z138" s="124" t="s">
        <v>43</v>
      </c>
      <c r="AA138" s="122">
        <v>2.0</v>
      </c>
      <c r="AB138" s="122" t="s">
        <v>1212</v>
      </c>
      <c r="AC138" s="120" t="s">
        <v>169</v>
      </c>
      <c r="AD138" s="120" t="s">
        <v>1213</v>
      </c>
      <c r="AE138" s="125"/>
      <c r="AF138" s="125"/>
    </row>
    <row r="139" hidden="1">
      <c r="A139" s="92" t="s">
        <v>157</v>
      </c>
      <c r="B139" s="92" t="s">
        <v>158</v>
      </c>
      <c r="C139" s="92" t="s">
        <v>159</v>
      </c>
      <c r="D139" s="126">
        <v>45876.0</v>
      </c>
      <c r="E139" s="92" t="s">
        <v>1214</v>
      </c>
      <c r="F139" s="111" t="s">
        <v>1215</v>
      </c>
      <c r="G139" s="92" t="s">
        <v>31</v>
      </c>
      <c r="H139" s="114">
        <f>IFERROR(__xludf.DUMMYFUNCTION("IF(ISDATE(S139), DATEDIF(S139, TODAY(), ""Y""), """")"),8.0)</f>
        <v>8</v>
      </c>
      <c r="I139" s="92" t="s">
        <v>1216</v>
      </c>
      <c r="J139" s="92" t="s">
        <v>1217</v>
      </c>
      <c r="K139" s="111" t="s">
        <v>198</v>
      </c>
      <c r="L139" s="92" t="s">
        <v>92</v>
      </c>
      <c r="M139" s="92" t="s">
        <v>1218</v>
      </c>
      <c r="N139" s="92" t="s">
        <v>44</v>
      </c>
      <c r="O139" s="127"/>
      <c r="P139" s="111">
        <v>8.23</v>
      </c>
      <c r="Q139" s="92" t="s">
        <v>44</v>
      </c>
      <c r="R139" s="111">
        <v>2.2511767E8</v>
      </c>
      <c r="S139" s="126">
        <v>43047.0</v>
      </c>
      <c r="T139" s="92" t="s">
        <v>331</v>
      </c>
      <c r="U139" s="111" t="s">
        <v>1219</v>
      </c>
      <c r="V139" s="92" t="s">
        <v>1220</v>
      </c>
      <c r="W139" s="111">
        <v>5.0280015E8</v>
      </c>
      <c r="X139" s="92" t="s">
        <v>1221</v>
      </c>
      <c r="Y139" s="111">
        <v>5.06680686E8</v>
      </c>
      <c r="Z139" s="117" t="s">
        <v>43</v>
      </c>
      <c r="AA139" s="111">
        <v>2.0</v>
      </c>
      <c r="AB139" s="92" t="s">
        <v>1222</v>
      </c>
      <c r="AC139" s="92" t="s">
        <v>156</v>
      </c>
      <c r="AD139" s="92"/>
      <c r="AE139" s="127"/>
      <c r="AF139" s="127"/>
    </row>
    <row r="140" hidden="1">
      <c r="A140" s="120" t="s">
        <v>157</v>
      </c>
      <c r="B140" s="120" t="s">
        <v>158</v>
      </c>
      <c r="C140" s="120" t="s">
        <v>159</v>
      </c>
      <c r="D140" s="124" t="s">
        <v>142</v>
      </c>
      <c r="E140" s="128" t="s">
        <v>1223</v>
      </c>
      <c r="F140" s="129" t="s">
        <v>734</v>
      </c>
      <c r="G140" s="128" t="s">
        <v>31</v>
      </c>
      <c r="H140" s="130">
        <f>IFERROR(__xludf.DUMMYFUNCTION("IF(ISDATE(S140), DATEDIF(S140, TODAY(), ""Y""), """")"),8.0)</f>
        <v>8</v>
      </c>
      <c r="I140" s="128" t="s">
        <v>1224</v>
      </c>
      <c r="J140" s="128" t="s">
        <v>1225</v>
      </c>
      <c r="K140" s="131">
        <v>5.276928E8</v>
      </c>
      <c r="L140" s="128" t="s">
        <v>164</v>
      </c>
      <c r="M140" s="128" t="s">
        <v>1226</v>
      </c>
      <c r="N140" s="128" t="s">
        <v>44</v>
      </c>
      <c r="O140" s="128"/>
      <c r="P140" s="131"/>
      <c r="Q140" s="128" t="s">
        <v>44</v>
      </c>
      <c r="R140" s="128">
        <v>2.25461938E8</v>
      </c>
      <c r="S140" s="132">
        <v>42834.0</v>
      </c>
      <c r="T140" s="128" t="s">
        <v>331</v>
      </c>
      <c r="U140" s="128">
        <v>44118.0</v>
      </c>
      <c r="V140" s="128" t="s">
        <v>1227</v>
      </c>
      <c r="W140" s="128">
        <v>5.27133501E8</v>
      </c>
      <c r="X140" s="128" t="s">
        <v>1228</v>
      </c>
      <c r="Y140" s="128">
        <v>5.276928E8</v>
      </c>
      <c r="Z140" s="124" t="s">
        <v>43</v>
      </c>
      <c r="AA140" s="133">
        <v>2.0</v>
      </c>
      <c r="AB140" s="134"/>
      <c r="AC140" s="134" t="s">
        <v>169</v>
      </c>
      <c r="AD140" s="131"/>
      <c r="AE140" s="131"/>
      <c r="AF140" s="131"/>
    </row>
    <row r="141" hidden="1">
      <c r="A141" s="135" t="s">
        <v>157</v>
      </c>
      <c r="B141" s="92" t="s">
        <v>1143</v>
      </c>
      <c r="C141" s="92" t="s">
        <v>238</v>
      </c>
      <c r="D141" s="114" t="s">
        <v>1229</v>
      </c>
      <c r="E141" s="92" t="s">
        <v>1230</v>
      </c>
      <c r="F141" s="111">
        <v>16.12</v>
      </c>
      <c r="G141" s="92" t="s">
        <v>31</v>
      </c>
      <c r="H141" s="136">
        <f>IFERROR(__xludf.DUMMYFUNCTION("IF(ISDATE(S141), DATEDIF(S141, TODAY(), ""Y""), """")"),12.0)</f>
        <v>12</v>
      </c>
      <c r="I141" s="127"/>
      <c r="J141" s="92" t="s">
        <v>197</v>
      </c>
      <c r="K141" s="127"/>
      <c r="L141" s="92" t="s">
        <v>92</v>
      </c>
      <c r="M141" s="92" t="s">
        <v>1231</v>
      </c>
      <c r="N141" s="92" t="s">
        <v>36</v>
      </c>
      <c r="O141" s="92" t="s">
        <v>623</v>
      </c>
      <c r="P141" s="127"/>
      <c r="Q141" s="127"/>
      <c r="R141" s="111">
        <v>2.21064413E8</v>
      </c>
      <c r="S141" s="126">
        <v>41627.0</v>
      </c>
      <c r="T141" s="92" t="s">
        <v>38</v>
      </c>
      <c r="U141" s="127"/>
      <c r="V141" s="92" t="s">
        <v>1232</v>
      </c>
      <c r="W141" s="111">
        <v>5.46808868E8</v>
      </c>
      <c r="X141" s="92" t="s">
        <v>1233</v>
      </c>
      <c r="Y141" s="111">
        <v>5.44558561E8</v>
      </c>
      <c r="Z141" s="117" t="s">
        <v>43</v>
      </c>
      <c r="AA141" s="111">
        <v>2.0</v>
      </c>
      <c r="AB141" s="92" t="s">
        <v>934</v>
      </c>
      <c r="AC141" s="92" t="s">
        <v>1152</v>
      </c>
      <c r="AD141" s="92" t="s">
        <v>1234</v>
      </c>
      <c r="AE141" s="92" t="s">
        <v>1235</v>
      </c>
      <c r="AF141" s="92" t="s">
        <v>1236</v>
      </c>
    </row>
    <row r="142" hidden="1">
      <c r="A142" s="120" t="s">
        <v>157</v>
      </c>
      <c r="B142" s="120" t="s">
        <v>158</v>
      </c>
      <c r="C142" s="120" t="s">
        <v>159</v>
      </c>
      <c r="D142" s="124" t="s">
        <v>142</v>
      </c>
      <c r="E142" s="128" t="s">
        <v>1237</v>
      </c>
      <c r="F142" s="129" t="s">
        <v>262</v>
      </c>
      <c r="G142" s="128" t="s">
        <v>31</v>
      </c>
      <c r="H142" s="130">
        <f>IFERROR(__xludf.DUMMYFUNCTION("IF(ISDATE(S142), DATEDIF(S142, TODAY(), ""Y""), """")"),9.0)</f>
        <v>9</v>
      </c>
      <c r="I142" s="128" t="s">
        <v>1238</v>
      </c>
      <c r="J142" s="128" t="s">
        <v>1239</v>
      </c>
      <c r="K142" s="131">
        <v>5.22906477E8</v>
      </c>
      <c r="L142" s="128" t="s">
        <v>208</v>
      </c>
      <c r="M142" s="128" t="s">
        <v>1240</v>
      </c>
      <c r="N142" s="128" t="s">
        <v>44</v>
      </c>
      <c r="O142" s="128"/>
      <c r="P142" s="131"/>
      <c r="Q142" s="128" t="s">
        <v>44</v>
      </c>
      <c r="R142" s="128">
        <v>2.2551452E8</v>
      </c>
      <c r="S142" s="132">
        <v>42675.0</v>
      </c>
      <c r="T142" s="128" t="s">
        <v>38</v>
      </c>
      <c r="U142" s="128">
        <v>44411.0</v>
      </c>
      <c r="V142" s="128" t="s">
        <v>1241</v>
      </c>
      <c r="W142" s="128">
        <v>5.46496639E8</v>
      </c>
      <c r="X142" s="128" t="s">
        <v>1242</v>
      </c>
      <c r="Y142" s="128">
        <v>5.22906477E8</v>
      </c>
      <c r="Z142" s="124" t="s">
        <v>43</v>
      </c>
      <c r="AA142" s="133">
        <v>1.0</v>
      </c>
      <c r="AB142" s="134"/>
      <c r="AC142" s="120" t="s">
        <v>169</v>
      </c>
      <c r="AD142" s="131"/>
      <c r="AE142" s="131"/>
      <c r="AF142" s="131"/>
    </row>
    <row r="143" hidden="1">
      <c r="A143" s="92" t="s">
        <v>157</v>
      </c>
      <c r="B143" s="92" t="s">
        <v>158</v>
      </c>
      <c r="C143" s="92" t="s">
        <v>159</v>
      </c>
      <c r="D143" s="117" t="s">
        <v>142</v>
      </c>
      <c r="E143" s="113" t="s">
        <v>1243</v>
      </c>
      <c r="F143" s="137"/>
      <c r="G143" s="113" t="s">
        <v>90</v>
      </c>
      <c r="H143" s="114">
        <f>IFERROR(__xludf.DUMMYFUNCTION("IF(ISDATE(S143), DATEDIF(S143, TODAY(), ""Y""), """")"),9.0)</f>
        <v>9</v>
      </c>
      <c r="I143" s="113"/>
      <c r="J143" s="113" t="s">
        <v>1244</v>
      </c>
      <c r="K143" s="119"/>
      <c r="L143" s="113" t="s">
        <v>92</v>
      </c>
      <c r="M143" s="113" t="s">
        <v>780</v>
      </c>
      <c r="N143" s="113" t="s">
        <v>44</v>
      </c>
      <c r="O143" s="113"/>
      <c r="P143" s="119"/>
      <c r="Q143" s="113" t="s">
        <v>36</v>
      </c>
      <c r="R143" s="113">
        <v>2.25520766E8</v>
      </c>
      <c r="S143" s="118">
        <v>42730.0</v>
      </c>
      <c r="T143" s="113" t="s">
        <v>1245</v>
      </c>
      <c r="U143" s="113">
        <v>45448.0</v>
      </c>
      <c r="V143" s="113" t="s">
        <v>1246</v>
      </c>
      <c r="W143" s="113">
        <v>5.46760078E8</v>
      </c>
      <c r="X143" s="113" t="s">
        <v>1247</v>
      </c>
      <c r="Y143" s="113">
        <v>5.27222245E8</v>
      </c>
      <c r="Z143" s="117" t="s">
        <v>43</v>
      </c>
      <c r="AA143" s="138">
        <v>3.0</v>
      </c>
      <c r="AB143" s="116"/>
      <c r="AC143" s="92" t="s">
        <v>169</v>
      </c>
      <c r="AD143" s="119"/>
      <c r="AE143" s="119"/>
      <c r="AF143" s="119"/>
    </row>
    <row r="144" hidden="1">
      <c r="A144" s="120" t="s">
        <v>157</v>
      </c>
      <c r="B144" s="120" t="s">
        <v>158</v>
      </c>
      <c r="C144" s="120" t="s">
        <v>159</v>
      </c>
      <c r="D144" s="121" t="s">
        <v>1248</v>
      </c>
      <c r="E144" s="120" t="s">
        <v>1249</v>
      </c>
      <c r="F144" s="122" t="s">
        <v>1250</v>
      </c>
      <c r="G144" s="120" t="s">
        <v>90</v>
      </c>
      <c r="H144" s="130">
        <f>IFERROR(__xludf.DUMMYFUNCTION("IF(ISDATE(S144), DATEDIF(S144, TODAY(), ""Y""), """")"),8.0)</f>
        <v>8</v>
      </c>
      <c r="I144" s="139"/>
      <c r="J144" s="120" t="s">
        <v>590</v>
      </c>
      <c r="K144" s="139"/>
      <c r="L144" s="120" t="s">
        <v>610</v>
      </c>
      <c r="M144" s="120" t="s">
        <v>409</v>
      </c>
      <c r="N144" s="120" t="s">
        <v>44</v>
      </c>
      <c r="O144" s="120" t="s">
        <v>1251</v>
      </c>
      <c r="P144" s="140">
        <v>45605.0</v>
      </c>
      <c r="Q144" s="120" t="s">
        <v>44</v>
      </c>
      <c r="R144" s="122">
        <v>2.25589597E8</v>
      </c>
      <c r="S144" s="121">
        <v>42873.0</v>
      </c>
      <c r="T144" s="120" t="s">
        <v>38</v>
      </c>
      <c r="U144" s="122" t="s">
        <v>1252</v>
      </c>
      <c r="V144" s="120" t="s">
        <v>1253</v>
      </c>
      <c r="W144" s="122">
        <v>5.25313868E8</v>
      </c>
      <c r="X144" s="120" t="s">
        <v>1254</v>
      </c>
      <c r="Y144" s="122">
        <v>5.4994922E8</v>
      </c>
      <c r="Z144" s="124" t="s">
        <v>43</v>
      </c>
      <c r="AA144" s="120" t="s">
        <v>1255</v>
      </c>
      <c r="AB144" s="139"/>
      <c r="AC144" s="120" t="s">
        <v>156</v>
      </c>
      <c r="AD144" s="139"/>
      <c r="AE144" s="139"/>
      <c r="AF144" s="139"/>
    </row>
    <row r="145" hidden="1">
      <c r="A145" s="135" t="s">
        <v>157</v>
      </c>
      <c r="B145" s="92" t="s">
        <v>1143</v>
      </c>
      <c r="C145" s="111" t="s">
        <v>238</v>
      </c>
      <c r="D145" s="111" t="s">
        <v>1256</v>
      </c>
      <c r="E145" s="92" t="s">
        <v>1257</v>
      </c>
      <c r="F145" s="111"/>
      <c r="G145" s="92" t="s">
        <v>31</v>
      </c>
      <c r="H145" s="114">
        <f>IFERROR(__xludf.DUMMYFUNCTION("IF(ISDATE(S145), DATEDIF(S145, TODAY(), ""Y""), """")"),5.0)</f>
        <v>5</v>
      </c>
      <c r="I145" s="127"/>
      <c r="J145" s="92" t="s">
        <v>1258</v>
      </c>
      <c r="K145" s="127"/>
      <c r="L145" s="92" t="s">
        <v>328</v>
      </c>
      <c r="M145" s="92" t="s">
        <v>1259</v>
      </c>
      <c r="N145" s="92" t="s">
        <v>36</v>
      </c>
      <c r="O145" s="92" t="s">
        <v>1260</v>
      </c>
      <c r="P145" s="92"/>
      <c r="Q145" s="92" t="s">
        <v>36</v>
      </c>
      <c r="R145" s="111">
        <v>2.30044786E8</v>
      </c>
      <c r="S145" s="126">
        <v>43981.0</v>
      </c>
      <c r="T145" s="92" t="s">
        <v>1261</v>
      </c>
      <c r="U145" s="141">
        <v>44210.0</v>
      </c>
      <c r="V145" s="92" t="s">
        <v>1262</v>
      </c>
      <c r="W145" s="136">
        <v>5.2340913E8</v>
      </c>
      <c r="X145" s="92" t="s">
        <v>1263</v>
      </c>
      <c r="Y145" s="111">
        <v>5.47584384E8</v>
      </c>
      <c r="Z145" s="117" t="s">
        <v>43</v>
      </c>
      <c r="AA145" s="111">
        <v>4.0</v>
      </c>
      <c r="AB145" s="92" t="s">
        <v>1264</v>
      </c>
      <c r="AC145" s="92" t="s">
        <v>978</v>
      </c>
      <c r="AD145" s="92" t="s">
        <v>1265</v>
      </c>
      <c r="AE145" s="127"/>
      <c r="AF145" s="92" t="s">
        <v>1266</v>
      </c>
    </row>
    <row r="146" hidden="1">
      <c r="A146" s="120" t="s">
        <v>157</v>
      </c>
      <c r="B146" s="120" t="s">
        <v>158</v>
      </c>
      <c r="C146" s="120" t="s">
        <v>159</v>
      </c>
      <c r="D146" s="121">
        <v>45845.0</v>
      </c>
      <c r="E146" s="131" t="s">
        <v>1267</v>
      </c>
      <c r="F146" s="130" t="s">
        <v>1042</v>
      </c>
      <c r="G146" s="131" t="s">
        <v>31</v>
      </c>
      <c r="H146" s="130">
        <f>IFERROR(__xludf.DUMMYFUNCTION("IF(ISDATE(S146), DATEDIF(S146, TODAY(), ""Y""), """")"),8.0)</f>
        <v>8</v>
      </c>
      <c r="I146" s="120" t="s">
        <v>1268</v>
      </c>
      <c r="J146" s="131" t="s">
        <v>517</v>
      </c>
      <c r="K146" s="139"/>
      <c r="L146" s="131" t="s">
        <v>92</v>
      </c>
      <c r="M146" s="124" t="s">
        <v>1269</v>
      </c>
      <c r="N146" s="120" t="s">
        <v>44</v>
      </c>
      <c r="O146" s="120" t="s">
        <v>1270</v>
      </c>
      <c r="P146" s="130" t="s">
        <v>1271</v>
      </c>
      <c r="Q146" s="131" t="s">
        <v>44</v>
      </c>
      <c r="R146" s="131">
        <v>2.25673227E8</v>
      </c>
      <c r="S146" s="121">
        <v>42923.0</v>
      </c>
      <c r="T146" s="131" t="s">
        <v>1272</v>
      </c>
      <c r="U146" s="131" t="s">
        <v>1273</v>
      </c>
      <c r="V146" s="131" t="s">
        <v>1274</v>
      </c>
      <c r="W146" s="142" t="s">
        <v>1049</v>
      </c>
      <c r="X146" s="131" t="s">
        <v>86</v>
      </c>
      <c r="Y146" s="131">
        <v>5.04049351E8</v>
      </c>
      <c r="Z146" s="124" t="s">
        <v>43</v>
      </c>
      <c r="AA146" s="131">
        <v>2.0</v>
      </c>
      <c r="AB146" s="139"/>
      <c r="AC146" s="120" t="s">
        <v>156</v>
      </c>
      <c r="AD146" s="131"/>
      <c r="AE146" s="139"/>
      <c r="AF146" s="139"/>
    </row>
    <row r="147" hidden="1">
      <c r="A147" s="92" t="s">
        <v>157</v>
      </c>
      <c r="B147" s="92" t="s">
        <v>158</v>
      </c>
      <c r="C147" s="92" t="s">
        <v>159</v>
      </c>
      <c r="D147" s="117" t="s">
        <v>142</v>
      </c>
      <c r="E147" s="113" t="s">
        <v>1275</v>
      </c>
      <c r="F147" s="137" t="s">
        <v>1276</v>
      </c>
      <c r="G147" s="113" t="s">
        <v>31</v>
      </c>
      <c r="H147" s="114">
        <f>IFERROR(__xludf.DUMMYFUNCTION("IF(ISDATE(S147), DATEDIF(S147, TODAY(), ""Y""), """")"),8.0)</f>
        <v>8</v>
      </c>
      <c r="I147" s="113" t="s">
        <v>1277</v>
      </c>
      <c r="J147" s="113" t="s">
        <v>1278</v>
      </c>
      <c r="K147" s="119">
        <v>5.28870624E8</v>
      </c>
      <c r="L147" s="113" t="s">
        <v>164</v>
      </c>
      <c r="M147" s="113" t="s">
        <v>1279</v>
      </c>
      <c r="N147" s="113" t="s">
        <v>44</v>
      </c>
      <c r="O147" s="113"/>
      <c r="P147" s="119"/>
      <c r="Q147" s="113" t="s">
        <v>44</v>
      </c>
      <c r="R147" s="113">
        <v>2.25698448E8</v>
      </c>
      <c r="S147" s="118">
        <v>43090.0</v>
      </c>
      <c r="T147" s="113" t="s">
        <v>1280</v>
      </c>
      <c r="U147" s="113">
        <v>44245.0</v>
      </c>
      <c r="V147" s="113" t="s">
        <v>1281</v>
      </c>
      <c r="W147" s="113">
        <v>5.2260709E8</v>
      </c>
      <c r="X147" s="113" t="s">
        <v>1282</v>
      </c>
      <c r="Y147" s="113">
        <v>5.28870624E8</v>
      </c>
      <c r="Z147" s="117" t="s">
        <v>43</v>
      </c>
      <c r="AA147" s="138">
        <v>1.0</v>
      </c>
      <c r="AB147" s="116"/>
      <c r="AC147" s="116" t="s">
        <v>169</v>
      </c>
      <c r="AD147" s="119"/>
      <c r="AE147" s="119"/>
      <c r="AF147" s="119"/>
    </row>
    <row r="148" hidden="1">
      <c r="A148" s="120" t="s">
        <v>157</v>
      </c>
      <c r="B148" s="120" t="s">
        <v>158</v>
      </c>
      <c r="C148" s="120" t="s">
        <v>159</v>
      </c>
      <c r="D148" s="121" t="s">
        <v>1283</v>
      </c>
      <c r="E148" s="120" t="s">
        <v>1284</v>
      </c>
      <c r="F148" s="130" t="s">
        <v>1285</v>
      </c>
      <c r="G148" s="120" t="s">
        <v>90</v>
      </c>
      <c r="H148" s="130">
        <f>IFERROR(__xludf.DUMMYFUNCTION("IF(ISDATE(S148), DATEDIF(S148, TODAY(), ""Y""), """")"),8.0)</f>
        <v>8</v>
      </c>
      <c r="I148" s="139"/>
      <c r="J148" s="120" t="s">
        <v>1146</v>
      </c>
      <c r="K148" s="139"/>
      <c r="L148" s="120" t="s">
        <v>92</v>
      </c>
      <c r="M148" s="120" t="s">
        <v>1286</v>
      </c>
      <c r="N148" s="120" t="s">
        <v>44</v>
      </c>
      <c r="O148" s="120" t="s">
        <v>1287</v>
      </c>
      <c r="P148" s="120" t="s">
        <v>1288</v>
      </c>
      <c r="Q148" s="120" t="s">
        <v>44</v>
      </c>
      <c r="R148" s="122">
        <v>2.25776053E8</v>
      </c>
      <c r="S148" s="121">
        <v>42767.0</v>
      </c>
      <c r="T148" s="120" t="s">
        <v>1289</v>
      </c>
      <c r="U148" s="120" t="s">
        <v>1290</v>
      </c>
      <c r="V148" s="120" t="s">
        <v>1291</v>
      </c>
      <c r="W148" s="122">
        <v>5.49257785E8</v>
      </c>
      <c r="X148" s="120" t="s">
        <v>1292</v>
      </c>
      <c r="Y148" s="122">
        <v>5.24397424E8</v>
      </c>
      <c r="Z148" s="124" t="s">
        <v>43</v>
      </c>
      <c r="AA148" s="122">
        <v>1.0</v>
      </c>
      <c r="AB148" s="120" t="s">
        <v>1293</v>
      </c>
      <c r="AC148" s="120" t="s">
        <v>156</v>
      </c>
      <c r="AD148" s="139"/>
      <c r="AE148" s="139"/>
      <c r="AF148" s="139"/>
    </row>
    <row r="149" hidden="1">
      <c r="A149" s="92" t="s">
        <v>157</v>
      </c>
      <c r="B149" s="92" t="s">
        <v>158</v>
      </c>
      <c r="C149" s="92" t="s">
        <v>159</v>
      </c>
      <c r="D149" s="117" t="s">
        <v>142</v>
      </c>
      <c r="E149" s="113" t="s">
        <v>1294</v>
      </c>
      <c r="F149" s="137" t="s">
        <v>1215</v>
      </c>
      <c r="G149" s="113" t="s">
        <v>31</v>
      </c>
      <c r="H149" s="114">
        <f>IFERROR(__xludf.DUMMYFUNCTION("IF(ISDATE(S149), DATEDIF(S149, TODAY(), ""Y""), """")"),7.0)</f>
        <v>7</v>
      </c>
      <c r="I149" s="113"/>
      <c r="J149" s="113" t="s">
        <v>1295</v>
      </c>
      <c r="K149" s="119" t="s">
        <v>198</v>
      </c>
      <c r="L149" s="113" t="s">
        <v>208</v>
      </c>
      <c r="M149" s="113" t="s">
        <v>1296</v>
      </c>
      <c r="N149" s="113" t="s">
        <v>44</v>
      </c>
      <c r="O149" s="113"/>
      <c r="P149" s="119"/>
      <c r="Q149" s="113" t="s">
        <v>36</v>
      </c>
      <c r="R149" s="113">
        <v>2.26061562E8</v>
      </c>
      <c r="S149" s="118">
        <v>43436.0</v>
      </c>
      <c r="T149" s="113" t="s">
        <v>1297</v>
      </c>
      <c r="U149" s="113" t="s">
        <v>1298</v>
      </c>
      <c r="V149" s="113" t="s">
        <v>1299</v>
      </c>
      <c r="W149" s="113">
        <v>5.42180821E8</v>
      </c>
      <c r="X149" s="113" t="s">
        <v>1300</v>
      </c>
      <c r="Y149" s="113">
        <v>5.2362368E8</v>
      </c>
      <c r="Z149" s="117" t="s">
        <v>43</v>
      </c>
      <c r="AA149" s="138">
        <v>1.0</v>
      </c>
      <c r="AB149" s="116"/>
      <c r="AC149" s="92" t="s">
        <v>169</v>
      </c>
      <c r="AD149" s="119"/>
      <c r="AE149" s="119"/>
      <c r="AF149" s="119"/>
    </row>
    <row r="150" hidden="1">
      <c r="A150" s="120" t="s">
        <v>157</v>
      </c>
      <c r="B150" s="120" t="s">
        <v>158</v>
      </c>
      <c r="C150" s="120" t="s">
        <v>159</v>
      </c>
      <c r="D150" s="124" t="s">
        <v>142</v>
      </c>
      <c r="E150" s="128" t="s">
        <v>1301</v>
      </c>
      <c r="F150" s="129">
        <v>44724.0</v>
      </c>
      <c r="G150" s="128" t="s">
        <v>31</v>
      </c>
      <c r="H150" s="130">
        <f>IFERROR(__xludf.DUMMYFUNCTION("IF(ISDATE(S150), DATEDIF(S150, TODAY(), ""Y""), """")"),7.0)</f>
        <v>7</v>
      </c>
      <c r="I150" s="128" t="s">
        <v>1302</v>
      </c>
      <c r="J150" s="128" t="s">
        <v>1146</v>
      </c>
      <c r="K150" s="131">
        <v>5.4490428E8</v>
      </c>
      <c r="L150" s="128" t="s">
        <v>1303</v>
      </c>
      <c r="M150" s="128" t="s">
        <v>1304</v>
      </c>
      <c r="N150" s="128" t="s">
        <v>44</v>
      </c>
      <c r="O150" s="128"/>
      <c r="P150" s="131"/>
      <c r="Q150" s="128" t="s">
        <v>44</v>
      </c>
      <c r="R150" s="128">
        <v>2.26122612E8</v>
      </c>
      <c r="S150" s="132">
        <v>43441.0</v>
      </c>
      <c r="T150" s="128" t="s">
        <v>82</v>
      </c>
      <c r="U150" s="128">
        <v>44664.0</v>
      </c>
      <c r="V150" s="128" t="s">
        <v>1305</v>
      </c>
      <c r="W150" s="128">
        <v>5.03454444E8</v>
      </c>
      <c r="X150" s="128" t="s">
        <v>1306</v>
      </c>
      <c r="Y150" s="128">
        <v>5.4490428E8</v>
      </c>
      <c r="Z150" s="124" t="s">
        <v>43</v>
      </c>
      <c r="AA150" s="133">
        <v>1.0</v>
      </c>
      <c r="AB150" s="134"/>
      <c r="AC150" s="134" t="s">
        <v>169</v>
      </c>
      <c r="AD150" s="131"/>
      <c r="AE150" s="131"/>
      <c r="AF150" s="131"/>
    </row>
    <row r="151" hidden="1">
      <c r="A151" s="92" t="s">
        <v>157</v>
      </c>
      <c r="B151" s="92" t="s">
        <v>158</v>
      </c>
      <c r="C151" s="92" t="s">
        <v>159</v>
      </c>
      <c r="D151" s="117" t="s">
        <v>142</v>
      </c>
      <c r="E151" s="113" t="s">
        <v>1307</v>
      </c>
      <c r="F151" s="137"/>
      <c r="G151" s="113" t="s">
        <v>31</v>
      </c>
      <c r="H151" s="114">
        <f>IFERROR(__xludf.DUMMYFUNCTION("IF(ISDATE(S151), DATEDIF(S151, TODAY(), ""Y""), """")"),6.0)</f>
        <v>6</v>
      </c>
      <c r="I151" s="113"/>
      <c r="J151" s="113" t="s">
        <v>1308</v>
      </c>
      <c r="K151" s="119"/>
      <c r="L151" s="113" t="s">
        <v>92</v>
      </c>
      <c r="M151" s="113" t="s">
        <v>1309</v>
      </c>
      <c r="N151" s="113" t="s">
        <v>44</v>
      </c>
      <c r="O151" s="113"/>
      <c r="P151" s="119"/>
      <c r="Q151" s="113" t="s">
        <v>36</v>
      </c>
      <c r="R151" s="113">
        <v>2.26123255E8</v>
      </c>
      <c r="S151" s="118">
        <v>43596.0</v>
      </c>
      <c r="T151" s="113" t="s">
        <v>38</v>
      </c>
      <c r="U151" s="113">
        <v>45037.0</v>
      </c>
      <c r="V151" s="113" t="s">
        <v>1310</v>
      </c>
      <c r="W151" s="113">
        <v>5.07122882E8</v>
      </c>
      <c r="X151" s="113" t="s">
        <v>333</v>
      </c>
      <c r="Y151" s="113">
        <v>5.04400083E8</v>
      </c>
      <c r="Z151" s="117" t="s">
        <v>43</v>
      </c>
      <c r="AA151" s="138">
        <v>2.0</v>
      </c>
      <c r="AB151" s="116"/>
      <c r="AC151" s="92" t="s">
        <v>169</v>
      </c>
      <c r="AD151" s="119"/>
      <c r="AE151" s="119"/>
      <c r="AF151" s="119"/>
    </row>
    <row r="152" hidden="1">
      <c r="A152" s="120" t="s">
        <v>157</v>
      </c>
      <c r="B152" s="120" t="s">
        <v>158</v>
      </c>
      <c r="C152" s="120" t="s">
        <v>159</v>
      </c>
      <c r="D152" s="124" t="s">
        <v>142</v>
      </c>
      <c r="E152" s="128" t="s">
        <v>1311</v>
      </c>
      <c r="F152" s="129">
        <v>44746.0</v>
      </c>
      <c r="G152" s="128" t="s">
        <v>90</v>
      </c>
      <c r="H152" s="130">
        <f>IFERROR(__xludf.DUMMYFUNCTION("IF(ISDATE(S152), DATEDIF(S152, TODAY(), ""Y""), """")"),6.0)</f>
        <v>6</v>
      </c>
      <c r="I152" s="128" t="s">
        <v>1312</v>
      </c>
      <c r="J152" s="128" t="s">
        <v>1313</v>
      </c>
      <c r="K152" s="131"/>
      <c r="L152" s="128" t="s">
        <v>92</v>
      </c>
      <c r="M152" s="128" t="s">
        <v>1314</v>
      </c>
      <c r="N152" s="128" t="s">
        <v>44</v>
      </c>
      <c r="O152" s="128"/>
      <c r="P152" s="131"/>
      <c r="Q152" s="128" t="s">
        <v>36</v>
      </c>
      <c r="R152" s="128">
        <v>2.26147908E8</v>
      </c>
      <c r="S152" s="132">
        <v>43628.0</v>
      </c>
      <c r="T152" s="128" t="s">
        <v>38</v>
      </c>
      <c r="U152" s="128">
        <v>44616.0</v>
      </c>
      <c r="V152" s="128" t="s">
        <v>1315</v>
      </c>
      <c r="W152" s="128">
        <v>5.04455735E8</v>
      </c>
      <c r="X152" s="128" t="s">
        <v>1316</v>
      </c>
      <c r="Y152" s="128">
        <v>5.87616758E8</v>
      </c>
      <c r="Z152" s="124" t="s">
        <v>43</v>
      </c>
      <c r="AA152" s="133">
        <v>2.0</v>
      </c>
      <c r="AB152" s="134"/>
      <c r="AC152" s="120" t="s">
        <v>169</v>
      </c>
      <c r="AD152" s="131"/>
      <c r="AE152" s="131"/>
      <c r="AF152" s="131"/>
    </row>
    <row r="153" hidden="1">
      <c r="A153" s="92" t="s">
        <v>157</v>
      </c>
      <c r="B153" s="92" t="s">
        <v>158</v>
      </c>
      <c r="C153" s="92" t="s">
        <v>159</v>
      </c>
      <c r="D153" s="117" t="s">
        <v>142</v>
      </c>
      <c r="E153" s="113" t="s">
        <v>1317</v>
      </c>
      <c r="F153" s="137">
        <v>44418.0</v>
      </c>
      <c r="G153" s="113" t="s">
        <v>90</v>
      </c>
      <c r="H153" s="114">
        <f>IFERROR(__xludf.DUMMYFUNCTION("IF(ISDATE(S153), DATEDIF(S153, TODAY(), ""Y""), """")"),7.0)</f>
        <v>7</v>
      </c>
      <c r="I153" s="113">
        <v>32.0</v>
      </c>
      <c r="J153" s="113" t="s">
        <v>487</v>
      </c>
      <c r="K153" s="119">
        <v>5.43126132E8</v>
      </c>
      <c r="L153" s="113" t="s">
        <v>92</v>
      </c>
      <c r="M153" s="113" t="s">
        <v>1318</v>
      </c>
      <c r="N153" s="113" t="s">
        <v>44</v>
      </c>
      <c r="O153" s="113"/>
      <c r="P153" s="119"/>
      <c r="Q153" s="113" t="s">
        <v>44</v>
      </c>
      <c r="R153" s="113">
        <v>2.26177749E8</v>
      </c>
      <c r="S153" s="118">
        <v>43365.0</v>
      </c>
      <c r="T153" s="113" t="s">
        <v>38</v>
      </c>
      <c r="U153" s="113">
        <v>44200.0</v>
      </c>
      <c r="V153" s="113" t="s">
        <v>1319</v>
      </c>
      <c r="W153" s="113">
        <v>5.42519229E8</v>
      </c>
      <c r="X153" s="113" t="s">
        <v>1320</v>
      </c>
      <c r="Y153" s="113">
        <v>5.43126132E8</v>
      </c>
      <c r="Z153" s="117" t="s">
        <v>43</v>
      </c>
      <c r="AA153" s="138">
        <v>1.0</v>
      </c>
      <c r="AB153" s="116"/>
      <c r="AC153" s="116" t="s">
        <v>169</v>
      </c>
      <c r="AD153" s="119"/>
      <c r="AE153" s="119"/>
      <c r="AF153" s="119"/>
    </row>
    <row r="154" hidden="1">
      <c r="A154" s="120" t="s">
        <v>157</v>
      </c>
      <c r="B154" s="120" t="s">
        <v>158</v>
      </c>
      <c r="C154" s="120" t="s">
        <v>159</v>
      </c>
      <c r="D154" s="124" t="s">
        <v>142</v>
      </c>
      <c r="E154" s="128" t="s">
        <v>1321</v>
      </c>
      <c r="F154" s="129">
        <v>45812.0</v>
      </c>
      <c r="G154" s="128" t="s">
        <v>90</v>
      </c>
      <c r="H154" s="123">
        <f>IFERROR(__xludf.DUMMYFUNCTION("IF(ISDATE(S154), DATEDIF(S154, TODAY(), ""Y""), """")"),6.0)</f>
        <v>6</v>
      </c>
      <c r="I154" s="128" t="s">
        <v>1322</v>
      </c>
      <c r="J154" s="128" t="s">
        <v>590</v>
      </c>
      <c r="K154" s="131"/>
      <c r="L154" s="128" t="s">
        <v>49</v>
      </c>
      <c r="M154" s="128" t="s">
        <v>1323</v>
      </c>
      <c r="N154" s="128" t="s">
        <v>44</v>
      </c>
      <c r="O154" s="131"/>
      <c r="P154" s="143" t="s">
        <v>1324</v>
      </c>
      <c r="Q154" s="128" t="s">
        <v>44</v>
      </c>
      <c r="R154" s="128">
        <v>2.26234623E8</v>
      </c>
      <c r="S154" s="132">
        <v>43489.0</v>
      </c>
      <c r="T154" s="128" t="s">
        <v>1325</v>
      </c>
      <c r="U154" s="143" t="s">
        <v>1326</v>
      </c>
      <c r="V154" s="128" t="s">
        <v>1327</v>
      </c>
      <c r="W154" s="128" t="s">
        <v>1328</v>
      </c>
      <c r="X154" s="128" t="s">
        <v>1329</v>
      </c>
      <c r="Y154" s="128" t="s">
        <v>1328</v>
      </c>
      <c r="Z154" s="128" t="s">
        <v>43</v>
      </c>
      <c r="AA154" s="128">
        <v>2.0</v>
      </c>
      <c r="AB154" s="124" t="s">
        <v>934</v>
      </c>
      <c r="AC154" s="120" t="s">
        <v>169</v>
      </c>
      <c r="AD154" s="131"/>
      <c r="AE154" s="131"/>
      <c r="AF154" s="131"/>
    </row>
    <row r="155" hidden="1">
      <c r="A155" s="92" t="s">
        <v>157</v>
      </c>
      <c r="B155" s="92" t="s">
        <v>158</v>
      </c>
      <c r="C155" s="92" t="s">
        <v>159</v>
      </c>
      <c r="D155" s="117" t="s">
        <v>142</v>
      </c>
      <c r="E155" s="113" t="s">
        <v>1330</v>
      </c>
      <c r="F155" s="137" t="s">
        <v>1331</v>
      </c>
      <c r="G155" s="113" t="s">
        <v>31</v>
      </c>
      <c r="H155" s="114">
        <f>IFERROR(__xludf.DUMMYFUNCTION("IF(ISDATE(S155), DATEDIF(S155, TODAY(), ""Y""), """")"),6.0)</f>
        <v>6</v>
      </c>
      <c r="I155" s="113" t="s">
        <v>1332</v>
      </c>
      <c r="J155" s="113" t="s">
        <v>1333</v>
      </c>
      <c r="K155" s="119"/>
      <c r="L155" s="113" t="s">
        <v>92</v>
      </c>
      <c r="M155" s="113" t="s">
        <v>1334</v>
      </c>
      <c r="N155" s="113" t="s">
        <v>44</v>
      </c>
      <c r="O155" s="113"/>
      <c r="P155" s="119"/>
      <c r="Q155" s="113" t="s">
        <v>44</v>
      </c>
      <c r="R155" s="113">
        <v>2.26273456E8</v>
      </c>
      <c r="S155" s="118">
        <v>43609.0</v>
      </c>
      <c r="T155" s="113" t="s">
        <v>38</v>
      </c>
      <c r="U155" s="113">
        <v>44335.0</v>
      </c>
      <c r="V155" s="113" t="s">
        <v>299</v>
      </c>
      <c r="W155" s="113">
        <v>5.48452145E8</v>
      </c>
      <c r="X155" s="113" t="s">
        <v>1335</v>
      </c>
      <c r="Y155" s="113">
        <v>5.48459363E8</v>
      </c>
      <c r="Z155" s="117" t="s">
        <v>43</v>
      </c>
      <c r="AA155" s="138"/>
      <c r="AB155" s="116"/>
      <c r="AC155" s="92" t="s">
        <v>169</v>
      </c>
      <c r="AD155" s="119"/>
      <c r="AE155" s="119"/>
      <c r="AF155" s="119"/>
    </row>
    <row r="156" hidden="1">
      <c r="A156" s="120" t="s">
        <v>157</v>
      </c>
      <c r="B156" s="120" t="s">
        <v>158</v>
      </c>
      <c r="C156" s="120" t="s">
        <v>159</v>
      </c>
      <c r="D156" s="124" t="s">
        <v>142</v>
      </c>
      <c r="E156" s="128" t="s">
        <v>1336</v>
      </c>
      <c r="F156" s="129">
        <v>44655.0</v>
      </c>
      <c r="G156" s="128" t="s">
        <v>90</v>
      </c>
      <c r="H156" s="130">
        <f>IFERROR(__xludf.DUMMYFUNCTION("IF(ISDATE(S156), DATEDIF(S156, TODAY(), ""Y""), """")"),7.0)</f>
        <v>7</v>
      </c>
      <c r="I156" s="128" t="s">
        <v>1337</v>
      </c>
      <c r="J156" s="128" t="s">
        <v>1338</v>
      </c>
      <c r="K156" s="131"/>
      <c r="L156" s="128" t="s">
        <v>92</v>
      </c>
      <c r="M156" s="128" t="s">
        <v>1339</v>
      </c>
      <c r="N156" s="128" t="s">
        <v>44</v>
      </c>
      <c r="O156" s="128"/>
      <c r="P156" s="131"/>
      <c r="Q156" s="128" t="s">
        <v>36</v>
      </c>
      <c r="R156" s="128">
        <v>2.26460939E8</v>
      </c>
      <c r="S156" s="132">
        <v>43429.0</v>
      </c>
      <c r="T156" s="128" t="s">
        <v>1028</v>
      </c>
      <c r="U156" s="128">
        <v>44654.0</v>
      </c>
      <c r="V156" s="128" t="s">
        <v>500</v>
      </c>
      <c r="W156" s="128">
        <v>5.09050759E8</v>
      </c>
      <c r="X156" s="128" t="s">
        <v>1050</v>
      </c>
      <c r="Y156" s="128">
        <v>5.04636444E8</v>
      </c>
      <c r="Z156" s="124" t="s">
        <v>43</v>
      </c>
      <c r="AA156" s="133">
        <v>1.0</v>
      </c>
      <c r="AB156" s="134"/>
      <c r="AC156" s="134" t="s">
        <v>169</v>
      </c>
      <c r="AD156" s="131"/>
      <c r="AE156" s="131"/>
      <c r="AF156" s="131"/>
    </row>
    <row r="157" hidden="1">
      <c r="A157" s="144" t="s">
        <v>157</v>
      </c>
      <c r="B157" s="92" t="s">
        <v>1143</v>
      </c>
      <c r="C157" s="111" t="s">
        <v>238</v>
      </c>
      <c r="D157" s="145"/>
      <c r="E157" s="117" t="s">
        <v>1340</v>
      </c>
      <c r="F157" s="146">
        <v>45813.0</v>
      </c>
      <c r="G157" s="117" t="s">
        <v>31</v>
      </c>
      <c r="H157" s="136">
        <f>IFERROR(__xludf.DUMMYFUNCTION("IF(ISDATE(S157), DATEDIF(S157, TODAY(), ""Y""), """")"),12.0)</f>
        <v>12</v>
      </c>
      <c r="I157" s="117" t="s">
        <v>1341</v>
      </c>
      <c r="J157" s="117" t="s">
        <v>1342</v>
      </c>
      <c r="K157" s="147" t="s">
        <v>1343</v>
      </c>
      <c r="L157" s="117" t="s">
        <v>49</v>
      </c>
      <c r="M157" s="117" t="s">
        <v>1344</v>
      </c>
      <c r="N157" s="117" t="s">
        <v>36</v>
      </c>
      <c r="O157" s="114" t="s">
        <v>1345</v>
      </c>
      <c r="P157" s="119"/>
      <c r="Q157" s="117" t="s">
        <v>36</v>
      </c>
      <c r="R157" s="114">
        <v>3.35761276E8</v>
      </c>
      <c r="S157" s="148">
        <v>41561.0</v>
      </c>
      <c r="T157" s="117" t="s">
        <v>82</v>
      </c>
      <c r="U157" s="114" t="s">
        <v>1346</v>
      </c>
      <c r="V157" s="117" t="s">
        <v>1188</v>
      </c>
      <c r="W157" s="147" t="s">
        <v>1347</v>
      </c>
      <c r="X157" s="117" t="s">
        <v>1348</v>
      </c>
      <c r="Y157" s="147" t="s">
        <v>1349</v>
      </c>
      <c r="Z157" s="117" t="s">
        <v>43</v>
      </c>
      <c r="AA157" s="114">
        <v>3.0</v>
      </c>
      <c r="AB157" s="119"/>
      <c r="AC157" s="117" t="s">
        <v>1350</v>
      </c>
      <c r="AD157" s="119"/>
      <c r="AE157" s="119"/>
      <c r="AF157" s="117" t="s">
        <v>1351</v>
      </c>
    </row>
    <row r="158" hidden="1">
      <c r="A158" s="120" t="s">
        <v>157</v>
      </c>
      <c r="B158" s="120" t="s">
        <v>158</v>
      </c>
      <c r="C158" s="120" t="s">
        <v>159</v>
      </c>
      <c r="D158" s="124" t="s">
        <v>142</v>
      </c>
      <c r="E158" s="128" t="s">
        <v>1352</v>
      </c>
      <c r="F158" s="129">
        <v>44872.0</v>
      </c>
      <c r="G158" s="128" t="s">
        <v>90</v>
      </c>
      <c r="H158" s="130">
        <f>IFERROR(__xludf.DUMMYFUNCTION("IF(ISDATE(S158), DATEDIF(S158, TODAY(), ""Y""), """")"),7.0)</f>
        <v>7</v>
      </c>
      <c r="I158" s="128" t="s">
        <v>1353</v>
      </c>
      <c r="J158" s="128" t="s">
        <v>1354</v>
      </c>
      <c r="K158" s="131"/>
      <c r="L158" s="128" t="s">
        <v>92</v>
      </c>
      <c r="M158" s="128" t="s">
        <v>1355</v>
      </c>
      <c r="N158" s="128" t="s">
        <v>44</v>
      </c>
      <c r="O158" s="128"/>
      <c r="P158" s="131"/>
      <c r="Q158" s="128" t="s">
        <v>36</v>
      </c>
      <c r="R158" s="128">
        <v>2.27025509E8</v>
      </c>
      <c r="S158" s="132">
        <v>43449.0</v>
      </c>
      <c r="T158" s="128" t="s">
        <v>38</v>
      </c>
      <c r="U158" s="128">
        <v>44781.0</v>
      </c>
      <c r="V158" s="128" t="s">
        <v>1356</v>
      </c>
      <c r="W158" s="128">
        <v>5.4545092E8</v>
      </c>
      <c r="X158" s="128" t="s">
        <v>1357</v>
      </c>
      <c r="Y158" s="128">
        <v>5.4545092E8</v>
      </c>
      <c r="Z158" s="124"/>
      <c r="AA158" s="133">
        <v>2.0</v>
      </c>
      <c r="AB158" s="134"/>
      <c r="AC158" s="134" t="s">
        <v>169</v>
      </c>
      <c r="AD158" s="131"/>
      <c r="AE158" s="131"/>
      <c r="AF158" s="131"/>
    </row>
    <row r="159" hidden="1">
      <c r="A159" s="92" t="s">
        <v>157</v>
      </c>
      <c r="B159" s="92" t="s">
        <v>158</v>
      </c>
      <c r="C159" s="92" t="s">
        <v>159</v>
      </c>
      <c r="D159" s="117" t="s">
        <v>142</v>
      </c>
      <c r="E159" s="113" t="s">
        <v>1358</v>
      </c>
      <c r="F159" s="137" t="s">
        <v>1359</v>
      </c>
      <c r="G159" s="113" t="s">
        <v>90</v>
      </c>
      <c r="H159" s="114">
        <f>IFERROR(__xludf.DUMMYFUNCTION("IF(ISDATE(S159), DATEDIF(S159, TODAY(), ""Y""), """")"),7.0)</f>
        <v>7</v>
      </c>
      <c r="I159" s="113" t="s">
        <v>1360</v>
      </c>
      <c r="J159" s="113" t="s">
        <v>47</v>
      </c>
      <c r="K159" s="119">
        <v>5.09656559E8</v>
      </c>
      <c r="L159" s="113" t="s">
        <v>164</v>
      </c>
      <c r="M159" s="113" t="s">
        <v>1361</v>
      </c>
      <c r="N159" s="113" t="s">
        <v>44</v>
      </c>
      <c r="O159" s="113"/>
      <c r="P159" s="119"/>
      <c r="Q159" s="113" t="s">
        <v>44</v>
      </c>
      <c r="R159" s="113">
        <v>2.27080876E8</v>
      </c>
      <c r="S159" s="118">
        <v>43394.0</v>
      </c>
      <c r="T159" s="113" t="s">
        <v>38</v>
      </c>
      <c r="U159" s="113">
        <v>44189.0</v>
      </c>
      <c r="V159" s="113" t="s">
        <v>1362</v>
      </c>
      <c r="W159" s="113">
        <v>5.44726194E8</v>
      </c>
      <c r="X159" s="113" t="s">
        <v>1363</v>
      </c>
      <c r="Y159" s="113">
        <v>5.09656559E8</v>
      </c>
      <c r="Z159" s="117" t="s">
        <v>43</v>
      </c>
      <c r="AA159" s="138">
        <v>1.0</v>
      </c>
      <c r="AB159" s="116"/>
      <c r="AC159" s="116" t="s">
        <v>169</v>
      </c>
      <c r="AD159" s="119"/>
      <c r="AE159" s="119"/>
      <c r="AF159" s="119"/>
    </row>
    <row r="160" hidden="1">
      <c r="A160" s="120" t="s">
        <v>157</v>
      </c>
      <c r="B160" s="120" t="s">
        <v>158</v>
      </c>
      <c r="C160" s="120" t="s">
        <v>159</v>
      </c>
      <c r="D160" s="124" t="s">
        <v>142</v>
      </c>
      <c r="E160" s="128" t="s">
        <v>1364</v>
      </c>
      <c r="F160" s="129"/>
      <c r="G160" s="128" t="s">
        <v>31</v>
      </c>
      <c r="H160" s="130">
        <f>IFERROR(__xludf.DUMMYFUNCTION("IF(ISDATE(S160), DATEDIF(S160, TODAY(), ""Y""), """")"),6.0)</f>
        <v>6</v>
      </c>
      <c r="I160" s="128"/>
      <c r="J160" s="128" t="s">
        <v>1365</v>
      </c>
      <c r="K160" s="131"/>
      <c r="L160" s="128" t="s">
        <v>92</v>
      </c>
      <c r="M160" s="128" t="s">
        <v>1366</v>
      </c>
      <c r="N160" s="128" t="s">
        <v>44</v>
      </c>
      <c r="O160" s="128"/>
      <c r="P160" s="131"/>
      <c r="Q160" s="128" t="s">
        <v>182</v>
      </c>
      <c r="R160" s="128">
        <v>2.27091303E8</v>
      </c>
      <c r="S160" s="132">
        <v>43579.0</v>
      </c>
      <c r="T160" s="128" t="s">
        <v>1367</v>
      </c>
      <c r="U160" s="128">
        <v>45079.0</v>
      </c>
      <c r="V160" s="128" t="s">
        <v>1368</v>
      </c>
      <c r="W160" s="128">
        <v>5.45392909E8</v>
      </c>
      <c r="X160" s="128" t="s">
        <v>1369</v>
      </c>
      <c r="Y160" s="128">
        <v>5.58860445E8</v>
      </c>
      <c r="Z160" s="124" t="s">
        <v>43</v>
      </c>
      <c r="AA160" s="133">
        <v>2.0</v>
      </c>
      <c r="AB160" s="134"/>
      <c r="AC160" s="120" t="s">
        <v>169</v>
      </c>
      <c r="AD160" s="131"/>
      <c r="AE160" s="131"/>
      <c r="AF160" s="131"/>
    </row>
    <row r="161" hidden="1">
      <c r="A161" s="84" t="s">
        <v>157</v>
      </c>
      <c r="B161" s="92" t="s">
        <v>140</v>
      </c>
      <c r="C161" s="92" t="s">
        <v>141</v>
      </c>
      <c r="D161" s="149"/>
      <c r="E161" s="150" t="s">
        <v>1370</v>
      </c>
      <c r="F161" s="151">
        <v>45910.0</v>
      </c>
      <c r="G161" s="150" t="s">
        <v>31</v>
      </c>
      <c r="H161" s="114">
        <v>11.0</v>
      </c>
      <c r="I161" s="150" t="s">
        <v>1371</v>
      </c>
      <c r="J161" s="92" t="s">
        <v>1115</v>
      </c>
      <c r="K161" s="152" t="s">
        <v>1372</v>
      </c>
      <c r="L161" s="127" t="s">
        <v>649</v>
      </c>
      <c r="M161" s="150" t="s">
        <v>1373</v>
      </c>
      <c r="N161" s="92" t="s">
        <v>36</v>
      </c>
      <c r="O161" s="127" t="s">
        <v>973</v>
      </c>
      <c r="P161" s="127"/>
      <c r="Q161" s="127" t="s">
        <v>36</v>
      </c>
      <c r="R161" s="127">
        <v>2.22330961E8</v>
      </c>
      <c r="S161" s="153">
        <v>41674.0</v>
      </c>
      <c r="T161" s="150" t="s">
        <v>1183</v>
      </c>
      <c r="U161" s="127" t="s">
        <v>1374</v>
      </c>
      <c r="V161" s="127" t="s">
        <v>299</v>
      </c>
      <c r="W161" s="154" t="s">
        <v>1375</v>
      </c>
      <c r="X161" s="150" t="s">
        <v>1376</v>
      </c>
      <c r="Y161" s="152" t="s">
        <v>1377</v>
      </c>
      <c r="Z161" s="117" t="s">
        <v>43</v>
      </c>
      <c r="AA161" s="111">
        <v>4.0</v>
      </c>
      <c r="AB161" s="155"/>
      <c r="AC161" s="92" t="s">
        <v>156</v>
      </c>
      <c r="AD161" s="127"/>
      <c r="AE161" s="127"/>
      <c r="AF161" s="92" t="s">
        <v>1378</v>
      </c>
    </row>
    <row r="162" hidden="1">
      <c r="A162" s="108" t="s">
        <v>157</v>
      </c>
      <c r="B162" s="120" t="s">
        <v>1143</v>
      </c>
      <c r="C162" s="122" t="s">
        <v>238</v>
      </c>
      <c r="D162" s="156" t="s">
        <v>1379</v>
      </c>
      <c r="E162" s="128" t="s">
        <v>1380</v>
      </c>
      <c r="F162" s="133" t="s">
        <v>1379</v>
      </c>
      <c r="G162" s="128" t="s">
        <v>31</v>
      </c>
      <c r="H162" s="130">
        <v>4.0</v>
      </c>
      <c r="I162" s="128" t="s">
        <v>1381</v>
      </c>
      <c r="J162" s="128" t="s">
        <v>597</v>
      </c>
      <c r="K162" s="143" t="s">
        <v>1382</v>
      </c>
      <c r="L162" s="128" t="s">
        <v>92</v>
      </c>
      <c r="M162" s="134" t="s">
        <v>1383</v>
      </c>
      <c r="N162" s="128" t="s">
        <v>36</v>
      </c>
      <c r="O162" s="124" t="s">
        <v>1384</v>
      </c>
      <c r="P162" s="128" t="s">
        <v>1385</v>
      </c>
      <c r="Q162" s="128" t="s">
        <v>36</v>
      </c>
      <c r="R162" s="128">
        <v>2.34426732E8</v>
      </c>
      <c r="S162" s="132">
        <v>45952.0</v>
      </c>
      <c r="T162" s="134" t="s">
        <v>1383</v>
      </c>
      <c r="U162" s="143" t="s">
        <v>1386</v>
      </c>
      <c r="V162" s="128" t="s">
        <v>84</v>
      </c>
      <c r="W162" s="143" t="s">
        <v>1387</v>
      </c>
      <c r="X162" s="128" t="s">
        <v>1388</v>
      </c>
      <c r="Y162" s="143" t="s">
        <v>1382</v>
      </c>
      <c r="Z162" s="124" t="s">
        <v>43</v>
      </c>
      <c r="AA162" s="128">
        <v>2.0</v>
      </c>
      <c r="AB162" s="124"/>
      <c r="AC162" s="120" t="s">
        <v>978</v>
      </c>
      <c r="AD162" s="124" t="s">
        <v>1389</v>
      </c>
      <c r="AE162" s="131"/>
      <c r="AF162" s="124"/>
    </row>
    <row r="163" hidden="1">
      <c r="A163" s="135" t="s">
        <v>157</v>
      </c>
      <c r="B163" s="92" t="s">
        <v>1143</v>
      </c>
      <c r="C163" s="92" t="s">
        <v>238</v>
      </c>
      <c r="D163" s="149">
        <v>46002.0</v>
      </c>
      <c r="E163" s="150" t="s">
        <v>1390</v>
      </c>
      <c r="F163" s="151">
        <v>46001.0</v>
      </c>
      <c r="G163" s="150" t="s">
        <v>90</v>
      </c>
      <c r="H163" s="114" t="s">
        <v>1391</v>
      </c>
      <c r="I163" s="150" t="s">
        <v>1392</v>
      </c>
      <c r="J163" s="92" t="s">
        <v>597</v>
      </c>
      <c r="K163" s="157"/>
      <c r="L163" s="127" t="s">
        <v>103</v>
      </c>
      <c r="M163" s="150" t="s">
        <v>1393</v>
      </c>
      <c r="N163" s="92" t="s">
        <v>36</v>
      </c>
      <c r="O163" s="127" t="s">
        <v>1394</v>
      </c>
      <c r="P163" s="127"/>
      <c r="Q163" s="127" t="s">
        <v>36</v>
      </c>
      <c r="R163" s="127">
        <v>3.39230302E8</v>
      </c>
      <c r="S163" s="153">
        <v>42482.0</v>
      </c>
      <c r="T163" s="150" t="s">
        <v>1395</v>
      </c>
      <c r="U163" s="154" t="s">
        <v>1396</v>
      </c>
      <c r="V163" s="127" t="s">
        <v>1397</v>
      </c>
      <c r="W163" s="154" t="s">
        <v>1398</v>
      </c>
      <c r="X163" s="150" t="s">
        <v>869</v>
      </c>
      <c r="Y163" s="152" t="s">
        <v>1399</v>
      </c>
      <c r="Z163" s="119" t="s">
        <v>43</v>
      </c>
      <c r="AA163" s="111">
        <v>1.0</v>
      </c>
      <c r="AB163" s="155"/>
      <c r="AC163" s="92" t="s">
        <v>978</v>
      </c>
      <c r="AD163" s="92" t="s">
        <v>1400</v>
      </c>
      <c r="AE163" s="127"/>
      <c r="AF163" s="127"/>
    </row>
    <row r="164" hidden="1">
      <c r="A164" s="120" t="s">
        <v>157</v>
      </c>
      <c r="B164" s="120" t="s">
        <v>158</v>
      </c>
      <c r="C164" s="120" t="s">
        <v>159</v>
      </c>
      <c r="D164" s="121">
        <v>45937.0</v>
      </c>
      <c r="E164" s="120" t="s">
        <v>1401</v>
      </c>
      <c r="F164" s="158">
        <v>44661.0</v>
      </c>
      <c r="G164" s="120" t="s">
        <v>90</v>
      </c>
      <c r="H164" s="130">
        <f>IFERROR(__xludf.DUMMYFUNCTION("IF(ISDATE(S164), DATEDIF(S164, TODAY(), ""Y""), """")"),6.0)</f>
        <v>6</v>
      </c>
      <c r="I164" s="120" t="s">
        <v>1402</v>
      </c>
      <c r="J164" s="120" t="s">
        <v>517</v>
      </c>
      <c r="K164" s="122">
        <v>5.46666036E8</v>
      </c>
      <c r="L164" s="120" t="s">
        <v>92</v>
      </c>
      <c r="M164" s="120" t="s">
        <v>1403</v>
      </c>
      <c r="N164" s="120" t="s">
        <v>44</v>
      </c>
      <c r="O164" s="139"/>
      <c r="P164" s="120" t="s">
        <v>1404</v>
      </c>
      <c r="Q164" s="120" t="s">
        <v>44</v>
      </c>
      <c r="R164" s="122">
        <v>2.27312899E8</v>
      </c>
      <c r="S164" s="121">
        <v>43660.0</v>
      </c>
      <c r="T164" s="120" t="s">
        <v>1405</v>
      </c>
      <c r="U164" s="158">
        <v>44542.0</v>
      </c>
      <c r="V164" s="120" t="s">
        <v>1406</v>
      </c>
      <c r="W164" s="122">
        <v>5.46666036E8</v>
      </c>
      <c r="X164" s="120" t="s">
        <v>1407</v>
      </c>
      <c r="Y164" s="122">
        <v>5.46666036E8</v>
      </c>
      <c r="Z164" s="124" t="s">
        <v>43</v>
      </c>
      <c r="AA164" s="122">
        <v>3.0</v>
      </c>
      <c r="AB164" s="139"/>
      <c r="AC164" s="120" t="s">
        <v>156</v>
      </c>
      <c r="AD164" s="139"/>
      <c r="AE164" s="139"/>
      <c r="AF164" s="139"/>
    </row>
    <row r="165" hidden="1">
      <c r="A165" s="92" t="s">
        <v>157</v>
      </c>
      <c r="B165" s="92" t="s">
        <v>158</v>
      </c>
      <c r="C165" s="92" t="s">
        <v>159</v>
      </c>
      <c r="D165" s="117" t="s">
        <v>142</v>
      </c>
      <c r="E165" s="113" t="s">
        <v>1408</v>
      </c>
      <c r="F165" s="137">
        <v>44747.0</v>
      </c>
      <c r="G165" s="113" t="s">
        <v>90</v>
      </c>
      <c r="H165" s="114">
        <f>IFERROR(__xludf.DUMMYFUNCTION("IF(ISDATE(S165), DATEDIF(S165, TODAY(), ""Y""), """")"),6.0)</f>
        <v>6</v>
      </c>
      <c r="I165" s="113" t="s">
        <v>1409</v>
      </c>
      <c r="J165" s="113" t="s">
        <v>1295</v>
      </c>
      <c r="K165" s="119">
        <v>5.26979794E8</v>
      </c>
      <c r="L165" s="113" t="s">
        <v>92</v>
      </c>
      <c r="M165" s="113" t="s">
        <v>1410</v>
      </c>
      <c r="N165" s="113" t="s">
        <v>44</v>
      </c>
      <c r="O165" s="113"/>
      <c r="P165" s="119"/>
      <c r="Q165" s="113" t="s">
        <v>44</v>
      </c>
      <c r="R165" s="113">
        <v>2.27339652E8</v>
      </c>
      <c r="S165" s="118">
        <v>43545.0</v>
      </c>
      <c r="T165" s="113" t="s">
        <v>1411</v>
      </c>
      <c r="U165" s="113">
        <v>44725.0</v>
      </c>
      <c r="V165" s="113" t="s">
        <v>697</v>
      </c>
      <c r="W165" s="113">
        <v>0.0</v>
      </c>
      <c r="X165" s="113" t="s">
        <v>1412</v>
      </c>
      <c r="Y165" s="113">
        <v>5.26979794E8</v>
      </c>
      <c r="Z165" s="117" t="s">
        <v>168</v>
      </c>
      <c r="AA165" s="138">
        <v>1.0</v>
      </c>
      <c r="AB165" s="116"/>
      <c r="AC165" s="116" t="s">
        <v>169</v>
      </c>
      <c r="AD165" s="119"/>
      <c r="AE165" s="119"/>
      <c r="AF165" s="119"/>
    </row>
    <row r="166" hidden="1">
      <c r="A166" s="120" t="s">
        <v>157</v>
      </c>
      <c r="B166" s="120" t="s">
        <v>158</v>
      </c>
      <c r="C166" s="120" t="s">
        <v>159</v>
      </c>
      <c r="D166" s="121" t="s">
        <v>1283</v>
      </c>
      <c r="E166" s="120" t="s">
        <v>1413</v>
      </c>
      <c r="F166" s="122" t="s">
        <v>1414</v>
      </c>
      <c r="G166" s="120" t="s">
        <v>90</v>
      </c>
      <c r="H166" s="130">
        <f>IFERROR(__xludf.DUMMYFUNCTION("IF(ISDATE(S166), DATEDIF(S166, TODAY(), ""Y""), """")"),6.0)</f>
        <v>6</v>
      </c>
      <c r="I166" s="120" t="s">
        <v>1415</v>
      </c>
      <c r="J166" s="120" t="s">
        <v>1239</v>
      </c>
      <c r="K166" s="139"/>
      <c r="L166" s="120" t="s">
        <v>103</v>
      </c>
      <c r="M166" s="120" t="s">
        <v>1416</v>
      </c>
      <c r="N166" s="120" t="s">
        <v>44</v>
      </c>
      <c r="O166" s="120" t="s">
        <v>1045</v>
      </c>
      <c r="P166" s="122" t="s">
        <v>997</v>
      </c>
      <c r="Q166" s="120" t="s">
        <v>44</v>
      </c>
      <c r="R166" s="122">
        <v>2.27727047E8</v>
      </c>
      <c r="S166" s="121">
        <v>43513.0</v>
      </c>
      <c r="T166" s="122" t="s">
        <v>1417</v>
      </c>
      <c r="U166" s="122" t="s">
        <v>1418</v>
      </c>
      <c r="V166" s="120" t="s">
        <v>1419</v>
      </c>
      <c r="W166" s="122">
        <v>5.44617463E8</v>
      </c>
      <c r="X166" s="120" t="s">
        <v>1420</v>
      </c>
      <c r="Y166" s="122">
        <v>5.44807698E8</v>
      </c>
      <c r="Z166" s="124" t="s">
        <v>1112</v>
      </c>
      <c r="AA166" s="122">
        <v>2.0</v>
      </c>
      <c r="AB166" s="120" t="s">
        <v>1421</v>
      </c>
      <c r="AC166" s="120" t="s">
        <v>156</v>
      </c>
      <c r="AD166" s="120"/>
      <c r="AE166" s="139"/>
      <c r="AF166" s="139"/>
    </row>
    <row r="167" hidden="1">
      <c r="A167" s="108" t="s">
        <v>157</v>
      </c>
      <c r="B167" s="120" t="s">
        <v>1143</v>
      </c>
      <c r="C167" s="120" t="s">
        <v>238</v>
      </c>
      <c r="D167" s="158">
        <v>45809.0</v>
      </c>
      <c r="E167" s="120" t="s">
        <v>1422</v>
      </c>
      <c r="F167" s="122" t="s">
        <v>1423</v>
      </c>
      <c r="G167" s="120" t="s">
        <v>90</v>
      </c>
      <c r="H167" s="123">
        <f>IFERROR(__xludf.DUMMYFUNCTION("IF(ISDATE(S167), DATEDIF(S167, TODAY(), ""Y""), """")"),6.0)</f>
        <v>6</v>
      </c>
      <c r="I167" s="139"/>
      <c r="J167" s="120" t="s">
        <v>47</v>
      </c>
      <c r="K167" s="139"/>
      <c r="L167" s="120" t="s">
        <v>103</v>
      </c>
      <c r="M167" s="120" t="s">
        <v>1424</v>
      </c>
      <c r="N167" s="120" t="s">
        <v>36</v>
      </c>
      <c r="O167" s="120" t="s">
        <v>1425</v>
      </c>
      <c r="P167" s="139"/>
      <c r="Q167" s="120" t="s">
        <v>1426</v>
      </c>
      <c r="R167" s="122">
        <v>2.27820925E8</v>
      </c>
      <c r="S167" s="121">
        <v>43766.0</v>
      </c>
      <c r="T167" s="120" t="s">
        <v>1427</v>
      </c>
      <c r="U167" s="120" t="s">
        <v>1428</v>
      </c>
      <c r="V167" s="139"/>
      <c r="W167" s="131"/>
      <c r="X167" s="120" t="s">
        <v>745</v>
      </c>
      <c r="Y167" s="122">
        <v>5.25205043E8</v>
      </c>
      <c r="Z167" s="124" t="s">
        <v>1429</v>
      </c>
      <c r="AA167" s="122">
        <v>1.0</v>
      </c>
      <c r="AB167" s="120" t="s">
        <v>1430</v>
      </c>
      <c r="AC167" s="120" t="s">
        <v>1152</v>
      </c>
      <c r="AD167" s="120" t="s">
        <v>1431</v>
      </c>
      <c r="AE167" s="120" t="s">
        <v>1432</v>
      </c>
      <c r="AF167" s="120"/>
    </row>
    <row r="168" hidden="1">
      <c r="A168" s="108" t="s">
        <v>157</v>
      </c>
      <c r="B168" s="92" t="s">
        <v>140</v>
      </c>
      <c r="C168" s="92" t="s">
        <v>141</v>
      </c>
      <c r="D168" s="159">
        <v>45778.0</v>
      </c>
      <c r="E168" s="92" t="s">
        <v>1433</v>
      </c>
      <c r="F168" s="111" t="s">
        <v>992</v>
      </c>
      <c r="G168" s="92" t="s">
        <v>90</v>
      </c>
      <c r="H168" s="136">
        <f>IFERROR(__xludf.DUMMYFUNCTION("IF(ISDATE(S168), DATEDIF(S168, TODAY(), ""Y""), """")"),6.0)</f>
        <v>6</v>
      </c>
      <c r="I168" s="127"/>
      <c r="J168" s="92" t="s">
        <v>102</v>
      </c>
      <c r="K168" s="127"/>
      <c r="L168" s="92" t="s">
        <v>103</v>
      </c>
      <c r="M168" s="92" t="s">
        <v>1434</v>
      </c>
      <c r="N168" s="92" t="s">
        <v>36</v>
      </c>
      <c r="O168" s="111" t="s">
        <v>1435</v>
      </c>
      <c r="P168" s="127"/>
      <c r="Q168" s="92" t="s">
        <v>1426</v>
      </c>
      <c r="R168" s="111">
        <v>2.28604054E8</v>
      </c>
      <c r="S168" s="126">
        <v>43807.0</v>
      </c>
      <c r="T168" s="92" t="s">
        <v>1436</v>
      </c>
      <c r="U168" s="92" t="s">
        <v>1437</v>
      </c>
      <c r="V168" s="127"/>
      <c r="W168" s="127"/>
      <c r="X168" s="92" t="s">
        <v>1438</v>
      </c>
      <c r="Y168" s="111">
        <v>5.07854461E8</v>
      </c>
      <c r="Z168" s="160"/>
      <c r="AA168" s="111">
        <v>1.0</v>
      </c>
      <c r="AB168" s="92" t="s">
        <v>1439</v>
      </c>
      <c r="AC168" s="92" t="s">
        <v>169</v>
      </c>
      <c r="AD168" s="127"/>
      <c r="AE168" s="92"/>
      <c r="AF168" s="92" t="s">
        <v>1440</v>
      </c>
    </row>
    <row r="169" hidden="1">
      <c r="A169" s="120" t="s">
        <v>157</v>
      </c>
      <c r="B169" s="120" t="s">
        <v>158</v>
      </c>
      <c r="C169" s="120" t="s">
        <v>159</v>
      </c>
      <c r="D169" s="124" t="s">
        <v>142</v>
      </c>
      <c r="E169" s="128" t="s">
        <v>1441</v>
      </c>
      <c r="F169" s="129" t="s">
        <v>1442</v>
      </c>
      <c r="G169" s="128" t="s">
        <v>90</v>
      </c>
      <c r="H169" s="130">
        <f>IFERROR(__xludf.DUMMYFUNCTION("IF(ISDATE(S169), DATEDIF(S169, TODAY(), ""Y""), """")"),1.0)</f>
        <v>1</v>
      </c>
      <c r="I169" s="128" t="s">
        <v>1443</v>
      </c>
      <c r="J169" s="128" t="s">
        <v>33</v>
      </c>
      <c r="K169" s="131" t="s">
        <v>198</v>
      </c>
      <c r="L169" s="128" t="s">
        <v>103</v>
      </c>
      <c r="M169" s="128" t="s">
        <v>1444</v>
      </c>
      <c r="N169" s="128" t="s">
        <v>44</v>
      </c>
      <c r="O169" s="128"/>
      <c r="P169" s="131"/>
      <c r="Q169" s="128" t="s">
        <v>1445</v>
      </c>
      <c r="R169" s="128">
        <v>2.28036034E8</v>
      </c>
      <c r="S169" s="132">
        <v>45470.416666666664</v>
      </c>
      <c r="T169" s="128" t="s">
        <v>1446</v>
      </c>
      <c r="U169" s="128" t="s">
        <v>1447</v>
      </c>
      <c r="V169" s="128" t="s">
        <v>1448</v>
      </c>
      <c r="W169" s="128">
        <v>5.4668383E8</v>
      </c>
      <c r="X169" s="128" t="s">
        <v>1449</v>
      </c>
      <c r="Y169" s="128">
        <v>5.4232067E8</v>
      </c>
      <c r="Z169" s="124" t="s">
        <v>43</v>
      </c>
      <c r="AA169" s="133">
        <v>2.0</v>
      </c>
      <c r="AB169" s="134"/>
      <c r="AC169" s="134" t="s">
        <v>169</v>
      </c>
      <c r="AD169" s="131"/>
      <c r="AE169" s="131"/>
      <c r="AF169" s="131"/>
    </row>
    <row r="170" hidden="1">
      <c r="A170" s="135" t="s">
        <v>157</v>
      </c>
      <c r="B170" s="92" t="s">
        <v>1143</v>
      </c>
      <c r="C170" s="92" t="s">
        <v>238</v>
      </c>
      <c r="D170" s="149" t="s">
        <v>1450</v>
      </c>
      <c r="E170" s="150" t="s">
        <v>1451</v>
      </c>
      <c r="F170" s="151">
        <v>46015.0</v>
      </c>
      <c r="G170" s="150" t="s">
        <v>31</v>
      </c>
      <c r="H170" s="114">
        <v>3.9</v>
      </c>
      <c r="I170" s="150" t="s">
        <v>1452</v>
      </c>
      <c r="J170" s="92" t="s">
        <v>1453</v>
      </c>
      <c r="K170" s="152" t="s">
        <v>1454</v>
      </c>
      <c r="L170" s="127" t="s">
        <v>92</v>
      </c>
      <c r="M170" s="150" t="s">
        <v>1455</v>
      </c>
      <c r="N170" s="92" t="s">
        <v>36</v>
      </c>
      <c r="O170" s="127" t="s">
        <v>1456</v>
      </c>
      <c r="P170" s="127"/>
      <c r="Q170" s="127" t="s">
        <v>36</v>
      </c>
      <c r="R170" s="127">
        <v>2.34863397E8</v>
      </c>
      <c r="S170" s="153">
        <v>44600.0</v>
      </c>
      <c r="T170" s="150" t="s">
        <v>1457</v>
      </c>
      <c r="U170" s="127" t="s">
        <v>1458</v>
      </c>
      <c r="V170" s="127" t="s">
        <v>585</v>
      </c>
      <c r="W170" s="154" t="s">
        <v>1459</v>
      </c>
      <c r="X170" s="150" t="s">
        <v>1460</v>
      </c>
      <c r="Y170" s="152" t="s">
        <v>1461</v>
      </c>
      <c r="Z170" s="119" t="s">
        <v>43</v>
      </c>
      <c r="AA170" s="111" t="s">
        <v>1462</v>
      </c>
      <c r="AB170" s="155" t="s">
        <v>1463</v>
      </c>
      <c r="AC170" s="92" t="s">
        <v>978</v>
      </c>
      <c r="AD170" s="92" t="s">
        <v>1464</v>
      </c>
      <c r="AE170" s="127"/>
      <c r="AF170" s="127"/>
    </row>
    <row r="171" hidden="1">
      <c r="A171" s="120" t="s">
        <v>157</v>
      </c>
      <c r="B171" s="120" t="s">
        <v>158</v>
      </c>
      <c r="C171" s="120" t="s">
        <v>159</v>
      </c>
      <c r="D171" s="124" t="s">
        <v>142</v>
      </c>
      <c r="E171" s="128" t="s">
        <v>1465</v>
      </c>
      <c r="F171" s="129" t="s">
        <v>1466</v>
      </c>
      <c r="G171" s="128" t="s">
        <v>31</v>
      </c>
      <c r="H171" s="130">
        <f>IFERROR(__xludf.DUMMYFUNCTION("IF(ISDATE(S171), DATEDIF(S171, TODAY(), ""Y""), """")"),7.0)</f>
        <v>7</v>
      </c>
      <c r="I171" s="128" t="s">
        <v>1467</v>
      </c>
      <c r="J171" s="128" t="s">
        <v>180</v>
      </c>
      <c r="K171" s="131"/>
      <c r="L171" s="128" t="s">
        <v>92</v>
      </c>
      <c r="M171" s="128" t="s">
        <v>1468</v>
      </c>
      <c r="N171" s="128" t="s">
        <v>44</v>
      </c>
      <c r="O171" s="128"/>
      <c r="P171" s="131"/>
      <c r="Q171" s="128" t="s">
        <v>36</v>
      </c>
      <c r="R171" s="128">
        <v>2.28319554E8</v>
      </c>
      <c r="S171" s="132">
        <v>43270.0</v>
      </c>
      <c r="T171" s="128" t="s">
        <v>38</v>
      </c>
      <c r="U171" s="128" t="s">
        <v>1469</v>
      </c>
      <c r="V171" s="128" t="s">
        <v>1470</v>
      </c>
      <c r="W171" s="128">
        <v>5.56848023E8</v>
      </c>
      <c r="X171" s="128" t="s">
        <v>1471</v>
      </c>
      <c r="Y171" s="128">
        <v>5.48428685E8</v>
      </c>
      <c r="Z171" s="124" t="s">
        <v>43</v>
      </c>
      <c r="AA171" s="133">
        <v>3.0</v>
      </c>
      <c r="AB171" s="134"/>
      <c r="AC171" s="120" t="s">
        <v>169</v>
      </c>
      <c r="AD171" s="131"/>
      <c r="AE171" s="131"/>
      <c r="AF171" s="131"/>
    </row>
    <row r="172" hidden="1">
      <c r="A172" s="92" t="s">
        <v>157</v>
      </c>
      <c r="B172" s="92" t="s">
        <v>158</v>
      </c>
      <c r="C172" s="92" t="s">
        <v>159</v>
      </c>
      <c r="D172" s="117" t="s">
        <v>142</v>
      </c>
      <c r="E172" s="113" t="s">
        <v>1472</v>
      </c>
      <c r="F172" s="137" t="s">
        <v>1473</v>
      </c>
      <c r="G172" s="113" t="s">
        <v>31</v>
      </c>
      <c r="H172" s="114">
        <f>IFERROR(__xludf.DUMMYFUNCTION("IF(ISDATE(S172), DATEDIF(S172, TODAY(), ""Y""), """")"),6.0)</f>
        <v>6</v>
      </c>
      <c r="I172" s="113"/>
      <c r="J172" s="113" t="s">
        <v>1225</v>
      </c>
      <c r="K172" s="119" t="s">
        <v>198</v>
      </c>
      <c r="L172" s="113" t="s">
        <v>92</v>
      </c>
      <c r="M172" s="113" t="s">
        <v>165</v>
      </c>
      <c r="N172" s="113" t="s">
        <v>44</v>
      </c>
      <c r="O172" s="113"/>
      <c r="P172" s="119"/>
      <c r="Q172" s="113" t="s">
        <v>36</v>
      </c>
      <c r="R172" s="113">
        <v>2.28333977E8</v>
      </c>
      <c r="S172" s="118">
        <v>43563.0</v>
      </c>
      <c r="T172" s="113" t="s">
        <v>38</v>
      </c>
      <c r="U172" s="113">
        <v>45203.0</v>
      </c>
      <c r="V172" s="113" t="s">
        <v>1474</v>
      </c>
      <c r="W172" s="113">
        <v>5.48494433E8</v>
      </c>
      <c r="X172" s="113" t="s">
        <v>1475</v>
      </c>
      <c r="Y172" s="113">
        <v>5.27672535E8</v>
      </c>
      <c r="Z172" s="117" t="s">
        <v>43</v>
      </c>
      <c r="AA172" s="138">
        <v>3.0</v>
      </c>
      <c r="AB172" s="116"/>
      <c r="AC172" s="92" t="s">
        <v>169</v>
      </c>
      <c r="AD172" s="119"/>
      <c r="AE172" s="119"/>
      <c r="AF172" s="119"/>
    </row>
    <row r="173" hidden="1">
      <c r="A173" s="84" t="s">
        <v>157</v>
      </c>
      <c r="B173" s="120" t="s">
        <v>1143</v>
      </c>
      <c r="C173" s="120" t="s">
        <v>238</v>
      </c>
      <c r="D173" s="130" t="s">
        <v>1476</v>
      </c>
      <c r="E173" s="124" t="s">
        <v>1477</v>
      </c>
      <c r="F173" s="161">
        <v>45947.0</v>
      </c>
      <c r="G173" s="124" t="s">
        <v>90</v>
      </c>
      <c r="H173" s="130">
        <v>5.0</v>
      </c>
      <c r="I173" s="124" t="s">
        <v>1478</v>
      </c>
      <c r="J173" s="124" t="s">
        <v>33</v>
      </c>
      <c r="K173" s="131"/>
      <c r="L173" s="124" t="s">
        <v>610</v>
      </c>
      <c r="M173" s="124" t="s">
        <v>238</v>
      </c>
      <c r="N173" s="124" t="s">
        <v>36</v>
      </c>
      <c r="O173" s="130" t="s">
        <v>1147</v>
      </c>
      <c r="P173" s="124"/>
      <c r="Q173" s="124" t="s">
        <v>44</v>
      </c>
      <c r="R173" s="130">
        <v>2.30074825E8</v>
      </c>
      <c r="S173" s="156">
        <v>44006.0</v>
      </c>
      <c r="T173" s="124" t="s">
        <v>66</v>
      </c>
      <c r="U173" s="130" t="s">
        <v>1479</v>
      </c>
      <c r="V173" s="124" t="s">
        <v>1040</v>
      </c>
      <c r="W173" s="162" t="s">
        <v>1480</v>
      </c>
      <c r="X173" s="124" t="s">
        <v>1481</v>
      </c>
      <c r="Y173" s="162" t="s">
        <v>1482</v>
      </c>
      <c r="Z173" s="124" t="s">
        <v>43</v>
      </c>
      <c r="AA173" s="130" t="s">
        <v>623</v>
      </c>
      <c r="AB173" s="124" t="s">
        <v>1483</v>
      </c>
      <c r="AC173" s="120" t="s">
        <v>978</v>
      </c>
      <c r="AD173" s="124" t="s">
        <v>1484</v>
      </c>
      <c r="AE173" s="131"/>
      <c r="AF173" s="124"/>
    </row>
    <row r="174" hidden="1">
      <c r="A174" s="92" t="s">
        <v>157</v>
      </c>
      <c r="B174" s="92" t="s">
        <v>158</v>
      </c>
      <c r="C174" s="92" t="s">
        <v>159</v>
      </c>
      <c r="D174" s="126">
        <v>45845.0</v>
      </c>
      <c r="E174" s="92" t="s">
        <v>1485</v>
      </c>
      <c r="F174" s="111" t="s">
        <v>1486</v>
      </c>
      <c r="G174" s="92" t="s">
        <v>31</v>
      </c>
      <c r="H174" s="114">
        <f>IFERROR(__xludf.DUMMYFUNCTION("IF(ISDATE(S174), DATEDIF(S174, TODAY(), ""Y""), """")"),5.0)</f>
        <v>5</v>
      </c>
      <c r="I174" s="92" t="s">
        <v>1487</v>
      </c>
      <c r="J174" s="92" t="s">
        <v>517</v>
      </c>
      <c r="K174" s="127"/>
      <c r="L174" s="92" t="s">
        <v>103</v>
      </c>
      <c r="M174" s="92" t="s">
        <v>1488</v>
      </c>
      <c r="N174" s="92" t="s">
        <v>44</v>
      </c>
      <c r="O174" s="92" t="s">
        <v>946</v>
      </c>
      <c r="P174" s="92" t="s">
        <v>1489</v>
      </c>
      <c r="Q174" s="92" t="s">
        <v>1490</v>
      </c>
      <c r="R174" s="111">
        <v>2.28395653E8</v>
      </c>
      <c r="S174" s="126">
        <v>44070.0</v>
      </c>
      <c r="T174" s="92" t="s">
        <v>1491</v>
      </c>
      <c r="U174" s="141">
        <v>44504.0</v>
      </c>
      <c r="V174" s="92" t="s">
        <v>1492</v>
      </c>
      <c r="W174" s="136">
        <v>5.49656757E8</v>
      </c>
      <c r="X174" s="92" t="s">
        <v>1493</v>
      </c>
      <c r="Y174" s="111">
        <v>5.4966862E8</v>
      </c>
      <c r="Z174" s="117" t="s">
        <v>168</v>
      </c>
      <c r="AA174" s="111">
        <v>1.0</v>
      </c>
      <c r="AB174" s="92" t="s">
        <v>1494</v>
      </c>
      <c r="AC174" s="92" t="s">
        <v>156</v>
      </c>
      <c r="AD174" s="92" t="s">
        <v>1495</v>
      </c>
      <c r="AE174" s="127"/>
      <c r="AF174" s="127"/>
    </row>
    <row r="175" hidden="1">
      <c r="A175" s="135" t="s">
        <v>157</v>
      </c>
      <c r="B175" s="120" t="s">
        <v>1143</v>
      </c>
      <c r="C175" s="120" t="s">
        <v>238</v>
      </c>
      <c r="D175" s="163">
        <v>46010.0</v>
      </c>
      <c r="E175" s="164" t="s">
        <v>72</v>
      </c>
      <c r="F175" s="165">
        <v>43714.0</v>
      </c>
      <c r="G175" s="164" t="s">
        <v>31</v>
      </c>
      <c r="H175" s="130">
        <v>6.0</v>
      </c>
      <c r="I175" s="164" t="s">
        <v>32</v>
      </c>
      <c r="J175" s="120" t="s">
        <v>33</v>
      </c>
      <c r="K175" s="166"/>
      <c r="L175" s="139" t="s">
        <v>34</v>
      </c>
      <c r="M175" s="164" t="s">
        <v>35</v>
      </c>
      <c r="N175" s="120" t="s">
        <v>36</v>
      </c>
      <c r="O175" s="139" t="s">
        <v>37</v>
      </c>
      <c r="P175" s="139"/>
      <c r="Q175" s="139" t="s">
        <v>36</v>
      </c>
      <c r="R175" s="139">
        <v>2.28009585E8</v>
      </c>
      <c r="S175" s="167">
        <v>43625.0</v>
      </c>
      <c r="T175" s="164" t="s">
        <v>1012</v>
      </c>
      <c r="U175" s="168" t="s">
        <v>1496</v>
      </c>
      <c r="V175" s="139" t="s">
        <v>40</v>
      </c>
      <c r="W175" s="168" t="s">
        <v>41</v>
      </c>
      <c r="X175" s="164" t="s">
        <v>42</v>
      </c>
      <c r="Y175" s="169" t="s">
        <v>41</v>
      </c>
      <c r="Z175" s="131" t="s">
        <v>43</v>
      </c>
      <c r="AA175" s="122">
        <v>1.0</v>
      </c>
      <c r="AB175" s="170"/>
      <c r="AC175" s="120" t="s">
        <v>978</v>
      </c>
      <c r="AD175" s="120" t="s">
        <v>1497</v>
      </c>
      <c r="AE175" s="139"/>
      <c r="AF175" s="139"/>
    </row>
    <row r="176" hidden="1">
      <c r="A176" s="92" t="s">
        <v>157</v>
      </c>
      <c r="B176" s="92" t="s">
        <v>158</v>
      </c>
      <c r="C176" s="92" t="s">
        <v>159</v>
      </c>
      <c r="D176" s="117" t="s">
        <v>142</v>
      </c>
      <c r="E176" s="113" t="s">
        <v>1498</v>
      </c>
      <c r="F176" s="137">
        <v>44351.0</v>
      </c>
      <c r="G176" s="113" t="s">
        <v>31</v>
      </c>
      <c r="H176" s="114">
        <f>IFERROR(__xludf.DUMMYFUNCTION("IF(ISDATE(S176), DATEDIF(S176, TODAY(), ""Y""), """")"),6.0)</f>
        <v>6</v>
      </c>
      <c r="I176" s="113" t="s">
        <v>1499</v>
      </c>
      <c r="J176" s="113" t="s">
        <v>590</v>
      </c>
      <c r="K176" s="119">
        <v>5.06789197E8</v>
      </c>
      <c r="L176" s="113" t="s">
        <v>92</v>
      </c>
      <c r="M176" s="113" t="s">
        <v>1500</v>
      </c>
      <c r="N176" s="113" t="s">
        <v>44</v>
      </c>
      <c r="O176" s="113"/>
      <c r="P176" s="119"/>
      <c r="Q176" s="113" t="s">
        <v>36</v>
      </c>
      <c r="R176" s="113">
        <v>2.28754495E8</v>
      </c>
      <c r="S176" s="118">
        <v>43655.0</v>
      </c>
      <c r="T176" s="113" t="s">
        <v>1405</v>
      </c>
      <c r="U176" s="113">
        <v>44314.0</v>
      </c>
      <c r="V176" s="113" t="s">
        <v>119</v>
      </c>
      <c r="W176" s="113">
        <v>5.06789197E8</v>
      </c>
      <c r="X176" s="113" t="s">
        <v>1363</v>
      </c>
      <c r="Y176" s="113">
        <v>5.06789197E8</v>
      </c>
      <c r="Z176" s="117" t="s">
        <v>43</v>
      </c>
      <c r="AA176" s="138">
        <v>3.0</v>
      </c>
      <c r="AB176" s="116"/>
      <c r="AC176" s="116" t="s">
        <v>169</v>
      </c>
      <c r="AD176" s="119"/>
      <c r="AE176" s="119"/>
      <c r="AF176" s="119"/>
    </row>
    <row r="177" hidden="1">
      <c r="A177" s="120" t="s">
        <v>157</v>
      </c>
      <c r="B177" s="120" t="s">
        <v>158</v>
      </c>
      <c r="C177" s="120" t="s">
        <v>159</v>
      </c>
      <c r="D177" s="124" t="s">
        <v>142</v>
      </c>
      <c r="E177" s="128" t="s">
        <v>1501</v>
      </c>
      <c r="F177" s="129"/>
      <c r="G177" s="128" t="s">
        <v>31</v>
      </c>
      <c r="H177" s="130">
        <f>IFERROR(__xludf.DUMMYFUNCTION("IF(ISDATE(S177), DATEDIF(S177, TODAY(), ""Y""), """")"),6.0)</f>
        <v>6</v>
      </c>
      <c r="I177" s="128"/>
      <c r="J177" s="128" t="s">
        <v>1502</v>
      </c>
      <c r="K177" s="131"/>
      <c r="L177" s="128" t="s">
        <v>92</v>
      </c>
      <c r="M177" s="128" t="s">
        <v>141</v>
      </c>
      <c r="N177" s="128" t="s">
        <v>44</v>
      </c>
      <c r="O177" s="128"/>
      <c r="P177" s="131"/>
      <c r="Q177" s="128" t="s">
        <v>1503</v>
      </c>
      <c r="R177" s="128">
        <v>2.28761862E8</v>
      </c>
      <c r="S177" s="132">
        <v>43749.0</v>
      </c>
      <c r="T177" s="128" t="s">
        <v>38</v>
      </c>
      <c r="U177" s="128">
        <v>45089.0</v>
      </c>
      <c r="V177" s="128" t="s">
        <v>40</v>
      </c>
      <c r="W177" s="128">
        <v>5.37326351E8</v>
      </c>
      <c r="X177" s="128" t="s">
        <v>1504</v>
      </c>
      <c r="Y177" s="128">
        <v>5.49401995E8</v>
      </c>
      <c r="Z177" s="124" t="s">
        <v>43</v>
      </c>
      <c r="AA177" s="133">
        <v>4.0</v>
      </c>
      <c r="AB177" s="134"/>
      <c r="AC177" s="120" t="s">
        <v>169</v>
      </c>
      <c r="AD177" s="131"/>
      <c r="AE177" s="131"/>
      <c r="AF177" s="131"/>
    </row>
    <row r="178" hidden="1">
      <c r="A178" s="92" t="s">
        <v>157</v>
      </c>
      <c r="B178" s="92" t="s">
        <v>158</v>
      </c>
      <c r="C178" s="92" t="s">
        <v>159</v>
      </c>
      <c r="D178" s="117" t="s">
        <v>142</v>
      </c>
      <c r="E178" s="113" t="s">
        <v>1505</v>
      </c>
      <c r="F178" s="137" t="s">
        <v>1506</v>
      </c>
      <c r="G178" s="113" t="s">
        <v>31</v>
      </c>
      <c r="H178" s="114">
        <f>IFERROR(__xludf.DUMMYFUNCTION("IF(ISDATE(S178), DATEDIF(S178, TODAY(), ""Y""), """")"),6.0)</f>
        <v>6</v>
      </c>
      <c r="I178" s="113" t="s">
        <v>1507</v>
      </c>
      <c r="J178" s="113" t="s">
        <v>487</v>
      </c>
      <c r="K178" s="119">
        <v>5.56655877E8</v>
      </c>
      <c r="L178" s="113" t="s">
        <v>92</v>
      </c>
      <c r="M178" s="113" t="s">
        <v>1508</v>
      </c>
      <c r="N178" s="113" t="s">
        <v>44</v>
      </c>
      <c r="O178" s="113"/>
      <c r="P178" s="119"/>
      <c r="Q178" s="113" t="s">
        <v>44</v>
      </c>
      <c r="R178" s="113">
        <v>2.28888376E8</v>
      </c>
      <c r="S178" s="118">
        <v>43669.0</v>
      </c>
      <c r="T178" s="113" t="s">
        <v>1509</v>
      </c>
      <c r="U178" s="113">
        <v>43782.0</v>
      </c>
      <c r="V178" s="113" t="s">
        <v>635</v>
      </c>
      <c r="W178" s="113">
        <v>5.0910133E8</v>
      </c>
      <c r="X178" s="113" t="s">
        <v>1510</v>
      </c>
      <c r="Y178" s="113">
        <v>5.56655877E8</v>
      </c>
      <c r="Z178" s="117" t="s">
        <v>43</v>
      </c>
      <c r="AA178" s="138">
        <v>0.0</v>
      </c>
      <c r="AB178" s="116"/>
      <c r="AC178" s="116" t="s">
        <v>169</v>
      </c>
      <c r="AD178" s="119"/>
      <c r="AE178" s="119"/>
      <c r="AF178" s="119"/>
    </row>
    <row r="179" hidden="1">
      <c r="A179" s="120" t="s">
        <v>157</v>
      </c>
      <c r="B179" s="120" t="s">
        <v>158</v>
      </c>
      <c r="C179" s="120" t="s">
        <v>159</v>
      </c>
      <c r="D179" s="121" t="s">
        <v>1283</v>
      </c>
      <c r="E179" s="120" t="s">
        <v>1511</v>
      </c>
      <c r="F179" s="122" t="s">
        <v>943</v>
      </c>
      <c r="G179" s="120" t="s">
        <v>90</v>
      </c>
      <c r="H179" s="123">
        <f>IFERROR(__xludf.DUMMYFUNCTION("IF(ISDATE(S179), DATEDIF(S179, TODAY(), ""Y""), """")"),5.0)</f>
        <v>5</v>
      </c>
      <c r="I179" s="120" t="s">
        <v>1512</v>
      </c>
      <c r="J179" s="120" t="s">
        <v>827</v>
      </c>
      <c r="K179" s="139"/>
      <c r="L179" s="120" t="s">
        <v>92</v>
      </c>
      <c r="M179" s="120" t="s">
        <v>1513</v>
      </c>
      <c r="N179" s="120" t="s">
        <v>44</v>
      </c>
      <c r="O179" s="139"/>
      <c r="P179" s="120" t="s">
        <v>687</v>
      </c>
      <c r="Q179" s="120" t="s">
        <v>44</v>
      </c>
      <c r="R179" s="122">
        <v>2.28913364E8</v>
      </c>
      <c r="S179" s="121">
        <v>43940.0</v>
      </c>
      <c r="T179" s="120" t="s">
        <v>1514</v>
      </c>
      <c r="U179" s="139"/>
      <c r="V179" s="120" t="s">
        <v>1515</v>
      </c>
      <c r="W179" s="122">
        <v>5.082500039E9</v>
      </c>
      <c r="X179" s="120" t="s">
        <v>1510</v>
      </c>
      <c r="Y179" s="122">
        <v>5.03936063E8</v>
      </c>
      <c r="Z179" s="124" t="s">
        <v>168</v>
      </c>
      <c r="AA179" s="122">
        <v>2.0</v>
      </c>
      <c r="AB179" s="120" t="s">
        <v>1516</v>
      </c>
      <c r="AC179" s="120" t="s">
        <v>169</v>
      </c>
      <c r="AD179" s="139"/>
      <c r="AE179" s="139"/>
      <c r="AF179" s="139"/>
    </row>
    <row r="180" hidden="1">
      <c r="A180" s="84" t="s">
        <v>157</v>
      </c>
      <c r="B180" s="92" t="s">
        <v>1143</v>
      </c>
      <c r="C180" s="92" t="s">
        <v>238</v>
      </c>
      <c r="D180" s="149"/>
      <c r="E180" s="150" t="s">
        <v>1517</v>
      </c>
      <c r="F180" s="151">
        <v>45886.0</v>
      </c>
      <c r="G180" s="150" t="s">
        <v>31</v>
      </c>
      <c r="H180" s="114">
        <v>4.8</v>
      </c>
      <c r="I180" s="150" t="s">
        <v>1518</v>
      </c>
      <c r="J180" s="92" t="s">
        <v>779</v>
      </c>
      <c r="K180" s="157"/>
      <c r="L180" s="127" t="s">
        <v>92</v>
      </c>
      <c r="M180" s="150" t="s">
        <v>1519</v>
      </c>
      <c r="N180" s="92" t="s">
        <v>36</v>
      </c>
      <c r="O180" s="127" t="s">
        <v>1520</v>
      </c>
      <c r="P180" s="127"/>
      <c r="Q180" s="127" t="s">
        <v>1521</v>
      </c>
      <c r="R180" s="127">
        <v>2.30145393E8</v>
      </c>
      <c r="S180" s="153">
        <v>44168.0</v>
      </c>
      <c r="T180" s="150" t="s">
        <v>38</v>
      </c>
      <c r="U180" s="127" t="s">
        <v>1522</v>
      </c>
      <c r="V180" s="127" t="s">
        <v>1523</v>
      </c>
      <c r="W180" s="154" t="s">
        <v>1524</v>
      </c>
      <c r="X180" s="150" t="s">
        <v>1525</v>
      </c>
      <c r="Y180" s="152" t="s">
        <v>1526</v>
      </c>
      <c r="Z180" s="119" t="s">
        <v>43</v>
      </c>
      <c r="AA180" s="111">
        <v>1.0</v>
      </c>
      <c r="AB180" s="155"/>
      <c r="AC180" s="92" t="s">
        <v>1152</v>
      </c>
      <c r="AD180" s="92" t="s">
        <v>1527</v>
      </c>
      <c r="AE180" s="92" t="s">
        <v>1528</v>
      </c>
      <c r="AF180" s="127"/>
    </row>
    <row r="181" hidden="1">
      <c r="A181" s="84" t="s">
        <v>157</v>
      </c>
      <c r="B181" s="120" t="s">
        <v>1143</v>
      </c>
      <c r="C181" s="120" t="s">
        <v>238</v>
      </c>
      <c r="D181" s="163"/>
      <c r="E181" s="164" t="s">
        <v>1529</v>
      </c>
      <c r="F181" s="165">
        <v>45901.0</v>
      </c>
      <c r="G181" s="164" t="s">
        <v>31</v>
      </c>
      <c r="H181" s="130">
        <v>6.0</v>
      </c>
      <c r="I181" s="164" t="s">
        <v>1530</v>
      </c>
      <c r="J181" s="120" t="s">
        <v>1531</v>
      </c>
      <c r="K181" s="166" t="s">
        <v>623</v>
      </c>
      <c r="L181" s="139" t="s">
        <v>92</v>
      </c>
      <c r="M181" s="164" t="s">
        <v>1532</v>
      </c>
      <c r="N181" s="120" t="s">
        <v>36</v>
      </c>
      <c r="O181" s="122" t="s">
        <v>1533</v>
      </c>
      <c r="P181" s="139"/>
      <c r="Q181" s="139" t="s">
        <v>1534</v>
      </c>
      <c r="R181" s="139">
        <v>2.30709388E8</v>
      </c>
      <c r="S181" s="167">
        <v>43360.0</v>
      </c>
      <c r="T181" s="164" t="s">
        <v>1532</v>
      </c>
      <c r="U181" s="168" t="s">
        <v>1535</v>
      </c>
      <c r="V181" s="139" t="s">
        <v>1536</v>
      </c>
      <c r="W181" s="168" t="s">
        <v>1537</v>
      </c>
      <c r="X181" s="164" t="s">
        <v>771</v>
      </c>
      <c r="Y181" s="169" t="s">
        <v>1538</v>
      </c>
      <c r="Z181" s="131" t="s">
        <v>43</v>
      </c>
      <c r="AA181" s="122">
        <v>6.0</v>
      </c>
      <c r="AB181" s="170"/>
      <c r="AC181" s="120" t="s">
        <v>1152</v>
      </c>
      <c r="AD181" s="120" t="s">
        <v>1539</v>
      </c>
      <c r="AE181" s="164" t="s">
        <v>1540</v>
      </c>
      <c r="AF181" s="139"/>
    </row>
    <row r="182">
      <c r="A182" s="135" t="s">
        <v>157</v>
      </c>
      <c r="B182" s="92" t="s">
        <v>1143</v>
      </c>
      <c r="C182" s="92" t="s">
        <v>141</v>
      </c>
      <c r="D182" s="149" t="s">
        <v>1541</v>
      </c>
      <c r="E182" s="150" t="s">
        <v>1542</v>
      </c>
      <c r="F182" s="151">
        <v>46010.0</v>
      </c>
      <c r="G182" s="150" t="s">
        <v>31</v>
      </c>
      <c r="H182" s="114" t="s">
        <v>1543</v>
      </c>
      <c r="I182" s="150" t="s">
        <v>1544</v>
      </c>
      <c r="J182" s="92" t="s">
        <v>1545</v>
      </c>
      <c r="K182" s="157"/>
      <c r="L182" s="127" t="s">
        <v>34</v>
      </c>
      <c r="M182" s="150" t="s">
        <v>1546</v>
      </c>
      <c r="N182" s="92" t="s">
        <v>44</v>
      </c>
      <c r="O182" s="127"/>
      <c r="P182" s="127" t="s">
        <v>1251</v>
      </c>
      <c r="Q182" s="127" t="s">
        <v>759</v>
      </c>
      <c r="R182" s="127">
        <v>2.27969581E8</v>
      </c>
      <c r="S182" s="153">
        <v>43626.0</v>
      </c>
      <c r="T182" s="150" t="s">
        <v>1547</v>
      </c>
      <c r="U182" s="127" t="s">
        <v>1548</v>
      </c>
      <c r="V182" s="127" t="s">
        <v>929</v>
      </c>
      <c r="W182" s="127" t="s">
        <v>929</v>
      </c>
      <c r="X182" s="150" t="s">
        <v>1549</v>
      </c>
      <c r="Y182" s="152" t="s">
        <v>1550</v>
      </c>
      <c r="Z182" s="119" t="s">
        <v>43</v>
      </c>
      <c r="AA182" s="111" t="s">
        <v>623</v>
      </c>
      <c r="AB182" s="155" t="s">
        <v>1551</v>
      </c>
      <c r="AC182" s="92" t="s">
        <v>1552</v>
      </c>
      <c r="AD182" s="92"/>
      <c r="AE182" s="127"/>
      <c r="AF182" s="127"/>
    </row>
    <row r="183" hidden="1">
      <c r="A183" s="84" t="s">
        <v>157</v>
      </c>
      <c r="B183" s="120" t="s">
        <v>1143</v>
      </c>
      <c r="C183" s="120" t="s">
        <v>238</v>
      </c>
      <c r="D183" s="158">
        <v>45662.0</v>
      </c>
      <c r="E183" s="164" t="s">
        <v>1553</v>
      </c>
      <c r="F183" s="165">
        <v>45925.0</v>
      </c>
      <c r="G183" s="164" t="s">
        <v>90</v>
      </c>
      <c r="H183" s="130">
        <v>4.0</v>
      </c>
      <c r="I183" s="164" t="s">
        <v>1554</v>
      </c>
      <c r="J183" s="120" t="s">
        <v>779</v>
      </c>
      <c r="K183" s="166"/>
      <c r="L183" s="139" t="s">
        <v>92</v>
      </c>
      <c r="M183" s="164" t="s">
        <v>1555</v>
      </c>
      <c r="N183" s="120" t="s">
        <v>36</v>
      </c>
      <c r="O183" s="139"/>
      <c r="P183" s="139"/>
      <c r="Q183" s="139" t="s">
        <v>36</v>
      </c>
      <c r="R183" s="139">
        <v>2.34364511E8</v>
      </c>
      <c r="S183" s="167">
        <v>44487.0</v>
      </c>
      <c r="T183" s="164" t="s">
        <v>244</v>
      </c>
      <c r="U183" s="139" t="s">
        <v>1556</v>
      </c>
      <c r="V183" s="139" t="s">
        <v>652</v>
      </c>
      <c r="W183" s="168" t="s">
        <v>1557</v>
      </c>
      <c r="X183" s="164" t="s">
        <v>1558</v>
      </c>
      <c r="Y183" s="169" t="s">
        <v>1559</v>
      </c>
      <c r="Z183" s="124" t="s">
        <v>43</v>
      </c>
      <c r="AA183" s="122">
        <v>1.0</v>
      </c>
      <c r="AB183" s="170"/>
      <c r="AC183" s="120" t="s">
        <v>1152</v>
      </c>
      <c r="AD183" s="139"/>
      <c r="AE183" s="120" t="s">
        <v>1560</v>
      </c>
      <c r="AF183" s="120" t="s">
        <v>1561</v>
      </c>
    </row>
    <row r="184" hidden="1">
      <c r="A184" s="92" t="s">
        <v>157</v>
      </c>
      <c r="B184" s="92" t="s">
        <v>158</v>
      </c>
      <c r="C184" s="92" t="s">
        <v>159</v>
      </c>
      <c r="D184" s="126" t="s">
        <v>1562</v>
      </c>
      <c r="E184" s="92" t="s">
        <v>1563</v>
      </c>
      <c r="F184" s="111" t="s">
        <v>1564</v>
      </c>
      <c r="G184" s="92" t="s">
        <v>31</v>
      </c>
      <c r="H184" s="114">
        <f>IFERROR(__xludf.DUMMYFUNCTION("IF(ISDATE(S184), DATEDIF(S184, TODAY(), ""Y""), """")"),5.0)</f>
        <v>5</v>
      </c>
      <c r="I184" s="127"/>
      <c r="J184" s="92" t="s">
        <v>180</v>
      </c>
      <c r="K184" s="127"/>
      <c r="L184" s="92" t="s">
        <v>92</v>
      </c>
      <c r="M184" s="111" t="s">
        <v>1565</v>
      </c>
      <c r="N184" s="92" t="s">
        <v>44</v>
      </c>
      <c r="O184" s="127"/>
      <c r="P184" s="111" t="s">
        <v>916</v>
      </c>
      <c r="Q184" s="111" t="s">
        <v>44</v>
      </c>
      <c r="R184" s="111">
        <v>2.29683412E8</v>
      </c>
      <c r="S184" s="126">
        <v>43928.0</v>
      </c>
      <c r="T184" s="92" t="s">
        <v>1566</v>
      </c>
      <c r="U184" s="111" t="s">
        <v>1567</v>
      </c>
      <c r="V184" s="92" t="s">
        <v>1568</v>
      </c>
      <c r="W184" s="111">
        <v>5.29463524E8</v>
      </c>
      <c r="X184" s="92" t="s">
        <v>1569</v>
      </c>
      <c r="Y184" s="111">
        <v>5.37444708E8</v>
      </c>
      <c r="Z184" s="117" t="s">
        <v>43</v>
      </c>
      <c r="AA184" s="111">
        <v>2.0</v>
      </c>
      <c r="AB184" s="92" t="s">
        <v>1570</v>
      </c>
      <c r="AC184" s="92" t="s">
        <v>169</v>
      </c>
      <c r="AD184" s="92" t="s">
        <v>1571</v>
      </c>
      <c r="AE184" s="92"/>
      <c r="AF184" s="92"/>
    </row>
    <row r="185" hidden="1">
      <c r="A185" s="120" t="s">
        <v>157</v>
      </c>
      <c r="B185" s="120" t="s">
        <v>158</v>
      </c>
      <c r="C185" s="120" t="s">
        <v>159</v>
      </c>
      <c r="D185" s="121" t="s">
        <v>1572</v>
      </c>
      <c r="E185" s="120" t="s">
        <v>1573</v>
      </c>
      <c r="F185" s="158">
        <v>45263.0</v>
      </c>
      <c r="G185" s="120" t="s">
        <v>90</v>
      </c>
      <c r="H185" s="130">
        <f>IFERROR(__xludf.DUMMYFUNCTION("IF(ISDATE(S185), DATEDIF(S185, TODAY(), ""Y""), """")"),5.0)</f>
        <v>5</v>
      </c>
      <c r="I185" s="120" t="s">
        <v>1574</v>
      </c>
      <c r="J185" s="120" t="s">
        <v>1575</v>
      </c>
      <c r="K185" s="122">
        <v>5.23953331E8</v>
      </c>
      <c r="L185" s="120" t="s">
        <v>92</v>
      </c>
      <c r="M185" s="120" t="s">
        <v>1576</v>
      </c>
      <c r="N185" s="120" t="s">
        <v>44</v>
      </c>
      <c r="O185" s="139"/>
      <c r="P185" s="120" t="s">
        <v>1577</v>
      </c>
      <c r="Q185" s="120" t="s">
        <v>44</v>
      </c>
      <c r="R185" s="122">
        <v>2.29716303E8</v>
      </c>
      <c r="S185" s="121">
        <v>43907.0</v>
      </c>
      <c r="T185" s="120" t="s">
        <v>1578</v>
      </c>
      <c r="U185" s="158">
        <v>45087.0</v>
      </c>
      <c r="V185" s="120" t="s">
        <v>1315</v>
      </c>
      <c r="W185" s="122">
        <v>5.23953331E8</v>
      </c>
      <c r="X185" s="120" t="s">
        <v>1579</v>
      </c>
      <c r="Y185" s="122">
        <v>5.26679165E8</v>
      </c>
      <c r="Z185" s="124" t="s">
        <v>43</v>
      </c>
      <c r="AA185" s="122">
        <v>1.0</v>
      </c>
      <c r="AB185" s="120" t="s">
        <v>1580</v>
      </c>
      <c r="AC185" s="120" t="s">
        <v>169</v>
      </c>
      <c r="AD185" s="120"/>
      <c r="AE185" s="139"/>
      <c r="AF185" s="139"/>
    </row>
    <row r="186" hidden="1">
      <c r="A186" s="171" t="s">
        <v>157</v>
      </c>
      <c r="B186" s="126" t="s">
        <v>1143</v>
      </c>
      <c r="C186" s="126" t="s">
        <v>238</v>
      </c>
      <c r="D186" s="126" t="s">
        <v>1581</v>
      </c>
      <c r="E186" s="92" t="s">
        <v>1582</v>
      </c>
      <c r="F186" s="126">
        <v>45978.0</v>
      </c>
      <c r="G186" s="126" t="s">
        <v>90</v>
      </c>
      <c r="H186" s="111">
        <v>10.0</v>
      </c>
      <c r="I186" s="126" t="s">
        <v>1583</v>
      </c>
      <c r="J186" s="126" t="s">
        <v>1225</v>
      </c>
      <c r="K186" s="172" t="s">
        <v>1584</v>
      </c>
      <c r="L186" s="126" t="s">
        <v>92</v>
      </c>
      <c r="M186" s="126" t="s">
        <v>893</v>
      </c>
      <c r="N186" s="173" t="s">
        <v>36</v>
      </c>
      <c r="O186" s="126" t="s">
        <v>914</v>
      </c>
      <c r="P186" s="92"/>
      <c r="Q186" s="126" t="s">
        <v>36</v>
      </c>
      <c r="R186" s="126">
        <v>2.2423426E8</v>
      </c>
      <c r="S186" s="126">
        <v>42288.0</v>
      </c>
      <c r="T186" s="126" t="s">
        <v>1585</v>
      </c>
      <c r="U186" s="126" t="s">
        <v>1586</v>
      </c>
      <c r="V186" s="126" t="s">
        <v>1587</v>
      </c>
      <c r="W186" s="174" t="s">
        <v>1588</v>
      </c>
      <c r="X186" s="126" t="s">
        <v>1589</v>
      </c>
      <c r="Y186" s="174" t="s">
        <v>1590</v>
      </c>
      <c r="Z186" s="126" t="s">
        <v>43</v>
      </c>
      <c r="AA186" s="111" t="s">
        <v>1591</v>
      </c>
      <c r="AB186" s="126"/>
      <c r="AC186" s="92" t="s">
        <v>978</v>
      </c>
      <c r="AD186" s="92" t="s">
        <v>1592</v>
      </c>
      <c r="AE186" s="126"/>
      <c r="AF186" s="92" t="s">
        <v>1593</v>
      </c>
    </row>
    <row r="187" hidden="1">
      <c r="A187" s="144" t="s">
        <v>157</v>
      </c>
      <c r="B187" s="120" t="s">
        <v>1143</v>
      </c>
      <c r="C187" s="120" t="s">
        <v>238</v>
      </c>
      <c r="D187" s="121" t="s">
        <v>1594</v>
      </c>
      <c r="E187" s="92" t="s">
        <v>1595</v>
      </c>
      <c r="F187" s="122" t="s">
        <v>1596</v>
      </c>
      <c r="G187" s="120" t="s">
        <v>90</v>
      </c>
      <c r="H187" s="123">
        <f>IFERROR(__xludf.DUMMYFUNCTION("IF(ISDATE(S187), DATEDIF(S187, TODAY(), ""Y""), """")"),4.0)</f>
        <v>4</v>
      </c>
      <c r="I187" s="120" t="s">
        <v>1597</v>
      </c>
      <c r="J187" s="120" t="s">
        <v>479</v>
      </c>
      <c r="K187" s="122">
        <v>5.0400239E8</v>
      </c>
      <c r="L187" s="120" t="s">
        <v>92</v>
      </c>
      <c r="M187" s="120" t="s">
        <v>1598</v>
      </c>
      <c r="N187" s="120" t="s">
        <v>36</v>
      </c>
      <c r="O187" s="139"/>
      <c r="P187" s="139"/>
      <c r="Q187" s="120" t="s">
        <v>36</v>
      </c>
      <c r="R187" s="122">
        <v>2.34631554E8</v>
      </c>
      <c r="S187" s="121">
        <v>44374.0</v>
      </c>
      <c r="T187" s="120" t="s">
        <v>1085</v>
      </c>
      <c r="U187" s="158">
        <v>44529.0</v>
      </c>
      <c r="V187" s="120" t="s">
        <v>31</v>
      </c>
      <c r="W187" s="122">
        <v>5.49081101E8</v>
      </c>
      <c r="X187" s="120" t="s">
        <v>1599</v>
      </c>
      <c r="Y187" s="122">
        <v>5.0400239E8</v>
      </c>
      <c r="Z187" s="124" t="s">
        <v>43</v>
      </c>
      <c r="AA187" s="122">
        <v>2.0</v>
      </c>
      <c r="AB187" s="120" t="s">
        <v>1600</v>
      </c>
      <c r="AC187" s="120" t="s">
        <v>1152</v>
      </c>
      <c r="AD187" s="120" t="s">
        <v>1601</v>
      </c>
      <c r="AE187" s="120" t="s">
        <v>1602</v>
      </c>
      <c r="AF187" s="120" t="s">
        <v>1603</v>
      </c>
    </row>
    <row r="188" hidden="1">
      <c r="A188" s="92" t="s">
        <v>157</v>
      </c>
      <c r="B188" s="92" t="s">
        <v>158</v>
      </c>
      <c r="C188" s="111" t="s">
        <v>159</v>
      </c>
      <c r="D188" s="126">
        <v>45508.0</v>
      </c>
      <c r="E188" s="92" t="s">
        <v>1604</v>
      </c>
      <c r="F188" s="111"/>
      <c r="G188" s="92" t="s">
        <v>31</v>
      </c>
      <c r="H188" s="114">
        <f>IFERROR(__xludf.DUMMYFUNCTION("IF(ISDATE(S188), DATEDIF(S188, TODAY(), ""Y""), """")"),5.0)</f>
        <v>5</v>
      </c>
      <c r="I188" s="92" t="s">
        <v>1605</v>
      </c>
      <c r="J188" s="92" t="s">
        <v>597</v>
      </c>
      <c r="K188" s="127"/>
      <c r="L188" s="92" t="s">
        <v>92</v>
      </c>
      <c r="M188" s="92" t="s">
        <v>1606</v>
      </c>
      <c r="N188" s="92" t="s">
        <v>44</v>
      </c>
      <c r="O188" s="127"/>
      <c r="P188" s="92" t="s">
        <v>1607</v>
      </c>
      <c r="Q188" s="92" t="s">
        <v>44</v>
      </c>
      <c r="R188" s="111">
        <v>2.29876495E8</v>
      </c>
      <c r="S188" s="126">
        <v>43983.0</v>
      </c>
      <c r="T188" s="92" t="s">
        <v>380</v>
      </c>
      <c r="U188" s="141">
        <v>45187.0</v>
      </c>
      <c r="V188" s="92" t="s">
        <v>1608</v>
      </c>
      <c r="W188" s="136">
        <v>5.24773443E8</v>
      </c>
      <c r="X188" s="92" t="s">
        <v>121</v>
      </c>
      <c r="Y188" s="111">
        <v>5.47671153E8</v>
      </c>
      <c r="Z188" s="117" t="s">
        <v>43</v>
      </c>
      <c r="AA188" s="111">
        <v>2.0</v>
      </c>
      <c r="AB188" s="92"/>
      <c r="AC188" s="92" t="s">
        <v>169</v>
      </c>
      <c r="AD188" s="92"/>
      <c r="AE188" s="127"/>
      <c r="AF188" s="127"/>
    </row>
    <row r="189" hidden="1">
      <c r="A189" s="108" t="s">
        <v>157</v>
      </c>
      <c r="B189" s="120" t="s">
        <v>1143</v>
      </c>
      <c r="C189" s="122" t="s">
        <v>238</v>
      </c>
      <c r="D189" s="175">
        <v>45965.0</v>
      </c>
      <c r="E189" s="134" t="s">
        <v>1609</v>
      </c>
      <c r="F189" s="175">
        <v>45965.0</v>
      </c>
      <c r="G189" s="128" t="s">
        <v>31</v>
      </c>
      <c r="H189" s="130">
        <v>9.0</v>
      </c>
      <c r="I189" s="128" t="s">
        <v>1610</v>
      </c>
      <c r="J189" s="128" t="s">
        <v>1225</v>
      </c>
      <c r="K189" s="128"/>
      <c r="L189" s="128" t="s">
        <v>92</v>
      </c>
      <c r="M189" s="134" t="s">
        <v>35</v>
      </c>
      <c r="N189" s="128" t="s">
        <v>36</v>
      </c>
      <c r="O189" s="124" t="s">
        <v>1611</v>
      </c>
      <c r="P189" s="128"/>
      <c r="Q189" s="128" t="s">
        <v>1612</v>
      </c>
      <c r="R189" s="128">
        <v>3.42198496E8</v>
      </c>
      <c r="S189" s="132">
        <v>42629.0</v>
      </c>
      <c r="T189" s="134" t="s">
        <v>38</v>
      </c>
      <c r="U189" s="128" t="s">
        <v>1613</v>
      </c>
      <c r="V189" s="128" t="s">
        <v>1614</v>
      </c>
      <c r="W189" s="143" t="s">
        <v>1615</v>
      </c>
      <c r="X189" s="128" t="s">
        <v>1616</v>
      </c>
      <c r="Y189" s="143" t="s">
        <v>1617</v>
      </c>
      <c r="Z189" s="124" t="s">
        <v>43</v>
      </c>
      <c r="AA189" s="128">
        <v>3.0</v>
      </c>
      <c r="AB189" s="124"/>
      <c r="AC189" s="120" t="s">
        <v>978</v>
      </c>
      <c r="AD189" s="124" t="s">
        <v>1618</v>
      </c>
      <c r="AE189" s="124" t="s">
        <v>1619</v>
      </c>
      <c r="AF189" s="124"/>
    </row>
    <row r="190">
      <c r="A190" s="144" t="s">
        <v>157</v>
      </c>
      <c r="B190" s="92" t="s">
        <v>1143</v>
      </c>
      <c r="C190" s="111" t="s">
        <v>141</v>
      </c>
      <c r="D190" s="126">
        <v>45964.0</v>
      </c>
      <c r="E190" s="92" t="s">
        <v>1620</v>
      </c>
      <c r="F190" s="176">
        <v>45634.0</v>
      </c>
      <c r="G190" s="92" t="s">
        <v>90</v>
      </c>
      <c r="H190" s="136">
        <f>IFERROR(__xludf.DUMMYFUNCTION("IF(ISDATE(S190), DATEDIF(S190, TODAY(), ""Y""), """")"),5.0)</f>
        <v>5</v>
      </c>
      <c r="I190" s="127"/>
      <c r="J190" s="92" t="s">
        <v>172</v>
      </c>
      <c r="K190" s="127"/>
      <c r="L190" s="92" t="s">
        <v>610</v>
      </c>
      <c r="M190" s="92" t="s">
        <v>141</v>
      </c>
      <c r="N190" s="92" t="s">
        <v>44</v>
      </c>
      <c r="O190" s="127"/>
      <c r="P190" s="92" t="s">
        <v>1621</v>
      </c>
      <c r="Q190" s="92" t="s">
        <v>44</v>
      </c>
      <c r="R190" s="111">
        <v>2.34933141E8</v>
      </c>
      <c r="S190" s="126">
        <v>44180.0</v>
      </c>
      <c r="T190" s="92" t="s">
        <v>1622</v>
      </c>
      <c r="U190" s="111" t="s">
        <v>1623</v>
      </c>
      <c r="V190" s="92" t="s">
        <v>1624</v>
      </c>
      <c r="W190" s="111">
        <v>5.02401119E8</v>
      </c>
      <c r="X190" s="92" t="s">
        <v>1625</v>
      </c>
      <c r="Y190" s="177">
        <v>5.26494308E8</v>
      </c>
      <c r="Z190" s="160"/>
      <c r="AA190" s="111">
        <v>1.0</v>
      </c>
      <c r="AB190" s="127"/>
      <c r="AC190" s="92" t="s">
        <v>1201</v>
      </c>
      <c r="AD190" s="127"/>
      <c r="AE190" s="127"/>
      <c r="AF190" s="92" t="s">
        <v>1626</v>
      </c>
    </row>
    <row r="191" hidden="1">
      <c r="A191" s="120" t="s">
        <v>157</v>
      </c>
      <c r="B191" s="120" t="s">
        <v>158</v>
      </c>
      <c r="C191" s="120" t="s">
        <v>159</v>
      </c>
      <c r="D191" s="121">
        <v>45997.0</v>
      </c>
      <c r="E191" s="120" t="s">
        <v>1627</v>
      </c>
      <c r="F191" s="122"/>
      <c r="G191" s="120" t="s">
        <v>31</v>
      </c>
      <c r="H191" s="130">
        <f>IFERROR(__xludf.DUMMYFUNCTION("IF(ISDATE(S191), DATEDIF(S191, TODAY(), ""Y""), """")"),5.0)</f>
        <v>5</v>
      </c>
      <c r="I191" s="120" t="s">
        <v>1628</v>
      </c>
      <c r="J191" s="120" t="s">
        <v>694</v>
      </c>
      <c r="K191" s="139"/>
      <c r="L191" s="120" t="s">
        <v>92</v>
      </c>
      <c r="M191" s="120" t="s">
        <v>1629</v>
      </c>
      <c r="N191" s="120" t="s">
        <v>36</v>
      </c>
      <c r="O191" s="122">
        <v>8.24</v>
      </c>
      <c r="P191" s="139"/>
      <c r="Q191" s="120" t="s">
        <v>36</v>
      </c>
      <c r="R191" s="122">
        <v>2.29978218E8</v>
      </c>
      <c r="S191" s="121">
        <v>44097.0</v>
      </c>
      <c r="T191" s="120" t="s">
        <v>38</v>
      </c>
      <c r="U191" s="122" t="s">
        <v>1630</v>
      </c>
      <c r="V191" s="120" t="s">
        <v>1291</v>
      </c>
      <c r="W191" s="123">
        <v>5.44667647E8</v>
      </c>
      <c r="X191" s="120" t="s">
        <v>1631</v>
      </c>
      <c r="Y191" s="122">
        <v>5.4764286E8</v>
      </c>
      <c r="Z191" s="124" t="s">
        <v>43</v>
      </c>
      <c r="AA191" s="122">
        <v>2.0</v>
      </c>
      <c r="AB191" s="139"/>
      <c r="AC191" s="120" t="s">
        <v>169</v>
      </c>
      <c r="AD191" s="139"/>
      <c r="AE191" s="120"/>
      <c r="AF191" s="120"/>
    </row>
    <row r="192">
      <c r="A192" s="108" t="s">
        <v>157</v>
      </c>
      <c r="B192" s="92" t="s">
        <v>1143</v>
      </c>
      <c r="C192" s="92" t="s">
        <v>141</v>
      </c>
      <c r="D192" s="148" t="s">
        <v>1632</v>
      </c>
      <c r="E192" s="113" t="s">
        <v>1633</v>
      </c>
      <c r="F192" s="138" t="s">
        <v>1632</v>
      </c>
      <c r="G192" s="113" t="s">
        <v>31</v>
      </c>
      <c r="H192" s="114">
        <v>5.0</v>
      </c>
      <c r="I192" s="113" t="s">
        <v>1634</v>
      </c>
      <c r="J192" s="113" t="s">
        <v>452</v>
      </c>
      <c r="K192" s="113"/>
      <c r="L192" s="113" t="s">
        <v>610</v>
      </c>
      <c r="M192" s="116" t="s">
        <v>1635</v>
      </c>
      <c r="N192" s="113" t="s">
        <v>44</v>
      </c>
      <c r="O192" s="117" t="s">
        <v>1636</v>
      </c>
      <c r="P192" s="113"/>
      <c r="Q192" s="113" t="s">
        <v>1637</v>
      </c>
      <c r="R192" s="113">
        <v>2.33866078E8</v>
      </c>
      <c r="S192" s="118">
        <v>44040.0</v>
      </c>
      <c r="T192" s="116" t="s">
        <v>1638</v>
      </c>
      <c r="U192" s="115" t="s">
        <v>1639</v>
      </c>
      <c r="V192" s="113" t="s">
        <v>1310</v>
      </c>
      <c r="W192" s="115" t="s">
        <v>1640</v>
      </c>
      <c r="X192" s="113" t="s">
        <v>1641</v>
      </c>
      <c r="Y192" s="115" t="s">
        <v>1642</v>
      </c>
      <c r="Z192" s="117" t="s">
        <v>43</v>
      </c>
      <c r="AA192" s="113" t="s">
        <v>1643</v>
      </c>
      <c r="AB192" s="117"/>
      <c r="AC192" s="92" t="s">
        <v>1552</v>
      </c>
      <c r="AD192" s="119"/>
      <c r="AE192" s="119"/>
      <c r="AF192" s="117"/>
    </row>
    <row r="193">
      <c r="A193" s="108" t="s">
        <v>157</v>
      </c>
      <c r="B193" s="120" t="s">
        <v>1143</v>
      </c>
      <c r="C193" s="122" t="s">
        <v>238</v>
      </c>
      <c r="D193" s="156" t="s">
        <v>1379</v>
      </c>
      <c r="E193" s="128" t="s">
        <v>1644</v>
      </c>
      <c r="F193" s="133" t="s">
        <v>1379</v>
      </c>
      <c r="G193" s="128" t="s">
        <v>31</v>
      </c>
      <c r="H193" s="130">
        <v>2.9</v>
      </c>
      <c r="I193" s="128" t="s">
        <v>1645</v>
      </c>
      <c r="J193" s="128" t="s">
        <v>445</v>
      </c>
      <c r="K193" s="128"/>
      <c r="L193" s="128" t="s">
        <v>92</v>
      </c>
      <c r="M193" s="134" t="s">
        <v>566</v>
      </c>
      <c r="N193" s="128" t="s">
        <v>36</v>
      </c>
      <c r="O193" s="124" t="s">
        <v>1646</v>
      </c>
      <c r="P193" s="128"/>
      <c r="Q193" s="128" t="s">
        <v>36</v>
      </c>
      <c r="R193" s="128">
        <v>2.35567724E8</v>
      </c>
      <c r="S193" s="132">
        <v>44919.0</v>
      </c>
      <c r="T193" s="134" t="s">
        <v>1647</v>
      </c>
      <c r="U193" s="128" t="s">
        <v>1648</v>
      </c>
      <c r="V193" s="128" t="s">
        <v>1649</v>
      </c>
      <c r="W193" s="143" t="s">
        <v>1650</v>
      </c>
      <c r="X193" s="128" t="s">
        <v>1254</v>
      </c>
      <c r="Y193" s="143" t="s">
        <v>1651</v>
      </c>
      <c r="Z193" s="124" t="s">
        <v>43</v>
      </c>
      <c r="AA193" s="128">
        <v>2.0</v>
      </c>
      <c r="AB193" s="124" t="s">
        <v>1652</v>
      </c>
      <c r="AC193" s="120" t="s">
        <v>1201</v>
      </c>
      <c r="AD193" s="131"/>
      <c r="AE193" s="131"/>
      <c r="AF193" s="124"/>
    </row>
    <row r="194" hidden="1">
      <c r="A194" s="92" t="s">
        <v>157</v>
      </c>
      <c r="B194" s="92" t="s">
        <v>158</v>
      </c>
      <c r="C194" s="92" t="s">
        <v>159</v>
      </c>
      <c r="D194" s="117" t="s">
        <v>142</v>
      </c>
      <c r="E194" s="113" t="s">
        <v>1653</v>
      </c>
      <c r="F194" s="137" t="s">
        <v>1654</v>
      </c>
      <c r="G194" s="113" t="s">
        <v>31</v>
      </c>
      <c r="H194" s="114">
        <f>IFERROR(__xludf.DUMMYFUNCTION("IF(ISDATE(S194), DATEDIF(S194, TODAY(), ""Y""), """")"),5.0)</f>
        <v>5</v>
      </c>
      <c r="I194" s="113" t="s">
        <v>1655</v>
      </c>
      <c r="J194" s="113" t="s">
        <v>694</v>
      </c>
      <c r="K194" s="119"/>
      <c r="L194" s="113" t="s">
        <v>92</v>
      </c>
      <c r="M194" s="113" t="s">
        <v>1656</v>
      </c>
      <c r="N194" s="113" t="s">
        <v>44</v>
      </c>
      <c r="O194" s="113"/>
      <c r="P194" s="119"/>
      <c r="Q194" s="113" t="s">
        <v>44</v>
      </c>
      <c r="R194" s="113">
        <v>2.30092314E8</v>
      </c>
      <c r="S194" s="118">
        <v>44032.0</v>
      </c>
      <c r="T194" s="113" t="s">
        <v>1657</v>
      </c>
      <c r="U194" s="113">
        <v>44139.0</v>
      </c>
      <c r="V194" s="113" t="s">
        <v>183</v>
      </c>
      <c r="W194" s="113">
        <v>5.23835502E8</v>
      </c>
      <c r="X194" s="113" t="s">
        <v>1658</v>
      </c>
      <c r="Y194" s="113">
        <v>5.44779153E8</v>
      </c>
      <c r="Z194" s="117" t="s">
        <v>43</v>
      </c>
      <c r="AA194" s="138"/>
      <c r="AB194" s="116"/>
      <c r="AC194" s="92" t="s">
        <v>169</v>
      </c>
      <c r="AD194" s="119"/>
      <c r="AE194" s="119"/>
      <c r="AF194" s="119"/>
    </row>
    <row r="195" hidden="1">
      <c r="A195" s="84" t="s">
        <v>157</v>
      </c>
      <c r="B195" s="120" t="s">
        <v>1143</v>
      </c>
      <c r="C195" s="120" t="s">
        <v>238</v>
      </c>
      <c r="D195" s="163"/>
      <c r="E195" s="164" t="s">
        <v>1659</v>
      </c>
      <c r="F195" s="165">
        <v>45886.0</v>
      </c>
      <c r="G195" s="164" t="s">
        <v>90</v>
      </c>
      <c r="H195" s="130">
        <v>9.0</v>
      </c>
      <c r="I195" s="164" t="s">
        <v>1660</v>
      </c>
      <c r="J195" s="120" t="s">
        <v>1661</v>
      </c>
      <c r="K195" s="169" t="s">
        <v>1662</v>
      </c>
      <c r="L195" s="139" t="s">
        <v>103</v>
      </c>
      <c r="M195" s="164" t="s">
        <v>238</v>
      </c>
      <c r="N195" s="120" t="s">
        <v>36</v>
      </c>
      <c r="O195" s="139"/>
      <c r="P195" s="139"/>
      <c r="Q195" s="139" t="s">
        <v>36</v>
      </c>
      <c r="R195" s="139">
        <v>2.23682477E8</v>
      </c>
      <c r="S195" s="167">
        <v>42635.0</v>
      </c>
      <c r="T195" s="164" t="s">
        <v>1663</v>
      </c>
      <c r="U195" s="139" t="s">
        <v>1664</v>
      </c>
      <c r="V195" s="139" t="s">
        <v>31</v>
      </c>
      <c r="W195" s="168" t="s">
        <v>1665</v>
      </c>
      <c r="X195" s="164" t="s">
        <v>260</v>
      </c>
      <c r="Y195" s="169" t="s">
        <v>1662</v>
      </c>
      <c r="Z195" s="131" t="s">
        <v>730</v>
      </c>
      <c r="AA195" s="139">
        <v>4.0</v>
      </c>
      <c r="AB195" s="170"/>
      <c r="AC195" s="120" t="s">
        <v>978</v>
      </c>
      <c r="AD195" s="120" t="s">
        <v>1666</v>
      </c>
      <c r="AE195" s="139"/>
      <c r="AF195" s="120" t="s">
        <v>1378</v>
      </c>
    </row>
    <row r="196" hidden="1">
      <c r="A196" s="92" t="s">
        <v>157</v>
      </c>
      <c r="B196" s="92" t="s">
        <v>158</v>
      </c>
      <c r="C196" s="92" t="s">
        <v>159</v>
      </c>
      <c r="D196" s="126">
        <v>45876.0</v>
      </c>
      <c r="E196" s="92" t="s">
        <v>1667</v>
      </c>
      <c r="F196" s="111" t="s">
        <v>1668</v>
      </c>
      <c r="G196" s="92" t="s">
        <v>31</v>
      </c>
      <c r="H196" s="114">
        <f>IFERROR(__xludf.DUMMYFUNCTION("IF(ISDATE(S196), DATEDIF(S196, TODAY(), ""Y""), """")"),6.0)</f>
        <v>6</v>
      </c>
      <c r="I196" s="92" t="s">
        <v>1669</v>
      </c>
      <c r="J196" s="92" t="s">
        <v>368</v>
      </c>
      <c r="K196" s="111" t="s">
        <v>198</v>
      </c>
      <c r="L196" s="92" t="s">
        <v>1670</v>
      </c>
      <c r="M196" s="92" t="s">
        <v>1671</v>
      </c>
      <c r="N196" s="92" t="s">
        <v>44</v>
      </c>
      <c r="O196" s="127"/>
      <c r="P196" s="92" t="s">
        <v>1672</v>
      </c>
      <c r="Q196" s="92" t="s">
        <v>44</v>
      </c>
      <c r="R196" s="111">
        <v>2.30173767E8</v>
      </c>
      <c r="S196" s="126">
        <v>43704.0</v>
      </c>
      <c r="T196" s="92" t="s">
        <v>1673</v>
      </c>
      <c r="U196" s="111" t="s">
        <v>1674</v>
      </c>
      <c r="V196" s="92" t="s">
        <v>1675</v>
      </c>
      <c r="W196" s="111">
        <v>5878131.0</v>
      </c>
      <c r="X196" s="92" t="s">
        <v>1676</v>
      </c>
      <c r="Y196" s="111">
        <v>5.8781843E8</v>
      </c>
      <c r="Z196" s="117" t="s">
        <v>43</v>
      </c>
      <c r="AA196" s="111">
        <v>3.0</v>
      </c>
      <c r="AB196" s="92" t="s">
        <v>1677</v>
      </c>
      <c r="AC196" s="92" t="s">
        <v>169</v>
      </c>
      <c r="AD196" s="92"/>
      <c r="AE196" s="127"/>
      <c r="AF196" s="127"/>
    </row>
    <row r="197" hidden="1">
      <c r="A197" s="108" t="s">
        <v>157</v>
      </c>
      <c r="B197" s="120" t="s">
        <v>1143</v>
      </c>
      <c r="C197" s="122" t="s">
        <v>238</v>
      </c>
      <c r="D197" s="156">
        <v>45662.0</v>
      </c>
      <c r="E197" s="124" t="s">
        <v>1678</v>
      </c>
      <c r="F197" s="161">
        <v>45790.0</v>
      </c>
      <c r="G197" s="124" t="s">
        <v>31</v>
      </c>
      <c r="H197" s="130">
        <f>IFERROR(__xludf.DUMMYFUNCTION("IF(ISDATE(S197), DATEDIF(S197, TODAY(), ""Y""), """")"),3.0)</f>
        <v>3</v>
      </c>
      <c r="I197" s="124" t="s">
        <v>1679</v>
      </c>
      <c r="J197" s="124" t="s">
        <v>1146</v>
      </c>
      <c r="K197" s="131"/>
      <c r="L197" s="124" t="s">
        <v>92</v>
      </c>
      <c r="M197" s="124" t="s">
        <v>1680</v>
      </c>
      <c r="N197" s="124" t="s">
        <v>36</v>
      </c>
      <c r="O197" s="124" t="s">
        <v>1681</v>
      </c>
      <c r="P197" s="124" t="s">
        <v>973</v>
      </c>
      <c r="Q197" s="124" t="s">
        <v>1682</v>
      </c>
      <c r="R197" s="130">
        <v>2.35944907E8</v>
      </c>
      <c r="S197" s="156">
        <v>44727.0</v>
      </c>
      <c r="T197" s="130" t="s">
        <v>1683</v>
      </c>
      <c r="U197" s="130" t="s">
        <v>1684</v>
      </c>
      <c r="V197" s="124" t="s">
        <v>119</v>
      </c>
      <c r="W197" s="162" t="s">
        <v>1685</v>
      </c>
      <c r="X197" s="124" t="s">
        <v>1686</v>
      </c>
      <c r="Y197" s="162" t="s">
        <v>1687</v>
      </c>
      <c r="Z197" s="124" t="s">
        <v>43</v>
      </c>
      <c r="AA197" s="130">
        <v>3.0</v>
      </c>
      <c r="AB197" s="131"/>
      <c r="AC197" s="134" t="s">
        <v>1152</v>
      </c>
      <c r="AD197" s="124" t="s">
        <v>1688</v>
      </c>
      <c r="AE197" s="124" t="s">
        <v>1689</v>
      </c>
      <c r="AF197" s="120" t="s">
        <v>1690</v>
      </c>
    </row>
    <row r="198" hidden="1">
      <c r="A198" s="108" t="s">
        <v>157</v>
      </c>
      <c r="B198" s="92" t="s">
        <v>140</v>
      </c>
      <c r="C198" s="111" t="s">
        <v>238</v>
      </c>
      <c r="D198" s="148">
        <v>45778.0</v>
      </c>
      <c r="E198" s="117" t="s">
        <v>1691</v>
      </c>
      <c r="F198" s="146">
        <v>45851.0</v>
      </c>
      <c r="G198" s="117" t="s">
        <v>31</v>
      </c>
      <c r="H198" s="114" t="s">
        <v>1692</v>
      </c>
      <c r="I198" s="117" t="s">
        <v>1693</v>
      </c>
      <c r="J198" s="117" t="s">
        <v>694</v>
      </c>
      <c r="K198" s="119"/>
      <c r="L198" s="117" t="s">
        <v>92</v>
      </c>
      <c r="M198" s="117" t="s">
        <v>1694</v>
      </c>
      <c r="N198" s="117" t="s">
        <v>36</v>
      </c>
      <c r="O198" s="117" t="s">
        <v>1695</v>
      </c>
      <c r="P198" s="117"/>
      <c r="Q198" s="117" t="s">
        <v>44</v>
      </c>
      <c r="R198" s="114">
        <v>2.35986585E8</v>
      </c>
      <c r="S198" s="148">
        <v>44955.0</v>
      </c>
      <c r="T198" s="117" t="s">
        <v>1696</v>
      </c>
      <c r="U198" s="147" t="s">
        <v>1697</v>
      </c>
      <c r="V198" s="117" t="s">
        <v>1698</v>
      </c>
      <c r="W198" s="147" t="s">
        <v>1699</v>
      </c>
      <c r="X198" s="117" t="s">
        <v>1700</v>
      </c>
      <c r="Y198" s="147" t="s">
        <v>1701</v>
      </c>
      <c r="Z198" s="117" t="s">
        <v>43</v>
      </c>
      <c r="AA198" s="114" t="s">
        <v>1702</v>
      </c>
      <c r="AB198" s="117"/>
      <c r="AC198" s="117" t="s">
        <v>156</v>
      </c>
      <c r="AD198" s="117" t="s">
        <v>1703</v>
      </c>
      <c r="AE198" s="114"/>
      <c r="AF198" s="92"/>
    </row>
    <row r="199" hidden="1">
      <c r="A199" s="120" t="s">
        <v>157</v>
      </c>
      <c r="B199" s="120" t="s">
        <v>158</v>
      </c>
      <c r="C199" s="120" t="s">
        <v>159</v>
      </c>
      <c r="D199" s="121">
        <v>45937.0</v>
      </c>
      <c r="E199" s="120" t="s">
        <v>1704</v>
      </c>
      <c r="F199" s="122" t="s">
        <v>1059</v>
      </c>
      <c r="G199" s="120" t="s">
        <v>90</v>
      </c>
      <c r="H199" s="130">
        <f>IFERROR(__xludf.DUMMYFUNCTION("IF(ISDATE(S199), DATEDIF(S199, TODAY(), ""Y""), """")"),6.0)</f>
        <v>6</v>
      </c>
      <c r="I199" s="120" t="s">
        <v>1705</v>
      </c>
      <c r="J199" s="120" t="s">
        <v>487</v>
      </c>
      <c r="K199" s="139"/>
      <c r="L199" s="120" t="s">
        <v>92</v>
      </c>
      <c r="M199" s="120" t="s">
        <v>1706</v>
      </c>
      <c r="N199" s="120" t="s">
        <v>44</v>
      </c>
      <c r="O199" s="120"/>
      <c r="P199" s="120" t="s">
        <v>1707</v>
      </c>
      <c r="Q199" s="120" t="s">
        <v>1708</v>
      </c>
      <c r="R199" s="122">
        <v>2.33125368E8</v>
      </c>
      <c r="S199" s="121">
        <v>43748.0</v>
      </c>
      <c r="T199" s="120" t="s">
        <v>1090</v>
      </c>
      <c r="U199" s="139"/>
      <c r="V199" s="120" t="s">
        <v>1709</v>
      </c>
      <c r="W199" s="122">
        <v>5.49090144E8</v>
      </c>
      <c r="X199" s="120" t="s">
        <v>1710</v>
      </c>
      <c r="Y199" s="122">
        <v>5.47175559E8</v>
      </c>
      <c r="Z199" s="124" t="s">
        <v>43</v>
      </c>
      <c r="AA199" s="122">
        <v>4.0</v>
      </c>
      <c r="AB199" s="120" t="s">
        <v>1711</v>
      </c>
      <c r="AC199" s="120" t="s">
        <v>156</v>
      </c>
      <c r="AD199" s="139"/>
      <c r="AE199" s="139"/>
      <c r="AF199" s="139"/>
    </row>
    <row r="200" hidden="1">
      <c r="A200" s="108" t="s">
        <v>157</v>
      </c>
      <c r="B200" s="92" t="s">
        <v>140</v>
      </c>
      <c r="C200" s="111" t="s">
        <v>238</v>
      </c>
      <c r="D200" s="112">
        <v>45788.0</v>
      </c>
      <c r="E200" s="113" t="s">
        <v>1712</v>
      </c>
      <c r="F200" s="112" t="s">
        <v>1713</v>
      </c>
      <c r="G200" s="113" t="s">
        <v>31</v>
      </c>
      <c r="H200" s="114">
        <v>3.7</v>
      </c>
      <c r="I200" s="113" t="s">
        <v>1714</v>
      </c>
      <c r="J200" s="113" t="s">
        <v>1715</v>
      </c>
      <c r="K200" s="113"/>
      <c r="L200" s="113" t="s">
        <v>92</v>
      </c>
      <c r="M200" s="116" t="s">
        <v>1716</v>
      </c>
      <c r="N200" s="113" t="s">
        <v>36</v>
      </c>
      <c r="O200" s="117" t="s">
        <v>955</v>
      </c>
      <c r="P200" s="113"/>
      <c r="Q200" s="113" t="s">
        <v>36</v>
      </c>
      <c r="R200" s="113">
        <v>2.36490579E8</v>
      </c>
      <c r="S200" s="118" t="s">
        <v>1717</v>
      </c>
      <c r="T200" s="116" t="s">
        <v>38</v>
      </c>
      <c r="U200" s="113" t="s">
        <v>1718</v>
      </c>
      <c r="V200" s="113" t="s">
        <v>1719</v>
      </c>
      <c r="W200" s="115" t="s">
        <v>1720</v>
      </c>
      <c r="X200" s="113" t="s">
        <v>1006</v>
      </c>
      <c r="Y200" s="115" t="s">
        <v>1721</v>
      </c>
      <c r="Z200" s="117" t="s">
        <v>43</v>
      </c>
      <c r="AA200" s="113">
        <v>3.0</v>
      </c>
      <c r="AB200" s="117"/>
      <c r="AC200" s="92" t="s">
        <v>156</v>
      </c>
      <c r="AD200" s="119"/>
      <c r="AE200" s="119"/>
      <c r="AF200" s="117"/>
    </row>
    <row r="201">
      <c r="A201" s="84" t="s">
        <v>157</v>
      </c>
      <c r="B201" s="120" t="s">
        <v>1143</v>
      </c>
      <c r="C201" s="120" t="s">
        <v>141</v>
      </c>
      <c r="D201" s="163">
        <v>45881.0</v>
      </c>
      <c r="E201" s="164" t="s">
        <v>1722</v>
      </c>
      <c r="F201" s="165">
        <v>45881.0</v>
      </c>
      <c r="G201" s="164" t="s">
        <v>90</v>
      </c>
      <c r="H201" s="130">
        <v>6.0</v>
      </c>
      <c r="I201" s="164" t="s">
        <v>1723</v>
      </c>
      <c r="J201" s="120" t="s">
        <v>188</v>
      </c>
      <c r="K201" s="169" t="s">
        <v>1724</v>
      </c>
      <c r="L201" s="139" t="s">
        <v>189</v>
      </c>
      <c r="M201" s="164" t="s">
        <v>141</v>
      </c>
      <c r="N201" s="120" t="s">
        <v>36</v>
      </c>
      <c r="O201" s="139" t="s">
        <v>105</v>
      </c>
      <c r="P201" s="139"/>
      <c r="Q201" s="139" t="s">
        <v>1725</v>
      </c>
      <c r="R201" s="139">
        <v>2.27022647E8</v>
      </c>
      <c r="S201" s="167">
        <v>43703.0</v>
      </c>
      <c r="T201" s="164" t="s">
        <v>82</v>
      </c>
      <c r="U201" s="139" t="s">
        <v>1726</v>
      </c>
      <c r="V201" s="139" t="s">
        <v>1727</v>
      </c>
      <c r="W201" s="168" t="s">
        <v>1728</v>
      </c>
      <c r="X201" s="164" t="s">
        <v>1729</v>
      </c>
      <c r="Y201" s="169" t="s">
        <v>1730</v>
      </c>
      <c r="Z201" s="131" t="s">
        <v>168</v>
      </c>
      <c r="AA201" s="122">
        <v>3.0</v>
      </c>
      <c r="AB201" s="170"/>
      <c r="AC201" s="120" t="s">
        <v>1552</v>
      </c>
      <c r="AD201" s="120" t="s">
        <v>1731</v>
      </c>
      <c r="AE201" s="139"/>
      <c r="AF201" s="120" t="s">
        <v>1732</v>
      </c>
    </row>
    <row r="202" hidden="1">
      <c r="A202" s="92" t="s">
        <v>157</v>
      </c>
      <c r="B202" s="92" t="s">
        <v>158</v>
      </c>
      <c r="C202" s="92" t="s">
        <v>159</v>
      </c>
      <c r="D202" s="126">
        <v>45911.0</v>
      </c>
      <c r="E202" s="92" t="s">
        <v>1709</v>
      </c>
      <c r="F202" s="111"/>
      <c r="G202" s="92" t="s">
        <v>90</v>
      </c>
      <c r="H202" s="136">
        <f>IFERROR(__xludf.DUMMYFUNCTION("IF(ISDATE(S202), DATEDIF(S202, TODAY(), ""Y""), """")"),5.0)</f>
        <v>5</v>
      </c>
      <c r="I202" s="92" t="s">
        <v>1733</v>
      </c>
      <c r="J202" s="92" t="s">
        <v>436</v>
      </c>
      <c r="K202" s="127"/>
      <c r="L202" s="92" t="s">
        <v>92</v>
      </c>
      <c r="M202" s="92" t="s">
        <v>1734</v>
      </c>
      <c r="N202" s="92" t="s">
        <v>36</v>
      </c>
      <c r="O202" s="92" t="s">
        <v>1735</v>
      </c>
      <c r="P202" s="127"/>
      <c r="Q202" s="92" t="s">
        <v>36</v>
      </c>
      <c r="R202" s="111">
        <v>2.33386432E8</v>
      </c>
      <c r="S202" s="126">
        <v>44103.0</v>
      </c>
      <c r="T202" s="92" t="s">
        <v>1736</v>
      </c>
      <c r="U202" s="141">
        <v>45104.0</v>
      </c>
      <c r="V202" s="92" t="s">
        <v>57</v>
      </c>
      <c r="W202" s="136">
        <v>5.05425894E8</v>
      </c>
      <c r="X202" s="92" t="s">
        <v>212</v>
      </c>
      <c r="Y202" s="111">
        <v>5.44286888E8</v>
      </c>
      <c r="Z202" s="117" t="s">
        <v>43</v>
      </c>
      <c r="AA202" s="111">
        <v>2.0</v>
      </c>
      <c r="AB202" s="92" t="s">
        <v>1737</v>
      </c>
      <c r="AC202" s="92" t="s">
        <v>169</v>
      </c>
      <c r="AD202" s="92" t="s">
        <v>1738</v>
      </c>
      <c r="AE202" s="92"/>
      <c r="AF202" s="92"/>
    </row>
    <row r="203" hidden="1">
      <c r="A203" s="135" t="s">
        <v>157</v>
      </c>
      <c r="B203" s="120" t="s">
        <v>1143</v>
      </c>
      <c r="C203" s="120" t="s">
        <v>238</v>
      </c>
      <c r="D203" s="163" t="s">
        <v>1739</v>
      </c>
      <c r="E203" s="164" t="s">
        <v>1740</v>
      </c>
      <c r="F203" s="165">
        <v>46005.0</v>
      </c>
      <c r="G203" s="164" t="s">
        <v>90</v>
      </c>
      <c r="H203" s="130">
        <v>8.0</v>
      </c>
      <c r="I203" s="164" t="s">
        <v>1741</v>
      </c>
      <c r="J203" s="120" t="s">
        <v>1742</v>
      </c>
      <c r="K203" s="166"/>
      <c r="L203" s="139" t="s">
        <v>1743</v>
      </c>
      <c r="M203" s="164" t="s">
        <v>481</v>
      </c>
      <c r="N203" s="120" t="s">
        <v>36</v>
      </c>
      <c r="O203" s="139" t="s">
        <v>1744</v>
      </c>
      <c r="P203" s="139"/>
      <c r="Q203" s="139" t="s">
        <v>44</v>
      </c>
      <c r="R203" s="139">
        <v>3.30161035E8</v>
      </c>
      <c r="S203" s="167">
        <v>43102.0</v>
      </c>
      <c r="T203" s="164" t="s">
        <v>1745</v>
      </c>
      <c r="U203" s="139" t="s">
        <v>1746</v>
      </c>
      <c r="V203" s="139" t="s">
        <v>1747</v>
      </c>
      <c r="W203" s="168" t="s">
        <v>1748</v>
      </c>
      <c r="X203" s="164" t="s">
        <v>1749</v>
      </c>
      <c r="Y203" s="169" t="s">
        <v>1750</v>
      </c>
      <c r="Z203" s="131" t="s">
        <v>43</v>
      </c>
      <c r="AA203" s="122">
        <v>2.0</v>
      </c>
      <c r="AB203" s="178" t="s">
        <v>1751</v>
      </c>
      <c r="AC203" s="120" t="s">
        <v>978</v>
      </c>
      <c r="AD203" s="120"/>
      <c r="AE203" s="139"/>
      <c r="AF203" s="139"/>
    </row>
    <row r="204" hidden="1">
      <c r="A204" s="144" t="s">
        <v>157</v>
      </c>
      <c r="B204" s="92" t="s">
        <v>140</v>
      </c>
      <c r="C204" s="92" t="s">
        <v>159</v>
      </c>
      <c r="D204" s="126">
        <v>45977.0</v>
      </c>
      <c r="E204" s="92" t="s">
        <v>1752</v>
      </c>
      <c r="F204" s="111">
        <v>16.12</v>
      </c>
      <c r="G204" s="92" t="s">
        <v>31</v>
      </c>
      <c r="H204" s="136">
        <f>IFERROR(__xludf.DUMMYFUNCTION("IF(ISDATE(S204), DATEDIF(S204, TODAY(), ""Y""), """")"),3.0)</f>
        <v>3</v>
      </c>
      <c r="I204" s="127"/>
      <c r="J204" s="92" t="s">
        <v>1278</v>
      </c>
      <c r="K204" s="127"/>
      <c r="L204" s="92" t="s">
        <v>92</v>
      </c>
      <c r="M204" s="92" t="s">
        <v>424</v>
      </c>
      <c r="N204" s="92" t="s">
        <v>44</v>
      </c>
      <c r="O204" s="127"/>
      <c r="P204" s="92" t="s">
        <v>1753</v>
      </c>
      <c r="Q204" s="92" t="s">
        <v>44</v>
      </c>
      <c r="R204" s="111">
        <v>2.37922273E8</v>
      </c>
      <c r="S204" s="126">
        <v>44912.0</v>
      </c>
      <c r="T204" s="92" t="s">
        <v>1754</v>
      </c>
      <c r="U204" s="127"/>
      <c r="V204" s="92" t="s">
        <v>84</v>
      </c>
      <c r="W204" s="111">
        <v>5.45546894E8</v>
      </c>
      <c r="X204" s="92" t="s">
        <v>1127</v>
      </c>
      <c r="Y204" s="111">
        <v>5.06705733E8</v>
      </c>
      <c r="Z204" s="117" t="s">
        <v>43</v>
      </c>
      <c r="AA204" s="111">
        <v>2.0</v>
      </c>
      <c r="AB204" s="92"/>
      <c r="AC204" s="92" t="s">
        <v>169</v>
      </c>
      <c r="AD204" s="92" t="s">
        <v>1755</v>
      </c>
      <c r="AE204" s="92"/>
      <c r="AF204" s="92" t="s">
        <v>1756</v>
      </c>
    </row>
    <row r="205" hidden="1">
      <c r="A205" s="144" t="s">
        <v>157</v>
      </c>
      <c r="B205" s="120" t="s">
        <v>1143</v>
      </c>
      <c r="C205" s="120" t="s">
        <v>238</v>
      </c>
      <c r="D205" s="163"/>
      <c r="E205" s="92" t="s">
        <v>1757</v>
      </c>
      <c r="F205" s="139"/>
      <c r="G205" s="120" t="s">
        <v>90</v>
      </c>
      <c r="H205" s="123">
        <f>IFERROR(__xludf.DUMMYFUNCTION("IF(ISDATE(S205), DATEDIF(S205, TODAY(), ""Y""), """")"),2.0)</f>
        <v>2</v>
      </c>
      <c r="I205" s="139"/>
      <c r="J205" s="120" t="s">
        <v>342</v>
      </c>
      <c r="K205" s="139"/>
      <c r="L205" s="120" t="s">
        <v>92</v>
      </c>
      <c r="M205" s="120" t="s">
        <v>238</v>
      </c>
      <c r="N205" s="120" t="s">
        <v>36</v>
      </c>
      <c r="O205" s="120" t="s">
        <v>1758</v>
      </c>
      <c r="P205" s="139"/>
      <c r="Q205" s="139"/>
      <c r="R205" s="122">
        <v>2.38527923E8</v>
      </c>
      <c r="S205" s="121">
        <v>45065.0</v>
      </c>
      <c r="T205" s="120" t="s">
        <v>331</v>
      </c>
      <c r="U205" s="122" t="s">
        <v>1759</v>
      </c>
      <c r="V205" s="120" t="s">
        <v>299</v>
      </c>
      <c r="W205" s="122">
        <v>5.35457673E8</v>
      </c>
      <c r="X205" s="120" t="s">
        <v>1760</v>
      </c>
      <c r="Y205" s="122">
        <v>5.33508531E8</v>
      </c>
      <c r="Z205" s="124" t="s">
        <v>43</v>
      </c>
      <c r="AA205" s="139"/>
      <c r="AB205" s="120" t="s">
        <v>1761</v>
      </c>
      <c r="AC205" s="120" t="s">
        <v>1152</v>
      </c>
      <c r="AD205" s="139"/>
      <c r="AE205" s="120" t="s">
        <v>472</v>
      </c>
      <c r="AF205" s="120" t="s">
        <v>1762</v>
      </c>
    </row>
    <row r="206" hidden="1">
      <c r="A206" s="108" t="s">
        <v>157</v>
      </c>
      <c r="B206" s="92" t="s">
        <v>1143</v>
      </c>
      <c r="C206" s="111" t="s">
        <v>238</v>
      </c>
      <c r="D206" s="148" t="s">
        <v>1763</v>
      </c>
      <c r="E206" s="113" t="s">
        <v>1764</v>
      </c>
      <c r="F206" s="138" t="s">
        <v>1763</v>
      </c>
      <c r="G206" s="113" t="s">
        <v>31</v>
      </c>
      <c r="H206" s="114">
        <v>4.5</v>
      </c>
      <c r="I206" s="113" t="s">
        <v>1765</v>
      </c>
      <c r="J206" s="113" t="s">
        <v>1766</v>
      </c>
      <c r="K206" s="113"/>
      <c r="L206" s="113" t="s">
        <v>92</v>
      </c>
      <c r="M206" s="116" t="s">
        <v>1767</v>
      </c>
      <c r="N206" s="113" t="s">
        <v>36</v>
      </c>
      <c r="O206" s="117" t="s">
        <v>1768</v>
      </c>
      <c r="P206" s="113"/>
      <c r="Q206" s="113" t="s">
        <v>759</v>
      </c>
      <c r="R206" s="113">
        <v>2.35530961E8</v>
      </c>
      <c r="S206" s="118">
        <v>44331.0</v>
      </c>
      <c r="T206" s="116" t="s">
        <v>1769</v>
      </c>
      <c r="U206" s="113" t="s">
        <v>1770</v>
      </c>
      <c r="V206" s="113" t="s">
        <v>697</v>
      </c>
      <c r="W206" s="115" t="s">
        <v>1771</v>
      </c>
      <c r="X206" s="113" t="s">
        <v>1772</v>
      </c>
      <c r="Y206" s="115" t="s">
        <v>1773</v>
      </c>
      <c r="Z206" s="117" t="s">
        <v>43</v>
      </c>
      <c r="AA206" s="113">
        <v>1.0</v>
      </c>
      <c r="AB206" s="117"/>
      <c r="AC206" s="92" t="s">
        <v>978</v>
      </c>
      <c r="AD206" s="117" t="s">
        <v>1774</v>
      </c>
      <c r="AE206" s="117" t="s">
        <v>1775</v>
      </c>
      <c r="AF206" s="117"/>
    </row>
    <row r="207" hidden="1">
      <c r="A207" s="108" t="s">
        <v>157</v>
      </c>
      <c r="B207" s="120" t="s">
        <v>1143</v>
      </c>
      <c r="C207" s="120" t="s">
        <v>238</v>
      </c>
      <c r="D207" s="122" t="s">
        <v>1776</v>
      </c>
      <c r="E207" s="117" t="s">
        <v>1777</v>
      </c>
      <c r="F207" s="130" t="s">
        <v>1042</v>
      </c>
      <c r="G207" s="131" t="s">
        <v>90</v>
      </c>
      <c r="H207" s="123">
        <v>2.0</v>
      </c>
      <c r="I207" s="139"/>
      <c r="J207" s="131" t="s">
        <v>694</v>
      </c>
      <c r="K207" s="139"/>
      <c r="L207" s="131" t="s">
        <v>92</v>
      </c>
      <c r="M207" s="124" t="s">
        <v>1778</v>
      </c>
      <c r="N207" s="120" t="s">
        <v>36</v>
      </c>
      <c r="O207" s="131" t="s">
        <v>1779</v>
      </c>
      <c r="P207" s="139"/>
      <c r="Q207" s="131" t="s">
        <v>36</v>
      </c>
      <c r="R207" s="131">
        <v>2.38953475E8</v>
      </c>
      <c r="S207" s="156">
        <v>45161.0</v>
      </c>
      <c r="T207" s="131" t="s">
        <v>1780</v>
      </c>
      <c r="U207" s="179">
        <v>45985.0</v>
      </c>
      <c r="V207" s="131" t="s">
        <v>1781</v>
      </c>
      <c r="W207" s="131">
        <v>5.42187563E8</v>
      </c>
      <c r="X207" s="131" t="s">
        <v>525</v>
      </c>
      <c r="Y207" s="131">
        <v>5.4209185E8</v>
      </c>
      <c r="Z207" s="124" t="s">
        <v>43</v>
      </c>
      <c r="AA207" s="131">
        <v>1.0</v>
      </c>
      <c r="AB207" s="131" t="s">
        <v>1782</v>
      </c>
      <c r="AC207" s="120" t="s">
        <v>1152</v>
      </c>
      <c r="AD207" s="124" t="s">
        <v>1783</v>
      </c>
      <c r="AE207" s="139"/>
      <c r="AF207" s="120" t="s">
        <v>1784</v>
      </c>
    </row>
    <row r="208" hidden="1">
      <c r="A208" s="108" t="s">
        <v>157</v>
      </c>
      <c r="B208" s="92" t="s">
        <v>140</v>
      </c>
      <c r="C208" s="111" t="s">
        <v>238</v>
      </c>
      <c r="D208" s="112">
        <v>46002.0</v>
      </c>
      <c r="E208" s="113" t="s">
        <v>1785</v>
      </c>
      <c r="F208" s="112">
        <v>45973.0</v>
      </c>
      <c r="G208" s="113" t="s">
        <v>31</v>
      </c>
      <c r="H208" s="114" t="s">
        <v>1786</v>
      </c>
      <c r="I208" s="113" t="s">
        <v>1787</v>
      </c>
      <c r="J208" s="113" t="s">
        <v>1115</v>
      </c>
      <c r="K208" s="113"/>
      <c r="L208" s="113" t="s">
        <v>92</v>
      </c>
      <c r="M208" s="116" t="s">
        <v>1788</v>
      </c>
      <c r="N208" s="113" t="s">
        <v>36</v>
      </c>
      <c r="O208" s="117" t="s">
        <v>1789</v>
      </c>
      <c r="P208" s="113"/>
      <c r="Q208" s="113" t="s">
        <v>36</v>
      </c>
      <c r="R208" s="113">
        <v>2.40344127E8</v>
      </c>
      <c r="S208" s="118">
        <v>45474.0</v>
      </c>
      <c r="T208" s="116" t="s">
        <v>1790</v>
      </c>
      <c r="U208" s="115" t="s">
        <v>1791</v>
      </c>
      <c r="V208" s="113" t="s">
        <v>1792</v>
      </c>
      <c r="W208" s="115" t="s">
        <v>1793</v>
      </c>
      <c r="X208" s="113" t="s">
        <v>1794</v>
      </c>
      <c r="Y208" s="113" t="s">
        <v>1795</v>
      </c>
      <c r="Z208" s="117" t="s">
        <v>43</v>
      </c>
      <c r="AA208" s="113" t="s">
        <v>1796</v>
      </c>
      <c r="AB208" s="117" t="s">
        <v>1797</v>
      </c>
      <c r="AC208" s="92" t="s">
        <v>169</v>
      </c>
      <c r="AD208" s="119"/>
      <c r="AE208" s="119"/>
      <c r="AF208" s="117"/>
    </row>
    <row r="209" hidden="1">
      <c r="A209" s="120" t="s">
        <v>157</v>
      </c>
      <c r="B209" s="120" t="s">
        <v>158</v>
      </c>
      <c r="C209" s="120" t="s">
        <v>159</v>
      </c>
      <c r="D209" s="121">
        <v>45845.0</v>
      </c>
      <c r="E209" s="120" t="s">
        <v>1798</v>
      </c>
      <c r="F209" s="122" t="s">
        <v>1486</v>
      </c>
      <c r="G209" s="120" t="s">
        <v>31</v>
      </c>
      <c r="H209" s="130">
        <f>IFERROR(__xludf.DUMMYFUNCTION("IF(ISDATE(S209), DATEDIF(S209, TODAY(), ""Y""), """")"),4.0)</f>
        <v>4</v>
      </c>
      <c r="I209" s="120" t="s">
        <v>1799</v>
      </c>
      <c r="J209" s="120" t="s">
        <v>1800</v>
      </c>
      <c r="K209" s="139"/>
      <c r="L209" s="120" t="s">
        <v>92</v>
      </c>
      <c r="M209" s="120" t="s">
        <v>1801</v>
      </c>
      <c r="N209" s="120" t="s">
        <v>44</v>
      </c>
      <c r="O209" s="120" t="s">
        <v>1802</v>
      </c>
      <c r="P209" s="120" t="s">
        <v>1046</v>
      </c>
      <c r="Q209" s="120" t="s">
        <v>36</v>
      </c>
      <c r="R209" s="122">
        <v>2.33744861E8</v>
      </c>
      <c r="S209" s="121">
        <v>44453.0</v>
      </c>
      <c r="T209" s="120" t="s">
        <v>1803</v>
      </c>
      <c r="U209" s="158">
        <v>45809.0</v>
      </c>
      <c r="V209" s="120" t="s">
        <v>1804</v>
      </c>
      <c r="W209" s="122">
        <v>5.44635366E8</v>
      </c>
      <c r="X209" s="120" t="s">
        <v>1805</v>
      </c>
      <c r="Y209" s="122">
        <v>5.43323454E8</v>
      </c>
      <c r="Z209" s="124" t="s">
        <v>43</v>
      </c>
      <c r="AA209" s="120" t="s">
        <v>36</v>
      </c>
      <c r="AB209" s="139"/>
      <c r="AC209" s="120" t="s">
        <v>156</v>
      </c>
      <c r="AD209" s="139"/>
      <c r="AE209" s="139"/>
      <c r="AF209" s="139"/>
    </row>
    <row r="210" hidden="1">
      <c r="A210" s="84" t="s">
        <v>157</v>
      </c>
      <c r="B210" s="92" t="s">
        <v>1143</v>
      </c>
      <c r="C210" s="92" t="s">
        <v>238</v>
      </c>
      <c r="D210" s="126">
        <v>45809.0</v>
      </c>
      <c r="E210" s="150" t="s">
        <v>1806</v>
      </c>
      <c r="F210" s="151">
        <v>45925.0</v>
      </c>
      <c r="G210" s="150" t="s">
        <v>90</v>
      </c>
      <c r="H210" s="114">
        <v>15.0</v>
      </c>
      <c r="I210" s="150" t="s">
        <v>1807</v>
      </c>
      <c r="J210" s="92" t="s">
        <v>385</v>
      </c>
      <c r="K210" s="152" t="s">
        <v>1808</v>
      </c>
      <c r="L210" s="127" t="s">
        <v>63</v>
      </c>
      <c r="M210" s="150" t="s">
        <v>331</v>
      </c>
      <c r="N210" s="92" t="s">
        <v>36</v>
      </c>
      <c r="O210" s="127" t="s">
        <v>1809</v>
      </c>
      <c r="P210" s="127"/>
      <c r="Q210" s="127" t="s">
        <v>44</v>
      </c>
      <c r="R210" s="127">
        <v>3.31598896E8</v>
      </c>
      <c r="S210" s="153">
        <v>40200.0</v>
      </c>
      <c r="T210" s="150" t="s">
        <v>331</v>
      </c>
      <c r="U210" s="127" t="s">
        <v>1810</v>
      </c>
      <c r="V210" s="127" t="s">
        <v>1811</v>
      </c>
      <c r="W210" s="154" t="s">
        <v>1812</v>
      </c>
      <c r="X210" s="150" t="s">
        <v>1813</v>
      </c>
      <c r="Y210" s="152" t="s">
        <v>1814</v>
      </c>
      <c r="Z210" s="119" t="s">
        <v>1815</v>
      </c>
      <c r="AA210" s="111">
        <v>2.0</v>
      </c>
      <c r="AB210" s="155"/>
      <c r="AC210" s="92" t="s">
        <v>1152</v>
      </c>
      <c r="AD210" s="92" t="s">
        <v>1816</v>
      </c>
      <c r="AE210" s="92" t="s">
        <v>1817</v>
      </c>
      <c r="AF210" s="127"/>
    </row>
    <row r="211" hidden="1">
      <c r="A211" s="120" t="s">
        <v>157</v>
      </c>
      <c r="B211" s="120" t="s">
        <v>1143</v>
      </c>
      <c r="C211" s="120" t="s">
        <v>238</v>
      </c>
      <c r="D211" s="180">
        <v>45663.0</v>
      </c>
      <c r="E211" s="128" t="s">
        <v>1818</v>
      </c>
      <c r="F211" s="129">
        <v>44419.0</v>
      </c>
      <c r="G211" s="128" t="s">
        <v>31</v>
      </c>
      <c r="H211" s="130">
        <f>IFERROR(__xludf.DUMMYFUNCTION("IF(ISDATE(S211), DATEDIF(S211, TODAY(), ""Y""), """")"),15.0)</f>
        <v>15</v>
      </c>
      <c r="I211" s="128" t="s">
        <v>1819</v>
      </c>
      <c r="J211" s="128" t="s">
        <v>102</v>
      </c>
      <c r="K211" s="131"/>
      <c r="L211" s="128" t="s">
        <v>103</v>
      </c>
      <c r="M211" s="134" t="s">
        <v>1820</v>
      </c>
      <c r="N211" s="134" t="s">
        <v>36</v>
      </c>
      <c r="O211" s="128"/>
      <c r="P211" s="131"/>
      <c r="Q211" s="128" t="s">
        <v>44</v>
      </c>
      <c r="R211" s="128">
        <v>3.34128138E8</v>
      </c>
      <c r="S211" s="132">
        <v>40423.0</v>
      </c>
      <c r="T211" s="128" t="s">
        <v>1821</v>
      </c>
      <c r="U211" s="128">
        <v>44236.0</v>
      </c>
      <c r="V211" s="128" t="s">
        <v>1822</v>
      </c>
      <c r="W211" s="128">
        <v>5.25317717E8</v>
      </c>
      <c r="X211" s="128" t="s">
        <v>1823</v>
      </c>
      <c r="Y211" s="128">
        <v>5.27333513E8</v>
      </c>
      <c r="Z211" s="124" t="s">
        <v>43</v>
      </c>
      <c r="AA211" s="133">
        <v>4.0</v>
      </c>
      <c r="AB211" s="134"/>
      <c r="AC211" s="134" t="s">
        <v>1152</v>
      </c>
      <c r="AD211" s="134" t="s">
        <v>1824</v>
      </c>
      <c r="AE211" s="124" t="s">
        <v>1825</v>
      </c>
      <c r="AF211" s="131"/>
    </row>
    <row r="212" hidden="1">
      <c r="A212" s="135" t="s">
        <v>157</v>
      </c>
      <c r="B212" s="92" t="s">
        <v>1143</v>
      </c>
      <c r="C212" s="92" t="s">
        <v>238</v>
      </c>
      <c r="D212" s="126" t="s">
        <v>204</v>
      </c>
      <c r="E212" s="92" t="s">
        <v>1826</v>
      </c>
      <c r="F212" s="111" t="s">
        <v>1827</v>
      </c>
      <c r="G212" s="92" t="s">
        <v>90</v>
      </c>
      <c r="H212" s="136">
        <f>IFERROR(__xludf.DUMMYFUNCTION("IF(ISDATE(S212), DATEDIF(S212, TODAY(), ""Y""), """")"),4.0)</f>
        <v>4</v>
      </c>
      <c r="I212" s="127"/>
      <c r="J212" s="92" t="s">
        <v>1828</v>
      </c>
      <c r="K212" s="127"/>
      <c r="L212" s="92" t="s">
        <v>92</v>
      </c>
      <c r="M212" s="92" t="s">
        <v>1829</v>
      </c>
      <c r="N212" s="92" t="s">
        <v>36</v>
      </c>
      <c r="O212" s="92" t="s">
        <v>955</v>
      </c>
      <c r="P212" s="127"/>
      <c r="Q212" s="92" t="s">
        <v>36</v>
      </c>
      <c r="R212" s="111">
        <v>2.35348208E8</v>
      </c>
      <c r="S212" s="126">
        <v>44411.0</v>
      </c>
      <c r="T212" s="92" t="s">
        <v>38</v>
      </c>
      <c r="U212" s="111" t="s">
        <v>1830</v>
      </c>
      <c r="V212" s="92" t="s">
        <v>252</v>
      </c>
      <c r="W212" s="111">
        <v>5.23484694E8</v>
      </c>
      <c r="X212" s="92" t="s">
        <v>745</v>
      </c>
      <c r="Y212" s="111">
        <v>5.46751408E8</v>
      </c>
      <c r="Z212" s="117" t="s">
        <v>43</v>
      </c>
      <c r="AA212" s="111">
        <v>3.0</v>
      </c>
      <c r="AB212" s="92" t="s">
        <v>934</v>
      </c>
      <c r="AC212" s="92" t="s">
        <v>1350</v>
      </c>
      <c r="AD212" s="92" t="s">
        <v>1831</v>
      </c>
      <c r="AE212" s="92"/>
      <c r="AF212" s="92" t="s">
        <v>1832</v>
      </c>
    </row>
    <row r="213" hidden="1">
      <c r="A213" s="120" t="s">
        <v>157</v>
      </c>
      <c r="B213" s="120" t="s">
        <v>158</v>
      </c>
      <c r="C213" s="120" t="s">
        <v>159</v>
      </c>
      <c r="D213" s="124" t="s">
        <v>142</v>
      </c>
      <c r="E213" s="128" t="s">
        <v>1833</v>
      </c>
      <c r="F213" s="129"/>
      <c r="G213" s="128" t="s">
        <v>31</v>
      </c>
      <c r="H213" s="130">
        <f>IFERROR(__xludf.DUMMYFUNCTION("IF(ISDATE(S213), DATEDIF(S213, TODAY(), ""Y""), """")"),4.0)</f>
        <v>4</v>
      </c>
      <c r="I213" s="128"/>
      <c r="J213" s="128" t="s">
        <v>1834</v>
      </c>
      <c r="K213" s="131"/>
      <c r="L213" s="128" t="s">
        <v>92</v>
      </c>
      <c r="M213" s="128" t="s">
        <v>1835</v>
      </c>
      <c r="N213" s="128" t="s">
        <v>44</v>
      </c>
      <c r="O213" s="128"/>
      <c r="P213" s="131"/>
      <c r="Q213" s="128" t="s">
        <v>36</v>
      </c>
      <c r="R213" s="128">
        <v>2.33975804E8</v>
      </c>
      <c r="S213" s="132">
        <v>44233.0</v>
      </c>
      <c r="T213" s="128" t="s">
        <v>244</v>
      </c>
      <c r="U213" s="128">
        <v>45233.0</v>
      </c>
      <c r="V213" s="128" t="s">
        <v>1369</v>
      </c>
      <c r="W213" s="128">
        <v>5.45525262E8</v>
      </c>
      <c r="X213" s="128" t="s">
        <v>1836</v>
      </c>
      <c r="Y213" s="128">
        <v>5.42511256E8</v>
      </c>
      <c r="Z213" s="124" t="s">
        <v>43</v>
      </c>
      <c r="AA213" s="133">
        <v>1.0</v>
      </c>
      <c r="AB213" s="134"/>
      <c r="AC213" s="120" t="s">
        <v>169</v>
      </c>
      <c r="AD213" s="131"/>
      <c r="AE213" s="131"/>
      <c r="AF213" s="131"/>
    </row>
    <row r="214" hidden="1">
      <c r="A214" s="108" t="s">
        <v>157</v>
      </c>
      <c r="B214" s="92" t="s">
        <v>1143</v>
      </c>
      <c r="C214" s="92" t="s">
        <v>238</v>
      </c>
      <c r="D214" s="148">
        <v>45946.0</v>
      </c>
      <c r="E214" s="117" t="s">
        <v>1837</v>
      </c>
      <c r="F214" s="146">
        <v>45855.0</v>
      </c>
      <c r="G214" s="117" t="s">
        <v>31</v>
      </c>
      <c r="H214" s="114" t="s">
        <v>1838</v>
      </c>
      <c r="I214" s="117" t="s">
        <v>1839</v>
      </c>
      <c r="J214" s="117" t="s">
        <v>1840</v>
      </c>
      <c r="K214" s="119"/>
      <c r="L214" s="117" t="s">
        <v>92</v>
      </c>
      <c r="M214" s="117" t="s">
        <v>1841</v>
      </c>
      <c r="N214" s="117" t="s">
        <v>36</v>
      </c>
      <c r="O214" s="117" t="s">
        <v>1842</v>
      </c>
      <c r="P214" s="117"/>
      <c r="Q214" s="117" t="s">
        <v>36</v>
      </c>
      <c r="R214" s="114">
        <v>2.38751986E8</v>
      </c>
      <c r="S214" s="148">
        <v>45339.0</v>
      </c>
      <c r="T214" s="117" t="s">
        <v>1578</v>
      </c>
      <c r="U214" s="114" t="s">
        <v>1726</v>
      </c>
      <c r="V214" s="117" t="s">
        <v>966</v>
      </c>
      <c r="W214" s="147" t="s">
        <v>1843</v>
      </c>
      <c r="X214" s="117" t="s">
        <v>1844</v>
      </c>
      <c r="Y214" s="147" t="s">
        <v>1845</v>
      </c>
      <c r="Z214" s="117" t="s">
        <v>43</v>
      </c>
      <c r="AA214" s="114">
        <v>1.0</v>
      </c>
      <c r="AB214" s="117"/>
      <c r="AC214" s="92" t="s">
        <v>978</v>
      </c>
      <c r="AD214" s="117" t="s">
        <v>1846</v>
      </c>
      <c r="AE214" s="119"/>
      <c r="AF214" s="92" t="s">
        <v>1847</v>
      </c>
    </row>
    <row r="215" hidden="1">
      <c r="A215" s="120" t="s">
        <v>157</v>
      </c>
      <c r="B215" s="120" t="s">
        <v>158</v>
      </c>
      <c r="C215" s="120" t="s">
        <v>159</v>
      </c>
      <c r="D215" s="121">
        <v>45845.0</v>
      </c>
      <c r="E215" s="120" t="s">
        <v>1848</v>
      </c>
      <c r="F215" s="181">
        <v>45537.0</v>
      </c>
      <c r="G215" s="120" t="s">
        <v>90</v>
      </c>
      <c r="H215" s="130">
        <f>IFERROR(__xludf.DUMMYFUNCTION("IF(ISDATE(S215), DATEDIF(S215, TODAY(), ""Y""), """")"),4.0)</f>
        <v>4</v>
      </c>
      <c r="I215" s="120" t="s">
        <v>1849</v>
      </c>
      <c r="J215" s="120" t="s">
        <v>1217</v>
      </c>
      <c r="K215" s="139"/>
      <c r="L215" s="120" t="s">
        <v>92</v>
      </c>
      <c r="M215" s="120" t="s">
        <v>1850</v>
      </c>
      <c r="N215" s="120" t="s">
        <v>44</v>
      </c>
      <c r="O215" s="120" t="s">
        <v>1251</v>
      </c>
      <c r="P215" s="120" t="s">
        <v>1851</v>
      </c>
      <c r="Q215" s="120" t="s">
        <v>44</v>
      </c>
      <c r="R215" s="122">
        <v>2.3412808E8</v>
      </c>
      <c r="S215" s="121">
        <v>44330.0</v>
      </c>
      <c r="T215" s="120" t="s">
        <v>1852</v>
      </c>
      <c r="U215" s="182">
        <v>45118.0</v>
      </c>
      <c r="V215" s="120" t="s">
        <v>1853</v>
      </c>
      <c r="W215" s="123">
        <v>5.06077589E8</v>
      </c>
      <c r="X215" s="120" t="s">
        <v>1854</v>
      </c>
      <c r="Y215" s="122">
        <v>5.48117973E8</v>
      </c>
      <c r="Z215" s="124" t="s">
        <v>43</v>
      </c>
      <c r="AA215" s="122">
        <v>2.0</v>
      </c>
      <c r="AB215" s="120" t="s">
        <v>1855</v>
      </c>
      <c r="AC215" s="120" t="s">
        <v>156</v>
      </c>
      <c r="AD215" s="120"/>
      <c r="AE215" s="139"/>
      <c r="AF215" s="139"/>
    </row>
    <row r="216" hidden="1">
      <c r="A216" s="144" t="s">
        <v>157</v>
      </c>
      <c r="B216" s="92" t="s">
        <v>1143</v>
      </c>
      <c r="C216" s="92" t="s">
        <v>409</v>
      </c>
      <c r="D216" s="114" t="s">
        <v>1229</v>
      </c>
      <c r="E216" s="113" t="s">
        <v>1856</v>
      </c>
      <c r="F216" s="137" t="s">
        <v>1857</v>
      </c>
      <c r="G216" s="113" t="s">
        <v>90</v>
      </c>
      <c r="H216" s="114">
        <f>IFERROR(__xludf.DUMMYFUNCTION("IF(ISDATE(S216), DATEDIF(S216, TODAY(), ""Y""), """")"),12.0)</f>
        <v>12</v>
      </c>
      <c r="I216" s="113" t="s">
        <v>1858</v>
      </c>
      <c r="J216" s="113" t="s">
        <v>694</v>
      </c>
      <c r="K216" s="119"/>
      <c r="L216" s="113" t="s">
        <v>92</v>
      </c>
      <c r="M216" s="113" t="s">
        <v>1859</v>
      </c>
      <c r="N216" s="113" t="s">
        <v>44</v>
      </c>
      <c r="O216" s="113"/>
      <c r="P216" s="119"/>
      <c r="Q216" s="113" t="s">
        <v>182</v>
      </c>
      <c r="R216" s="113">
        <v>3.3527696E8</v>
      </c>
      <c r="S216" s="118">
        <v>41630.0</v>
      </c>
      <c r="T216" s="113" t="s">
        <v>1578</v>
      </c>
      <c r="U216" s="113">
        <v>44301.0</v>
      </c>
      <c r="V216" s="113" t="s">
        <v>1709</v>
      </c>
      <c r="W216" s="113">
        <v>5.49091333E8</v>
      </c>
      <c r="X216" s="113" t="s">
        <v>1860</v>
      </c>
      <c r="Y216" s="113">
        <v>5.49091444E8</v>
      </c>
      <c r="Z216" s="117" t="s">
        <v>43</v>
      </c>
      <c r="AA216" s="138">
        <v>3.0</v>
      </c>
      <c r="AB216" s="116"/>
      <c r="AC216" s="116" t="s">
        <v>1152</v>
      </c>
      <c r="AD216" s="119"/>
      <c r="AE216" s="117" t="s">
        <v>1861</v>
      </c>
      <c r="AF216" s="117" t="s">
        <v>1862</v>
      </c>
    </row>
    <row r="217" hidden="1">
      <c r="A217" s="108" t="s">
        <v>157</v>
      </c>
      <c r="B217" s="120" t="s">
        <v>1143</v>
      </c>
      <c r="C217" s="120" t="s">
        <v>141</v>
      </c>
      <c r="D217" s="158">
        <v>45663.0</v>
      </c>
      <c r="E217" s="92" t="s">
        <v>1863</v>
      </c>
      <c r="F217" s="122" t="s">
        <v>1827</v>
      </c>
      <c r="G217" s="120" t="s">
        <v>31</v>
      </c>
      <c r="H217" s="123">
        <f>IFERROR(__xludf.DUMMYFUNCTION("IF(ISDATE(S217), DATEDIF(S217, TODAY(), ""Y""), """")"),14.0)</f>
        <v>14</v>
      </c>
      <c r="I217" s="139"/>
      <c r="J217" s="120" t="s">
        <v>517</v>
      </c>
      <c r="K217" s="139"/>
      <c r="L217" s="120" t="s">
        <v>92</v>
      </c>
      <c r="M217" s="120" t="s">
        <v>1864</v>
      </c>
      <c r="N217" s="120" t="s">
        <v>36</v>
      </c>
      <c r="O217" s="120" t="s">
        <v>1287</v>
      </c>
      <c r="P217" s="139"/>
      <c r="Q217" s="120" t="s">
        <v>1865</v>
      </c>
      <c r="R217" s="122">
        <v>3.35309589E8</v>
      </c>
      <c r="S217" s="121">
        <v>40687.0</v>
      </c>
      <c r="T217" s="124" t="s">
        <v>1866</v>
      </c>
      <c r="U217" s="120" t="s">
        <v>1867</v>
      </c>
      <c r="V217" s="139"/>
      <c r="W217" s="139"/>
      <c r="X217" s="120" t="s">
        <v>1335</v>
      </c>
      <c r="Y217" s="122">
        <v>5.09820836E8</v>
      </c>
      <c r="Z217" s="124" t="s">
        <v>1868</v>
      </c>
      <c r="AA217" s="122">
        <v>1.0</v>
      </c>
      <c r="AB217" s="120" t="s">
        <v>1869</v>
      </c>
      <c r="AC217" s="120" t="s">
        <v>1152</v>
      </c>
      <c r="AD217" s="120" t="s">
        <v>1870</v>
      </c>
      <c r="AE217" s="120" t="s">
        <v>1871</v>
      </c>
      <c r="AF217" s="120" t="s">
        <v>1872</v>
      </c>
    </row>
    <row r="218">
      <c r="A218" s="108" t="s">
        <v>157</v>
      </c>
      <c r="B218" s="92" t="s">
        <v>1143</v>
      </c>
      <c r="C218" s="111" t="s">
        <v>238</v>
      </c>
      <c r="D218" s="112" t="s">
        <v>1229</v>
      </c>
      <c r="E218" s="113" t="s">
        <v>1873</v>
      </c>
      <c r="F218" s="112">
        <v>45977.0</v>
      </c>
      <c r="G218" s="113" t="s">
        <v>90</v>
      </c>
      <c r="H218" s="114">
        <v>13.0</v>
      </c>
      <c r="I218" s="113" t="s">
        <v>1874</v>
      </c>
      <c r="J218" s="113" t="s">
        <v>769</v>
      </c>
      <c r="K218" s="113"/>
      <c r="L218" s="113" t="s">
        <v>92</v>
      </c>
      <c r="M218" s="116" t="s">
        <v>1875</v>
      </c>
      <c r="N218" s="113" t="s">
        <v>36</v>
      </c>
      <c r="O218" s="117" t="s">
        <v>1876</v>
      </c>
      <c r="P218" s="113"/>
      <c r="Q218" s="113" t="s">
        <v>1877</v>
      </c>
      <c r="R218" s="113">
        <v>2.21497282E8</v>
      </c>
      <c r="S218" s="118">
        <v>41105.0</v>
      </c>
      <c r="T218" s="116" t="s">
        <v>1878</v>
      </c>
      <c r="U218" s="113" t="s">
        <v>1879</v>
      </c>
      <c r="V218" s="113" t="s">
        <v>192</v>
      </c>
      <c r="W218" s="115" t="s">
        <v>1880</v>
      </c>
      <c r="X218" s="113" t="s">
        <v>1335</v>
      </c>
      <c r="Y218" s="115" t="s">
        <v>1881</v>
      </c>
      <c r="Z218" s="117" t="s">
        <v>43</v>
      </c>
      <c r="AA218" s="113">
        <v>10.0</v>
      </c>
      <c r="AB218" s="117" t="s">
        <v>1882</v>
      </c>
      <c r="AC218" s="92" t="s">
        <v>1552</v>
      </c>
      <c r="AD218" s="119" t="s">
        <v>1883</v>
      </c>
      <c r="AE218" s="119"/>
      <c r="AF218" s="117" t="s">
        <v>1732</v>
      </c>
    </row>
    <row r="219" hidden="1">
      <c r="A219" s="108" t="s">
        <v>157</v>
      </c>
      <c r="B219" s="120" t="s">
        <v>140</v>
      </c>
      <c r="C219" s="120" t="s">
        <v>159</v>
      </c>
      <c r="D219" s="130" t="s">
        <v>1884</v>
      </c>
      <c r="E219" s="128" t="s">
        <v>1885</v>
      </c>
      <c r="F219" s="122" t="s">
        <v>1886</v>
      </c>
      <c r="G219" s="128" t="s">
        <v>31</v>
      </c>
      <c r="H219" s="130">
        <f>IFERROR(__xludf.DUMMYFUNCTION("IF(ISDATE(S219), DATEDIF(S219, TODAY(), ""Y""), """")"),11.0)</f>
        <v>11</v>
      </c>
      <c r="I219" s="128" t="s">
        <v>1887</v>
      </c>
      <c r="J219" s="128" t="s">
        <v>1888</v>
      </c>
      <c r="K219" s="131"/>
      <c r="L219" s="128" t="s">
        <v>610</v>
      </c>
      <c r="M219" s="134" t="s">
        <v>1889</v>
      </c>
      <c r="N219" s="128" t="s">
        <v>36</v>
      </c>
      <c r="O219" s="128" t="s">
        <v>1890</v>
      </c>
      <c r="P219" s="131"/>
      <c r="Q219" s="128" t="s">
        <v>44</v>
      </c>
      <c r="R219" s="128">
        <v>3.3849442E8</v>
      </c>
      <c r="S219" s="132">
        <v>41719.0</v>
      </c>
      <c r="T219" s="128" t="s">
        <v>259</v>
      </c>
      <c r="U219" s="128" t="s">
        <v>1891</v>
      </c>
      <c r="V219" s="128" t="s">
        <v>1892</v>
      </c>
      <c r="W219" s="143" t="s">
        <v>1893</v>
      </c>
      <c r="X219" s="128" t="s">
        <v>1894</v>
      </c>
      <c r="Y219" s="143" t="s">
        <v>1895</v>
      </c>
      <c r="Z219" s="124" t="s">
        <v>168</v>
      </c>
      <c r="AA219" s="133">
        <v>2.0</v>
      </c>
      <c r="AB219" s="134"/>
      <c r="AC219" s="120" t="s">
        <v>169</v>
      </c>
      <c r="AD219" s="124" t="s">
        <v>1896</v>
      </c>
      <c r="AE219" s="131"/>
      <c r="AF219" s="120" t="s">
        <v>1897</v>
      </c>
    </row>
    <row r="220" hidden="1">
      <c r="A220" s="135" t="s">
        <v>157</v>
      </c>
      <c r="B220" s="92" t="s">
        <v>1143</v>
      </c>
      <c r="C220" s="92" t="s">
        <v>238</v>
      </c>
      <c r="D220" s="111" t="s">
        <v>1256</v>
      </c>
      <c r="E220" s="92" t="s">
        <v>1898</v>
      </c>
      <c r="F220" s="111" t="s">
        <v>1899</v>
      </c>
      <c r="G220" s="92" t="s">
        <v>31</v>
      </c>
      <c r="H220" s="136">
        <f>IFERROR(__xludf.DUMMYFUNCTION("IF(ISDATE(S220), DATEDIF(S220, TODAY(), ""Y""), """")"),5.0)</f>
        <v>5</v>
      </c>
      <c r="I220" s="92" t="s">
        <v>1900</v>
      </c>
      <c r="J220" s="92" t="s">
        <v>1575</v>
      </c>
      <c r="K220" s="111">
        <v>5.35554205E8</v>
      </c>
      <c r="L220" s="92" t="s">
        <v>103</v>
      </c>
      <c r="M220" s="92" t="s">
        <v>1901</v>
      </c>
      <c r="N220" s="92" t="s">
        <v>36</v>
      </c>
      <c r="O220" s="92" t="s">
        <v>1902</v>
      </c>
      <c r="P220" s="127"/>
      <c r="Q220" s="92" t="s">
        <v>1903</v>
      </c>
      <c r="R220" s="111">
        <v>2.29796909E8</v>
      </c>
      <c r="S220" s="126">
        <v>44026.0</v>
      </c>
      <c r="T220" s="92" t="s">
        <v>1904</v>
      </c>
      <c r="U220" s="183">
        <v>44397.0</v>
      </c>
      <c r="V220" s="92" t="s">
        <v>175</v>
      </c>
      <c r="W220" s="111">
        <v>5.02153586E8</v>
      </c>
      <c r="X220" s="92" t="s">
        <v>1905</v>
      </c>
      <c r="Y220" s="111">
        <v>5.35554205E8</v>
      </c>
      <c r="Z220" s="117" t="s">
        <v>43</v>
      </c>
      <c r="AA220" s="111">
        <v>1.0</v>
      </c>
      <c r="AB220" s="127"/>
      <c r="AC220" s="92" t="s">
        <v>978</v>
      </c>
      <c r="AD220" s="92" t="s">
        <v>1906</v>
      </c>
      <c r="AE220" s="127"/>
      <c r="AF220" s="92" t="s">
        <v>1907</v>
      </c>
    </row>
    <row r="221">
      <c r="A221" s="135" t="s">
        <v>157</v>
      </c>
      <c r="B221" s="120" t="s">
        <v>1143</v>
      </c>
      <c r="C221" s="120" t="s">
        <v>141</v>
      </c>
      <c r="D221" s="163">
        <v>46002.0</v>
      </c>
      <c r="E221" s="164" t="s">
        <v>1908</v>
      </c>
      <c r="F221" s="165">
        <v>46002.0</v>
      </c>
      <c r="G221" s="164" t="s">
        <v>90</v>
      </c>
      <c r="H221" s="130">
        <v>6.0</v>
      </c>
      <c r="I221" s="164" t="s">
        <v>1909</v>
      </c>
      <c r="J221" s="120" t="s">
        <v>1910</v>
      </c>
      <c r="K221" s="166"/>
      <c r="L221" s="139" t="s">
        <v>92</v>
      </c>
      <c r="M221" s="164" t="s">
        <v>1911</v>
      </c>
      <c r="N221" s="120" t="s">
        <v>44</v>
      </c>
      <c r="O221" s="139"/>
      <c r="P221" s="139" t="s">
        <v>1912</v>
      </c>
      <c r="Q221" s="139" t="s">
        <v>1913</v>
      </c>
      <c r="R221" s="139">
        <v>2.29567268E8</v>
      </c>
      <c r="S221" s="167">
        <v>42950.0</v>
      </c>
      <c r="T221" s="164" t="s">
        <v>331</v>
      </c>
      <c r="U221" s="139" t="s">
        <v>1914</v>
      </c>
      <c r="V221" s="139" t="s">
        <v>1915</v>
      </c>
      <c r="W221" s="168" t="s">
        <v>1916</v>
      </c>
      <c r="X221" s="164" t="s">
        <v>1917</v>
      </c>
      <c r="Y221" s="169" t="s">
        <v>1918</v>
      </c>
      <c r="Z221" s="131" t="s">
        <v>43</v>
      </c>
      <c r="AA221" s="122">
        <v>6.0</v>
      </c>
      <c r="AB221" s="170" t="s">
        <v>36</v>
      </c>
      <c r="AC221" s="120" t="s">
        <v>1552</v>
      </c>
      <c r="AD221" s="120"/>
      <c r="AE221" s="139"/>
      <c r="AF221" s="139"/>
    </row>
    <row r="222" hidden="1">
      <c r="A222" s="92" t="s">
        <v>157</v>
      </c>
      <c r="B222" s="92" t="s">
        <v>158</v>
      </c>
      <c r="C222" s="92" t="s">
        <v>159</v>
      </c>
      <c r="D222" s="148" t="s">
        <v>1919</v>
      </c>
      <c r="E222" s="117" t="s">
        <v>1920</v>
      </c>
      <c r="F222" s="146">
        <v>44203.0</v>
      </c>
      <c r="G222" s="117" t="s">
        <v>90</v>
      </c>
      <c r="H222" s="114">
        <f>IFERROR(__xludf.DUMMYFUNCTION("IF(ISDATE(S222), DATEDIF(S222, TODAY(), ""Y""), """")"),5.0)</f>
        <v>5</v>
      </c>
      <c r="I222" s="117" t="s">
        <v>1921</v>
      </c>
      <c r="J222" s="117" t="s">
        <v>572</v>
      </c>
      <c r="K222" s="119"/>
      <c r="L222" s="117" t="s">
        <v>103</v>
      </c>
      <c r="M222" s="117" t="s">
        <v>1922</v>
      </c>
      <c r="N222" s="117" t="s">
        <v>44</v>
      </c>
      <c r="O222" s="117" t="s">
        <v>1923</v>
      </c>
      <c r="P222" s="117" t="s">
        <v>1924</v>
      </c>
      <c r="Q222" s="117" t="s">
        <v>1925</v>
      </c>
      <c r="R222" s="114">
        <v>2.35057916E8</v>
      </c>
      <c r="S222" s="148">
        <v>44203.0</v>
      </c>
      <c r="T222" s="114" t="s">
        <v>1926</v>
      </c>
      <c r="U222" s="147" t="s">
        <v>1927</v>
      </c>
      <c r="V222" s="117" t="s">
        <v>1319</v>
      </c>
      <c r="W222" s="147" t="s">
        <v>1928</v>
      </c>
      <c r="X222" s="117" t="s">
        <v>1929</v>
      </c>
      <c r="Y222" s="147" t="s">
        <v>1930</v>
      </c>
      <c r="Z222" s="117" t="s">
        <v>43</v>
      </c>
      <c r="AA222" s="114">
        <v>2.0</v>
      </c>
      <c r="AB222" s="119"/>
      <c r="AC222" s="116" t="s">
        <v>156</v>
      </c>
      <c r="AD222" s="119"/>
      <c r="AE222" s="119"/>
      <c r="AF222" s="119"/>
    </row>
    <row r="223" hidden="1">
      <c r="A223" s="84" t="s">
        <v>157</v>
      </c>
      <c r="B223" s="120" t="s">
        <v>1143</v>
      </c>
      <c r="C223" s="120" t="s">
        <v>238</v>
      </c>
      <c r="D223" s="158">
        <v>45663.0</v>
      </c>
      <c r="E223" s="184" t="s">
        <v>1931</v>
      </c>
      <c r="F223" s="185">
        <v>45926.0</v>
      </c>
      <c r="G223" s="184" t="s">
        <v>90</v>
      </c>
      <c r="H223" s="186">
        <v>7.0</v>
      </c>
      <c r="I223" s="184" t="s">
        <v>1932</v>
      </c>
      <c r="J223" s="184" t="s">
        <v>1146</v>
      </c>
      <c r="K223" s="187" t="s">
        <v>1933</v>
      </c>
      <c r="L223" s="184" t="s">
        <v>92</v>
      </c>
      <c r="M223" s="184" t="s">
        <v>1934</v>
      </c>
      <c r="N223" s="184" t="s">
        <v>36</v>
      </c>
      <c r="O223" s="186" t="s">
        <v>1935</v>
      </c>
      <c r="P223" s="188"/>
      <c r="Q223" s="184" t="s">
        <v>36</v>
      </c>
      <c r="R223" s="186">
        <v>3.43518007E8</v>
      </c>
      <c r="S223" s="185">
        <v>43017.0</v>
      </c>
      <c r="T223" s="184" t="s">
        <v>1936</v>
      </c>
      <c r="U223" s="186" t="s">
        <v>1937</v>
      </c>
      <c r="V223" s="184" t="s">
        <v>1938</v>
      </c>
      <c r="W223" s="187" t="s">
        <v>1939</v>
      </c>
      <c r="X223" s="184" t="s">
        <v>1940</v>
      </c>
      <c r="Y223" s="187" t="s">
        <v>1941</v>
      </c>
      <c r="Z223" s="131" t="s">
        <v>43</v>
      </c>
      <c r="AA223" s="186">
        <v>2.0</v>
      </c>
      <c r="AB223" s="189" t="s">
        <v>1942</v>
      </c>
      <c r="AC223" s="120" t="s">
        <v>1152</v>
      </c>
      <c r="AD223" s="189" t="s">
        <v>1943</v>
      </c>
      <c r="AE223" s="190" t="s">
        <v>1944</v>
      </c>
      <c r="AF223" s="188"/>
    </row>
    <row r="224">
      <c r="A224" s="135" t="s">
        <v>157</v>
      </c>
      <c r="B224" s="92" t="s">
        <v>1143</v>
      </c>
      <c r="C224" s="92" t="s">
        <v>141</v>
      </c>
      <c r="D224" s="149">
        <v>46003.0</v>
      </c>
      <c r="E224" s="150" t="s">
        <v>1945</v>
      </c>
      <c r="F224" s="151">
        <v>45999.0</v>
      </c>
      <c r="G224" s="150" t="s">
        <v>90</v>
      </c>
      <c r="H224" s="114">
        <v>6.0</v>
      </c>
      <c r="I224" s="150" t="s">
        <v>1909</v>
      </c>
      <c r="J224" s="92" t="s">
        <v>1910</v>
      </c>
      <c r="K224" s="157"/>
      <c r="L224" s="127" t="s">
        <v>92</v>
      </c>
      <c r="M224" s="150" t="s">
        <v>1946</v>
      </c>
      <c r="N224" s="92" t="s">
        <v>44</v>
      </c>
      <c r="O224" s="127"/>
      <c r="P224" s="127" t="s">
        <v>1912</v>
      </c>
      <c r="Q224" s="127" t="s">
        <v>1913</v>
      </c>
      <c r="R224" s="127">
        <v>2.29567268E8</v>
      </c>
      <c r="S224" s="153">
        <v>42950.0</v>
      </c>
      <c r="T224" s="150" t="s">
        <v>331</v>
      </c>
      <c r="U224" s="127" t="s">
        <v>1914</v>
      </c>
      <c r="V224" s="127" t="s">
        <v>1915</v>
      </c>
      <c r="W224" s="154" t="s">
        <v>1916</v>
      </c>
      <c r="X224" s="150" t="s">
        <v>1917</v>
      </c>
      <c r="Y224" s="152" t="s">
        <v>1918</v>
      </c>
      <c r="Z224" s="119" t="s">
        <v>43</v>
      </c>
      <c r="AA224" s="111">
        <v>6.0</v>
      </c>
      <c r="AB224" s="155" t="s">
        <v>36</v>
      </c>
      <c r="AC224" s="92" t="s">
        <v>1552</v>
      </c>
      <c r="AD224" s="92"/>
      <c r="AE224" s="127"/>
      <c r="AF224" s="127"/>
    </row>
    <row r="225" hidden="1">
      <c r="A225" s="108" t="s">
        <v>157</v>
      </c>
      <c r="B225" s="120" t="s">
        <v>140</v>
      </c>
      <c r="C225" s="120" t="s">
        <v>141</v>
      </c>
      <c r="D225" s="121">
        <v>45662.0</v>
      </c>
      <c r="E225" s="120" t="s">
        <v>500</v>
      </c>
      <c r="F225" s="122"/>
      <c r="G225" s="120" t="s">
        <v>31</v>
      </c>
      <c r="H225" s="123">
        <f>IFERROR(__xludf.DUMMYFUNCTION("IF(ISDATE(S225), DATEDIF(S225, TODAY(), ""Y""), """")"),7.0)</f>
        <v>7</v>
      </c>
      <c r="I225" s="139"/>
      <c r="J225" s="120" t="s">
        <v>742</v>
      </c>
      <c r="K225" s="139"/>
      <c r="L225" s="120" t="s">
        <v>92</v>
      </c>
      <c r="M225" s="120" t="s">
        <v>141</v>
      </c>
      <c r="N225" s="120" t="s">
        <v>44</v>
      </c>
      <c r="O225" s="120" t="s">
        <v>37</v>
      </c>
      <c r="P225" s="139"/>
      <c r="Q225" s="120" t="s">
        <v>44</v>
      </c>
      <c r="R225" s="122">
        <v>3.438363E8</v>
      </c>
      <c r="S225" s="121">
        <v>43331.0</v>
      </c>
      <c r="T225" s="120" t="s">
        <v>38</v>
      </c>
      <c r="U225" s="182">
        <v>45357.0</v>
      </c>
      <c r="V225" s="120" t="s">
        <v>169</v>
      </c>
      <c r="W225" s="123">
        <v>5.4643313E8</v>
      </c>
      <c r="X225" s="120" t="s">
        <v>1947</v>
      </c>
      <c r="Y225" s="122">
        <v>5.4643313E8</v>
      </c>
      <c r="Z225" s="124" t="s">
        <v>1112</v>
      </c>
      <c r="AA225" s="122">
        <v>0.0</v>
      </c>
      <c r="AB225" s="120" t="s">
        <v>1948</v>
      </c>
      <c r="AC225" s="120" t="s">
        <v>169</v>
      </c>
      <c r="AD225" s="120"/>
      <c r="AE225" s="120"/>
      <c r="AF225" s="120" t="s">
        <v>1949</v>
      </c>
    </row>
    <row r="226" hidden="1">
      <c r="A226" s="84" t="s">
        <v>157</v>
      </c>
      <c r="B226" s="92" t="s">
        <v>1143</v>
      </c>
      <c r="C226" s="92" t="s">
        <v>238</v>
      </c>
      <c r="D226" s="149"/>
      <c r="E226" s="191" t="s">
        <v>1950</v>
      </c>
      <c r="F226" s="192">
        <v>45925.0</v>
      </c>
      <c r="G226" s="191" t="s">
        <v>31</v>
      </c>
      <c r="H226" s="193">
        <v>7.0</v>
      </c>
      <c r="I226" s="191" t="s">
        <v>1951</v>
      </c>
      <c r="J226" s="191" t="s">
        <v>1952</v>
      </c>
      <c r="K226" s="194"/>
      <c r="L226" s="191" t="s">
        <v>92</v>
      </c>
      <c r="M226" s="191" t="s">
        <v>1953</v>
      </c>
      <c r="N226" s="191" t="s">
        <v>36</v>
      </c>
      <c r="O226" s="191" t="s">
        <v>1954</v>
      </c>
      <c r="P226" s="194"/>
      <c r="Q226" s="191" t="s">
        <v>1955</v>
      </c>
      <c r="R226" s="193">
        <v>3.44897418E8</v>
      </c>
      <c r="S226" s="192">
        <v>43340.0</v>
      </c>
      <c r="T226" s="193" t="s">
        <v>1956</v>
      </c>
      <c r="U226" s="193" t="s">
        <v>1957</v>
      </c>
      <c r="V226" s="191" t="s">
        <v>1727</v>
      </c>
      <c r="W226" s="195" t="s">
        <v>1958</v>
      </c>
      <c r="X226" s="191" t="s">
        <v>1959</v>
      </c>
      <c r="Y226" s="195" t="s">
        <v>1960</v>
      </c>
      <c r="Z226" s="119" t="s">
        <v>43</v>
      </c>
      <c r="AA226" s="191" t="s">
        <v>1961</v>
      </c>
      <c r="AB226" s="196"/>
      <c r="AC226" s="92" t="s">
        <v>1152</v>
      </c>
      <c r="AD226" s="197" t="s">
        <v>1962</v>
      </c>
      <c r="AE226" s="191" t="s">
        <v>1963</v>
      </c>
      <c r="AF226" s="194"/>
    </row>
    <row r="227" hidden="1">
      <c r="A227" s="144" t="s">
        <v>157</v>
      </c>
      <c r="B227" s="120" t="s">
        <v>1143</v>
      </c>
      <c r="C227" s="120" t="s">
        <v>141</v>
      </c>
      <c r="D227" s="130" t="s">
        <v>1229</v>
      </c>
      <c r="E227" s="134" t="s">
        <v>1964</v>
      </c>
      <c r="F227" s="133" t="s">
        <v>1965</v>
      </c>
      <c r="G227" s="128" t="s">
        <v>90</v>
      </c>
      <c r="H227" s="123">
        <f>IFERROR(__xludf.DUMMYFUNCTION("IF(ISDATE(S227), DATEDIF(S227, TODAY(), ""Y""), """")"),7.0)</f>
        <v>7</v>
      </c>
      <c r="I227" s="128" t="s">
        <v>1966</v>
      </c>
      <c r="J227" s="128" t="s">
        <v>1967</v>
      </c>
      <c r="K227" s="131"/>
      <c r="L227" s="128" t="s">
        <v>92</v>
      </c>
      <c r="M227" s="128" t="s">
        <v>1968</v>
      </c>
      <c r="N227" s="128" t="s">
        <v>36</v>
      </c>
      <c r="O227" s="134" t="s">
        <v>1969</v>
      </c>
      <c r="P227" s="131"/>
      <c r="Q227" s="134" t="s">
        <v>44</v>
      </c>
      <c r="R227" s="128">
        <v>3.4492573E8</v>
      </c>
      <c r="S227" s="132">
        <v>43241.0</v>
      </c>
      <c r="T227" s="128" t="s">
        <v>1970</v>
      </c>
      <c r="U227" s="128" t="s">
        <v>1971</v>
      </c>
      <c r="V227" s="128" t="s">
        <v>1972</v>
      </c>
      <c r="W227" s="128">
        <v>5.26023521E8</v>
      </c>
      <c r="X227" s="128" t="s">
        <v>1973</v>
      </c>
      <c r="Y227" s="128">
        <v>5.46440784E8</v>
      </c>
      <c r="Z227" s="134" t="s">
        <v>1429</v>
      </c>
      <c r="AA227" s="128">
        <v>1.0</v>
      </c>
      <c r="AB227" s="124" t="s">
        <v>934</v>
      </c>
      <c r="AC227" s="133" t="s">
        <v>1152</v>
      </c>
      <c r="AD227" s="124" t="s">
        <v>1974</v>
      </c>
      <c r="AE227" s="130" t="s">
        <v>1975</v>
      </c>
      <c r="AF227" s="124" t="s">
        <v>1976</v>
      </c>
    </row>
    <row r="228" hidden="1">
      <c r="A228" s="108" t="s">
        <v>157</v>
      </c>
      <c r="B228" s="92" t="s">
        <v>140</v>
      </c>
      <c r="C228" s="92" t="s">
        <v>238</v>
      </c>
      <c r="D228" s="126">
        <v>45928.0</v>
      </c>
      <c r="E228" s="108" t="s">
        <v>1977</v>
      </c>
      <c r="F228" s="111"/>
      <c r="G228" s="92" t="s">
        <v>90</v>
      </c>
      <c r="H228" s="136">
        <f>IFERROR(__xludf.DUMMYFUNCTION("IF(ISDATE(S228), DATEDIF(S228, TODAY(), ""Y""), """")"),15.0)</f>
        <v>15</v>
      </c>
      <c r="I228" s="92" t="s">
        <v>1978</v>
      </c>
      <c r="J228" s="92" t="s">
        <v>1979</v>
      </c>
      <c r="K228" s="127"/>
      <c r="L228" s="92" t="s">
        <v>92</v>
      </c>
      <c r="M228" s="92" t="s">
        <v>1980</v>
      </c>
      <c r="N228" s="92" t="s">
        <v>44</v>
      </c>
      <c r="O228" s="127"/>
      <c r="P228" s="92" t="s">
        <v>1981</v>
      </c>
      <c r="Q228" s="92" t="s">
        <v>44</v>
      </c>
      <c r="R228" s="111">
        <v>2.19748787E8</v>
      </c>
      <c r="S228" s="126">
        <v>40515.0</v>
      </c>
      <c r="T228" s="92" t="s">
        <v>244</v>
      </c>
      <c r="U228" s="141">
        <v>44855.0</v>
      </c>
      <c r="V228" s="92" t="s">
        <v>1982</v>
      </c>
      <c r="W228" s="136">
        <v>5.23964281E8</v>
      </c>
      <c r="X228" s="92" t="s">
        <v>1983</v>
      </c>
      <c r="Y228" s="111">
        <v>5.04954957E8</v>
      </c>
      <c r="Z228" s="117" t="s">
        <v>43</v>
      </c>
      <c r="AA228" s="111">
        <v>3.0</v>
      </c>
      <c r="AB228" s="92" t="s">
        <v>1984</v>
      </c>
      <c r="AC228" s="92" t="s">
        <v>169</v>
      </c>
      <c r="AD228" s="92"/>
      <c r="AE228" s="92"/>
      <c r="AF228" s="92" t="s">
        <v>1985</v>
      </c>
    </row>
    <row r="229" hidden="1">
      <c r="A229" s="135" t="s">
        <v>157</v>
      </c>
      <c r="B229" s="120" t="s">
        <v>140</v>
      </c>
      <c r="C229" s="120" t="s">
        <v>141</v>
      </c>
      <c r="D229" s="121">
        <v>45977.0</v>
      </c>
      <c r="E229" s="120" t="s">
        <v>1986</v>
      </c>
      <c r="F229" s="122" t="s">
        <v>1987</v>
      </c>
      <c r="G229" s="120" t="s">
        <v>90</v>
      </c>
      <c r="H229" s="130">
        <f>IFERROR(__xludf.DUMMYFUNCTION("IF(ISDATE(S229), DATEDIF(S229, TODAY(), ""Y""), """")"),14.0)</f>
        <v>14</v>
      </c>
      <c r="I229" s="120" t="s">
        <v>1988</v>
      </c>
      <c r="J229" s="120" t="s">
        <v>1115</v>
      </c>
      <c r="K229" s="122">
        <v>5.07851968E8</v>
      </c>
      <c r="L229" s="120" t="s">
        <v>649</v>
      </c>
      <c r="M229" s="120" t="s">
        <v>141</v>
      </c>
      <c r="N229" s="120" t="s">
        <v>44</v>
      </c>
      <c r="O229" s="120" t="s">
        <v>1989</v>
      </c>
      <c r="P229" s="139"/>
      <c r="Q229" s="120" t="s">
        <v>44</v>
      </c>
      <c r="R229" s="122">
        <v>2.19814985E8</v>
      </c>
      <c r="S229" s="121">
        <v>40843.0</v>
      </c>
      <c r="T229" s="120" t="s">
        <v>1990</v>
      </c>
      <c r="U229" s="158">
        <v>44528.0</v>
      </c>
      <c r="V229" s="120" t="s">
        <v>1991</v>
      </c>
      <c r="W229" s="122">
        <v>5.44780788E8</v>
      </c>
      <c r="X229" s="120" t="s">
        <v>184</v>
      </c>
      <c r="Y229" s="122">
        <v>5.07851968E8</v>
      </c>
      <c r="Z229" s="124" t="s">
        <v>43</v>
      </c>
      <c r="AA229" s="122">
        <v>3.0</v>
      </c>
      <c r="AB229" s="120"/>
      <c r="AC229" s="120" t="s">
        <v>156</v>
      </c>
      <c r="AD229" s="120"/>
      <c r="AE229" s="139"/>
      <c r="AF229" s="120" t="s">
        <v>1992</v>
      </c>
    </row>
    <row r="230" hidden="1">
      <c r="A230" s="108" t="s">
        <v>157</v>
      </c>
      <c r="B230" s="92" t="s">
        <v>140</v>
      </c>
      <c r="C230" s="111" t="s">
        <v>238</v>
      </c>
      <c r="D230" s="126">
        <v>45928.0</v>
      </c>
      <c r="E230" s="198" t="s">
        <v>1993</v>
      </c>
      <c r="F230" s="111" t="s">
        <v>674</v>
      </c>
      <c r="G230" s="92" t="s">
        <v>90</v>
      </c>
      <c r="H230" s="114">
        <f>IFERROR(__xludf.DUMMYFUNCTION("IF(ISDATE(S230), DATEDIF(S230, TODAY(), ""Y""), """")"),14.0)</f>
        <v>14</v>
      </c>
      <c r="I230" s="92" t="s">
        <v>1994</v>
      </c>
      <c r="J230" s="92" t="s">
        <v>1995</v>
      </c>
      <c r="K230" s="111">
        <v>5.24000519E8</v>
      </c>
      <c r="L230" s="92" t="s">
        <v>49</v>
      </c>
      <c r="M230" s="92" t="s">
        <v>79</v>
      </c>
      <c r="N230" s="92" t="s">
        <v>36</v>
      </c>
      <c r="O230" s="92" t="s">
        <v>1996</v>
      </c>
      <c r="P230" s="127"/>
      <c r="Q230" s="92" t="s">
        <v>1997</v>
      </c>
      <c r="R230" s="111">
        <v>2.19841459E8</v>
      </c>
      <c r="S230" s="126">
        <v>40820.0</v>
      </c>
      <c r="T230" s="92" t="s">
        <v>726</v>
      </c>
      <c r="U230" s="92" t="s">
        <v>1998</v>
      </c>
      <c r="V230" s="92" t="s">
        <v>689</v>
      </c>
      <c r="W230" s="111">
        <v>5.48111976E8</v>
      </c>
      <c r="X230" s="92" t="s">
        <v>1407</v>
      </c>
      <c r="Y230" s="111">
        <v>5.47926226E8</v>
      </c>
      <c r="Z230" s="117" t="s">
        <v>43</v>
      </c>
      <c r="AA230" s="111">
        <v>2.0</v>
      </c>
      <c r="AB230" s="92"/>
      <c r="AC230" s="92" t="s">
        <v>156</v>
      </c>
      <c r="AD230" s="127"/>
      <c r="AE230" s="127"/>
      <c r="AF230" s="92" t="s">
        <v>1999</v>
      </c>
    </row>
    <row r="231" hidden="1">
      <c r="A231" s="120" t="s">
        <v>157</v>
      </c>
      <c r="B231" s="120" t="s">
        <v>158</v>
      </c>
      <c r="C231" s="120" t="s">
        <v>159</v>
      </c>
      <c r="D231" s="124" t="s">
        <v>142</v>
      </c>
      <c r="E231" s="128" t="s">
        <v>2000</v>
      </c>
      <c r="F231" s="129" t="s">
        <v>889</v>
      </c>
      <c r="G231" s="128" t="s">
        <v>90</v>
      </c>
      <c r="H231" s="130">
        <f>IFERROR(__xludf.DUMMYFUNCTION("IF(ISDATE(S231), DATEDIF(S231, TODAY(), ""Y""), """")"),4.0)</f>
        <v>4</v>
      </c>
      <c r="I231" s="128" t="s">
        <v>2001</v>
      </c>
      <c r="J231" s="128" t="s">
        <v>590</v>
      </c>
      <c r="K231" s="131">
        <v>5.47846222E8</v>
      </c>
      <c r="L231" s="128" t="s">
        <v>92</v>
      </c>
      <c r="M231" s="128" t="s">
        <v>79</v>
      </c>
      <c r="N231" s="128" t="s">
        <v>44</v>
      </c>
      <c r="O231" s="128"/>
      <c r="P231" s="131"/>
      <c r="Q231" s="128" t="s">
        <v>36</v>
      </c>
      <c r="R231" s="128">
        <v>2.35486735E8</v>
      </c>
      <c r="S231" s="132">
        <v>44432.0</v>
      </c>
      <c r="T231" s="128" t="s">
        <v>38</v>
      </c>
      <c r="U231" s="128">
        <v>44432.0</v>
      </c>
      <c r="V231" s="128" t="s">
        <v>2002</v>
      </c>
      <c r="W231" s="128">
        <v>5.42078422E8</v>
      </c>
      <c r="X231" s="128" t="s">
        <v>2003</v>
      </c>
      <c r="Y231" s="128">
        <v>5.47846222E8</v>
      </c>
      <c r="Z231" s="124"/>
      <c r="AA231" s="133">
        <v>1.0</v>
      </c>
      <c r="AB231" s="134"/>
      <c r="AC231" s="120" t="s">
        <v>169</v>
      </c>
      <c r="AD231" s="131"/>
      <c r="AE231" s="131"/>
      <c r="AF231" s="131"/>
    </row>
    <row r="232" hidden="1">
      <c r="A232" s="135" t="s">
        <v>157</v>
      </c>
      <c r="B232" s="92" t="s">
        <v>140</v>
      </c>
      <c r="C232" s="92" t="s">
        <v>141</v>
      </c>
      <c r="D232" s="148">
        <v>45937.0</v>
      </c>
      <c r="E232" s="117" t="s">
        <v>2004</v>
      </c>
      <c r="F232" s="146">
        <v>45763.0</v>
      </c>
      <c r="G232" s="117" t="s">
        <v>90</v>
      </c>
      <c r="H232" s="114">
        <f>IFERROR(__xludf.DUMMYFUNCTION("IF(ISDATE(S232), DATEDIF(S232, TODAY(), ""Y""), """")"),14.0)</f>
        <v>14</v>
      </c>
      <c r="I232" s="117" t="s">
        <v>2005</v>
      </c>
      <c r="J232" s="117" t="s">
        <v>2006</v>
      </c>
      <c r="K232" s="147" t="s">
        <v>2007</v>
      </c>
      <c r="L232" s="117" t="s">
        <v>92</v>
      </c>
      <c r="M232" s="117" t="s">
        <v>405</v>
      </c>
      <c r="N232" s="117" t="s">
        <v>44</v>
      </c>
      <c r="O232" s="117"/>
      <c r="P232" s="119"/>
      <c r="Q232" s="117" t="s">
        <v>44</v>
      </c>
      <c r="R232" s="114">
        <v>2.20315196E8</v>
      </c>
      <c r="S232" s="148">
        <v>40686.0</v>
      </c>
      <c r="T232" s="117" t="s">
        <v>2008</v>
      </c>
      <c r="U232" s="114" t="s">
        <v>2009</v>
      </c>
      <c r="V232" s="117" t="s">
        <v>2010</v>
      </c>
      <c r="W232" s="147" t="s">
        <v>2011</v>
      </c>
      <c r="X232" s="117" t="s">
        <v>1037</v>
      </c>
      <c r="Y232" s="147" t="s">
        <v>2012</v>
      </c>
      <c r="Z232" s="117" t="s">
        <v>43</v>
      </c>
      <c r="AA232" s="114">
        <v>2.0</v>
      </c>
      <c r="AB232" s="117" t="s">
        <v>2013</v>
      </c>
      <c r="AC232" s="92" t="s">
        <v>156</v>
      </c>
      <c r="AD232" s="119"/>
      <c r="AE232" s="119"/>
      <c r="AF232" s="117" t="s">
        <v>2014</v>
      </c>
    </row>
    <row r="233" hidden="1">
      <c r="A233" s="144" t="s">
        <v>157</v>
      </c>
      <c r="B233" s="120" t="s">
        <v>140</v>
      </c>
      <c r="C233" s="120" t="s">
        <v>409</v>
      </c>
      <c r="D233" s="122" t="s">
        <v>1229</v>
      </c>
      <c r="E233" s="120" t="s">
        <v>2015</v>
      </c>
      <c r="F233" s="158">
        <v>44208.0</v>
      </c>
      <c r="G233" s="120" t="s">
        <v>31</v>
      </c>
      <c r="H233" s="130">
        <f>IFERROR(__xludf.DUMMYFUNCTION("IF(ISDATE(S233), DATEDIF(S233, TODAY(), ""Y""), """")"),13.0)</f>
        <v>13</v>
      </c>
      <c r="I233" s="120" t="s">
        <v>2016</v>
      </c>
      <c r="J233" s="120" t="s">
        <v>33</v>
      </c>
      <c r="K233" s="122">
        <v>5.09123093E8</v>
      </c>
      <c r="L233" s="120" t="s">
        <v>208</v>
      </c>
      <c r="M233" s="120" t="s">
        <v>2017</v>
      </c>
      <c r="N233" s="120" t="s">
        <v>44</v>
      </c>
      <c r="O233" s="139"/>
      <c r="P233" s="120" t="s">
        <v>2018</v>
      </c>
      <c r="Q233" s="120" t="s">
        <v>2019</v>
      </c>
      <c r="R233" s="122">
        <v>2.21313646E8</v>
      </c>
      <c r="S233" s="121">
        <v>40973.0</v>
      </c>
      <c r="T233" s="120" t="s">
        <v>2020</v>
      </c>
      <c r="U233" s="158">
        <v>44138.0</v>
      </c>
      <c r="V233" s="120" t="s">
        <v>635</v>
      </c>
      <c r="W233" s="122">
        <v>5.06808269E8</v>
      </c>
      <c r="X233" s="120" t="s">
        <v>2021</v>
      </c>
      <c r="Y233" s="122">
        <v>5.0680822E8</v>
      </c>
      <c r="Z233" s="124" t="s">
        <v>1112</v>
      </c>
      <c r="AA233" s="122">
        <v>0.0</v>
      </c>
      <c r="AB233" s="120" t="s">
        <v>2022</v>
      </c>
      <c r="AC233" s="120" t="s">
        <v>156</v>
      </c>
      <c r="AD233" s="139"/>
      <c r="AE233" s="139"/>
      <c r="AF233" s="120" t="s">
        <v>2023</v>
      </c>
    </row>
    <row r="234" hidden="1">
      <c r="A234" s="135" t="s">
        <v>157</v>
      </c>
      <c r="B234" s="92" t="s">
        <v>140</v>
      </c>
      <c r="C234" s="92" t="s">
        <v>238</v>
      </c>
      <c r="D234" s="126" t="s">
        <v>204</v>
      </c>
      <c r="E234" s="92" t="s">
        <v>2024</v>
      </c>
      <c r="F234" s="111" t="s">
        <v>2025</v>
      </c>
      <c r="G234" s="92" t="s">
        <v>90</v>
      </c>
      <c r="H234" s="136">
        <f>IFERROR(__xludf.DUMMYFUNCTION("IF(ISDATE(S234), DATEDIF(S234, TODAY(), ""Y""), """")"),13.0)</f>
        <v>13</v>
      </c>
      <c r="I234" s="92" t="s">
        <v>2026</v>
      </c>
      <c r="J234" s="92" t="s">
        <v>668</v>
      </c>
      <c r="K234" s="111" t="s">
        <v>2027</v>
      </c>
      <c r="L234" s="92" t="s">
        <v>2028</v>
      </c>
      <c r="M234" s="92" t="s">
        <v>2029</v>
      </c>
      <c r="N234" s="92" t="s">
        <v>36</v>
      </c>
      <c r="O234" s="92" t="s">
        <v>36</v>
      </c>
      <c r="P234" s="92" t="s">
        <v>2030</v>
      </c>
      <c r="Q234" s="92" t="s">
        <v>44</v>
      </c>
      <c r="R234" s="111">
        <v>2.21344195E8</v>
      </c>
      <c r="S234" s="126">
        <v>41078.0</v>
      </c>
      <c r="T234" s="92" t="s">
        <v>2031</v>
      </c>
      <c r="U234" s="183">
        <v>43988.0</v>
      </c>
      <c r="V234" s="92" t="s">
        <v>2032</v>
      </c>
      <c r="W234" s="111">
        <v>5.46210971E8</v>
      </c>
      <c r="X234" s="92" t="s">
        <v>42</v>
      </c>
      <c r="Y234" s="111">
        <v>5.49258564E8</v>
      </c>
      <c r="Z234" s="117" t="s">
        <v>43</v>
      </c>
      <c r="AA234" s="111">
        <v>2.0</v>
      </c>
      <c r="AB234" s="92" t="s">
        <v>2033</v>
      </c>
      <c r="AC234" s="92" t="s">
        <v>169</v>
      </c>
      <c r="AD234" s="92" t="s">
        <v>2034</v>
      </c>
      <c r="AE234" s="127"/>
      <c r="AF234" s="92" t="s">
        <v>2035</v>
      </c>
    </row>
    <row r="235" hidden="1">
      <c r="A235" s="144" t="s">
        <v>157</v>
      </c>
      <c r="B235" s="120" t="s">
        <v>140</v>
      </c>
      <c r="C235" s="120" t="s">
        <v>159</v>
      </c>
      <c r="D235" s="122" t="s">
        <v>1229</v>
      </c>
      <c r="E235" s="120" t="s">
        <v>2036</v>
      </c>
      <c r="F235" s="130" t="s">
        <v>2037</v>
      </c>
      <c r="G235" s="120" t="s">
        <v>31</v>
      </c>
      <c r="H235" s="123">
        <f>IFERROR(__xludf.DUMMYFUNCTION("IF(ISDATE(S235), DATEDIF(S235, TODAY(), ""Y""), """")"),5.0)</f>
        <v>5</v>
      </c>
      <c r="I235" s="122" t="s">
        <v>2038</v>
      </c>
      <c r="J235" s="120" t="s">
        <v>2039</v>
      </c>
      <c r="K235" s="139"/>
      <c r="L235" s="120" t="s">
        <v>92</v>
      </c>
      <c r="M235" s="120" t="s">
        <v>1403</v>
      </c>
      <c r="N235" s="122" t="s">
        <v>44</v>
      </c>
      <c r="O235" s="120" t="s">
        <v>1287</v>
      </c>
      <c r="P235" s="122" t="s">
        <v>2040</v>
      </c>
      <c r="Q235" s="120" t="s">
        <v>44</v>
      </c>
      <c r="R235" s="122">
        <v>2.35722402E8</v>
      </c>
      <c r="S235" s="121">
        <v>44198.0</v>
      </c>
      <c r="T235" s="120" t="s">
        <v>2041</v>
      </c>
      <c r="U235" s="120" t="s">
        <v>1707</v>
      </c>
      <c r="V235" s="120" t="s">
        <v>2042</v>
      </c>
      <c r="W235" s="122">
        <v>5.09165216E8</v>
      </c>
      <c r="X235" s="120" t="s">
        <v>2043</v>
      </c>
      <c r="Y235" s="122">
        <v>5.49493599E8</v>
      </c>
      <c r="Z235" s="124" t="s">
        <v>43</v>
      </c>
      <c r="AA235" s="122">
        <v>1.0</v>
      </c>
      <c r="AB235" s="124"/>
      <c r="AC235" s="120" t="s">
        <v>169</v>
      </c>
      <c r="AD235" s="120" t="s">
        <v>2044</v>
      </c>
      <c r="AE235" s="120"/>
      <c r="AF235" s="120" t="s">
        <v>2045</v>
      </c>
    </row>
    <row r="236" hidden="1">
      <c r="A236" s="144" t="s">
        <v>157</v>
      </c>
      <c r="B236" s="92" t="s">
        <v>140</v>
      </c>
      <c r="C236" s="111" t="s">
        <v>409</v>
      </c>
      <c r="D236" s="111" t="s">
        <v>1229</v>
      </c>
      <c r="E236" s="92" t="s">
        <v>2046</v>
      </c>
      <c r="F236" s="111"/>
      <c r="G236" s="92" t="s">
        <v>31</v>
      </c>
      <c r="H236" s="114">
        <f>IFERROR(__xludf.DUMMYFUNCTION("IF(ISDATE(S236), DATEDIF(S236, TODAY(), ""Y""), """")"),14.0)</f>
        <v>14</v>
      </c>
      <c r="I236" s="92" t="s">
        <v>2047</v>
      </c>
      <c r="J236" s="92" t="s">
        <v>656</v>
      </c>
      <c r="K236" s="127"/>
      <c r="L236" s="92" t="s">
        <v>92</v>
      </c>
      <c r="M236" s="92" t="s">
        <v>2048</v>
      </c>
      <c r="N236" s="92" t="s">
        <v>44</v>
      </c>
      <c r="O236" s="111" t="s">
        <v>2049</v>
      </c>
      <c r="P236" s="92" t="s">
        <v>2050</v>
      </c>
      <c r="Q236" s="92" t="s">
        <v>44</v>
      </c>
      <c r="R236" s="111">
        <v>2.2171013E8</v>
      </c>
      <c r="S236" s="126">
        <v>40609.0</v>
      </c>
      <c r="T236" s="92" t="s">
        <v>82</v>
      </c>
      <c r="U236" s="111" t="s">
        <v>2051</v>
      </c>
      <c r="V236" s="92" t="s">
        <v>2052</v>
      </c>
      <c r="W236" s="136">
        <v>5.05645678E8</v>
      </c>
      <c r="X236" s="92" t="s">
        <v>2053</v>
      </c>
      <c r="Y236" s="111">
        <v>5.09226624E8</v>
      </c>
      <c r="Z236" s="117" t="s">
        <v>43</v>
      </c>
      <c r="AA236" s="111">
        <v>6.0</v>
      </c>
      <c r="AB236" s="127"/>
      <c r="AC236" s="92" t="s">
        <v>156</v>
      </c>
      <c r="AD236" s="127"/>
      <c r="AE236" s="127"/>
      <c r="AF236" s="92" t="s">
        <v>2054</v>
      </c>
    </row>
    <row r="237" hidden="1">
      <c r="A237" s="120" t="s">
        <v>157</v>
      </c>
      <c r="B237" s="120" t="s">
        <v>158</v>
      </c>
      <c r="C237" s="120" t="s">
        <v>159</v>
      </c>
      <c r="D237" s="121" t="s">
        <v>2055</v>
      </c>
      <c r="E237" s="120" t="s">
        <v>2056</v>
      </c>
      <c r="F237" s="120"/>
      <c r="G237" s="120" t="s">
        <v>31</v>
      </c>
      <c r="H237" s="130">
        <f>IFERROR(__xludf.DUMMYFUNCTION("IF(ISDATE(S237), DATEDIF(S237, TODAY(), ""Y""), """")"),4.0)</f>
        <v>4</v>
      </c>
      <c r="I237" s="120" t="s">
        <v>2057</v>
      </c>
      <c r="J237" s="120" t="s">
        <v>2058</v>
      </c>
      <c r="K237" s="139"/>
      <c r="L237" s="120" t="s">
        <v>92</v>
      </c>
      <c r="M237" s="120" t="s">
        <v>2059</v>
      </c>
      <c r="N237" s="120" t="s">
        <v>44</v>
      </c>
      <c r="O237" s="120"/>
      <c r="P237" s="120" t="s">
        <v>687</v>
      </c>
      <c r="Q237" s="120" t="s">
        <v>44</v>
      </c>
      <c r="R237" s="122">
        <v>2.35821659E8</v>
      </c>
      <c r="S237" s="121">
        <v>44426.0</v>
      </c>
      <c r="T237" s="120" t="s">
        <v>244</v>
      </c>
      <c r="U237" s="182">
        <v>45078.0</v>
      </c>
      <c r="V237" s="120" t="s">
        <v>2060</v>
      </c>
      <c r="W237" s="123">
        <v>5.02697329E8</v>
      </c>
      <c r="X237" s="120" t="s">
        <v>2061</v>
      </c>
      <c r="Y237" s="122">
        <v>5.47403713E8</v>
      </c>
      <c r="Z237" s="124" t="s">
        <v>43</v>
      </c>
      <c r="AA237" s="122">
        <v>0.0</v>
      </c>
      <c r="AB237" s="120"/>
      <c r="AC237" s="120" t="s">
        <v>169</v>
      </c>
      <c r="AD237" s="120"/>
      <c r="AE237" s="139"/>
      <c r="AF237" s="139"/>
    </row>
    <row r="238" hidden="1">
      <c r="A238" s="144" t="s">
        <v>157</v>
      </c>
      <c r="B238" s="92" t="s">
        <v>140</v>
      </c>
      <c r="C238" s="92" t="s">
        <v>141</v>
      </c>
      <c r="D238" s="114" t="s">
        <v>1229</v>
      </c>
      <c r="E238" s="113" t="s">
        <v>2062</v>
      </c>
      <c r="F238" s="137">
        <v>45867.0</v>
      </c>
      <c r="G238" s="113" t="s">
        <v>90</v>
      </c>
      <c r="H238" s="114">
        <f>IFERROR(__xludf.DUMMYFUNCTION("IF(ISDATE(S238), DATEDIF(S238, TODAY(), ""Y""), """")"),12.0)</f>
        <v>12</v>
      </c>
      <c r="I238" s="113" t="s">
        <v>2063</v>
      </c>
      <c r="J238" s="113" t="s">
        <v>701</v>
      </c>
      <c r="K238" s="199" t="s">
        <v>2064</v>
      </c>
      <c r="L238" s="113" t="s">
        <v>2065</v>
      </c>
      <c r="M238" s="116" t="s">
        <v>2066</v>
      </c>
      <c r="N238" s="113" t="s">
        <v>44</v>
      </c>
      <c r="O238" s="113"/>
      <c r="P238" s="119" t="s">
        <v>2067</v>
      </c>
      <c r="Q238" s="113" t="s">
        <v>44</v>
      </c>
      <c r="R238" s="113">
        <v>2.21715162E8</v>
      </c>
      <c r="S238" s="118">
        <v>41386.0</v>
      </c>
      <c r="T238" s="113" t="s">
        <v>2068</v>
      </c>
      <c r="U238" s="113" t="s">
        <v>2069</v>
      </c>
      <c r="V238" s="113" t="s">
        <v>40</v>
      </c>
      <c r="W238" s="115" t="s">
        <v>2070</v>
      </c>
      <c r="X238" s="113" t="s">
        <v>2071</v>
      </c>
      <c r="Y238" s="115" t="s">
        <v>2072</v>
      </c>
      <c r="Z238" s="117" t="s">
        <v>43</v>
      </c>
      <c r="AA238" s="113">
        <v>2.0</v>
      </c>
      <c r="AB238" s="116" t="s">
        <v>2073</v>
      </c>
      <c r="AC238" s="116" t="s">
        <v>156</v>
      </c>
      <c r="AD238" s="119"/>
      <c r="AE238" s="119"/>
      <c r="AF238" s="117" t="s">
        <v>2074</v>
      </c>
    </row>
    <row r="239" hidden="1">
      <c r="A239" s="108" t="s">
        <v>157</v>
      </c>
      <c r="B239" s="120" t="s">
        <v>140</v>
      </c>
      <c r="C239" s="122" t="s">
        <v>238</v>
      </c>
      <c r="D239" s="175" t="s">
        <v>2075</v>
      </c>
      <c r="E239" s="128" t="s">
        <v>2076</v>
      </c>
      <c r="F239" s="175">
        <v>45975.0</v>
      </c>
      <c r="G239" s="128" t="s">
        <v>90</v>
      </c>
      <c r="H239" s="130">
        <v>10.0</v>
      </c>
      <c r="I239" s="128" t="s">
        <v>2077</v>
      </c>
      <c r="J239" s="128" t="s">
        <v>2078</v>
      </c>
      <c r="K239" s="143" t="s">
        <v>2079</v>
      </c>
      <c r="L239" s="128" t="s">
        <v>2065</v>
      </c>
      <c r="M239" s="134" t="s">
        <v>2080</v>
      </c>
      <c r="N239" s="128" t="s">
        <v>36</v>
      </c>
      <c r="O239" s="124" t="s">
        <v>2081</v>
      </c>
      <c r="P239" s="128" t="s">
        <v>2082</v>
      </c>
      <c r="Q239" s="128" t="s">
        <v>1612</v>
      </c>
      <c r="R239" s="128">
        <v>2.23209388E8</v>
      </c>
      <c r="S239" s="132">
        <v>45758.0</v>
      </c>
      <c r="T239" s="134" t="s">
        <v>2083</v>
      </c>
      <c r="U239" s="128" t="s">
        <v>2084</v>
      </c>
      <c r="V239" s="128" t="s">
        <v>2085</v>
      </c>
      <c r="W239" s="143" t="s">
        <v>2086</v>
      </c>
      <c r="X239" s="128" t="s">
        <v>2087</v>
      </c>
      <c r="Y239" s="143" t="s">
        <v>2088</v>
      </c>
      <c r="Z239" s="124" t="s">
        <v>43</v>
      </c>
      <c r="AA239" s="128">
        <v>2.0</v>
      </c>
      <c r="AB239" s="124"/>
      <c r="AC239" s="120" t="s">
        <v>156</v>
      </c>
      <c r="AD239" s="131"/>
      <c r="AE239" s="131"/>
      <c r="AF239" s="124"/>
    </row>
    <row r="240" hidden="1">
      <c r="A240" s="144" t="s">
        <v>157</v>
      </c>
      <c r="B240" s="92" t="s">
        <v>140</v>
      </c>
      <c r="C240" s="92" t="s">
        <v>238</v>
      </c>
      <c r="D240" s="111" t="s">
        <v>1229</v>
      </c>
      <c r="E240" s="198" t="s">
        <v>2089</v>
      </c>
      <c r="F240" s="127"/>
      <c r="G240" s="92" t="s">
        <v>31</v>
      </c>
      <c r="H240" s="136">
        <f>IFERROR(__xludf.DUMMYFUNCTION("IF(ISDATE(S240), DATEDIF(S240, TODAY(), ""Y""), """")"),6.0)</f>
        <v>6</v>
      </c>
      <c r="I240" s="127"/>
      <c r="J240" s="92" t="s">
        <v>180</v>
      </c>
      <c r="K240" s="127"/>
      <c r="L240" s="92" t="s">
        <v>92</v>
      </c>
      <c r="M240" s="92" t="s">
        <v>2090</v>
      </c>
      <c r="N240" s="92" t="s">
        <v>36</v>
      </c>
      <c r="O240" s="92" t="s">
        <v>2091</v>
      </c>
      <c r="P240" s="127"/>
      <c r="Q240" s="92" t="s">
        <v>36</v>
      </c>
      <c r="R240" s="111">
        <v>2.23245289E8</v>
      </c>
      <c r="S240" s="126">
        <v>43733.0</v>
      </c>
      <c r="T240" s="92" t="s">
        <v>244</v>
      </c>
      <c r="U240" s="92" t="s">
        <v>1107</v>
      </c>
      <c r="V240" s="92" t="s">
        <v>966</v>
      </c>
      <c r="W240" s="111">
        <v>5.27909671E8</v>
      </c>
      <c r="X240" s="92" t="s">
        <v>2092</v>
      </c>
      <c r="Y240" s="111">
        <v>5.07829813E8</v>
      </c>
      <c r="Z240" s="117" t="s">
        <v>43</v>
      </c>
      <c r="AA240" s="111">
        <v>2.0</v>
      </c>
      <c r="AB240" s="92" t="s">
        <v>2093</v>
      </c>
      <c r="AC240" s="92" t="s">
        <v>169</v>
      </c>
      <c r="AD240" s="127"/>
      <c r="AE240" s="127"/>
      <c r="AF240" s="92" t="s">
        <v>2094</v>
      </c>
    </row>
    <row r="241" hidden="1">
      <c r="A241" s="144" t="s">
        <v>157</v>
      </c>
      <c r="B241" s="120" t="s">
        <v>140</v>
      </c>
      <c r="C241" s="120" t="s">
        <v>238</v>
      </c>
      <c r="D241" s="130"/>
      <c r="E241" s="124" t="s">
        <v>2095</v>
      </c>
      <c r="F241" s="130" t="s">
        <v>2096</v>
      </c>
      <c r="G241" s="124" t="s">
        <v>90</v>
      </c>
      <c r="H241" s="123">
        <f>IFERROR(__xludf.DUMMYFUNCTION("IF(ISDATE(S241), DATEDIF(S241, TODAY(), ""Y""), """")"),4.0)</f>
        <v>4</v>
      </c>
      <c r="I241" s="131"/>
      <c r="J241" s="124" t="s">
        <v>779</v>
      </c>
      <c r="K241" s="131"/>
      <c r="L241" s="124" t="s">
        <v>92</v>
      </c>
      <c r="M241" s="124" t="s">
        <v>238</v>
      </c>
      <c r="N241" s="124" t="s">
        <v>36</v>
      </c>
      <c r="O241" s="124" t="s">
        <v>2097</v>
      </c>
      <c r="P241" s="131"/>
      <c r="Q241" s="131"/>
      <c r="R241" s="130">
        <v>2.23456952E8</v>
      </c>
      <c r="S241" s="156">
        <v>44453.0</v>
      </c>
      <c r="T241" s="124" t="s">
        <v>2098</v>
      </c>
      <c r="U241" s="130" t="s">
        <v>2099</v>
      </c>
      <c r="V241" s="124" t="s">
        <v>863</v>
      </c>
      <c r="W241" s="130">
        <v>5.48103055E8</v>
      </c>
      <c r="X241" s="124" t="s">
        <v>1037</v>
      </c>
      <c r="Y241" s="131"/>
      <c r="Z241" s="124" t="s">
        <v>43</v>
      </c>
      <c r="AA241" s="130">
        <v>2.0</v>
      </c>
      <c r="AB241" s="124" t="s">
        <v>934</v>
      </c>
      <c r="AC241" s="120" t="s">
        <v>156</v>
      </c>
      <c r="AD241" s="124" t="s">
        <v>2100</v>
      </c>
      <c r="AE241" s="124"/>
      <c r="AF241" s="124" t="s">
        <v>2101</v>
      </c>
    </row>
    <row r="242" hidden="1">
      <c r="A242" s="144" t="s">
        <v>157</v>
      </c>
      <c r="B242" s="92" t="s">
        <v>140</v>
      </c>
      <c r="C242" s="111" t="s">
        <v>409</v>
      </c>
      <c r="D242" s="111" t="s">
        <v>1229</v>
      </c>
      <c r="E242" s="92" t="s">
        <v>2102</v>
      </c>
      <c r="F242" s="111"/>
      <c r="G242" s="92" t="s">
        <v>90</v>
      </c>
      <c r="H242" s="136">
        <f>IFERROR(__xludf.DUMMYFUNCTION("IF(ISDATE(S242), DATEDIF(S242, TODAY(), ""Y""), """")"),10.0)</f>
        <v>10</v>
      </c>
      <c r="I242" s="92" t="s">
        <v>2103</v>
      </c>
      <c r="J242" s="92" t="s">
        <v>487</v>
      </c>
      <c r="K242" s="127"/>
      <c r="L242" s="92" t="s">
        <v>2104</v>
      </c>
      <c r="M242" s="92" t="s">
        <v>2105</v>
      </c>
      <c r="N242" s="92" t="s">
        <v>44</v>
      </c>
      <c r="O242" s="127"/>
      <c r="P242" s="111">
        <v>5.2024</v>
      </c>
      <c r="Q242" s="92" t="s">
        <v>36</v>
      </c>
      <c r="R242" s="111">
        <v>2.23827064E8</v>
      </c>
      <c r="S242" s="126">
        <v>42222.0</v>
      </c>
      <c r="T242" s="111" t="s">
        <v>2106</v>
      </c>
      <c r="U242" s="141">
        <v>45244.0</v>
      </c>
      <c r="V242" s="92" t="s">
        <v>2107</v>
      </c>
      <c r="W242" s="136">
        <v>4.5883936E7</v>
      </c>
      <c r="X242" s="92" t="s">
        <v>2108</v>
      </c>
      <c r="Y242" s="111">
        <v>5.45883936E8</v>
      </c>
      <c r="Z242" s="117" t="s">
        <v>123</v>
      </c>
      <c r="AA242" s="111">
        <v>1.0</v>
      </c>
      <c r="AB242" s="92" t="s">
        <v>2109</v>
      </c>
      <c r="AC242" s="92" t="s">
        <v>169</v>
      </c>
      <c r="AD242" s="92" t="s">
        <v>2110</v>
      </c>
      <c r="AE242" s="92"/>
      <c r="AF242" s="92" t="s">
        <v>2111</v>
      </c>
    </row>
    <row r="243" hidden="1">
      <c r="A243" s="120" t="s">
        <v>157</v>
      </c>
      <c r="B243" s="120" t="s">
        <v>158</v>
      </c>
      <c r="C243" s="120" t="s">
        <v>159</v>
      </c>
      <c r="D243" s="121">
        <v>45845.0</v>
      </c>
      <c r="E243" s="120" t="s">
        <v>2112</v>
      </c>
      <c r="F243" s="122" t="s">
        <v>2113</v>
      </c>
      <c r="G243" s="120" t="s">
        <v>90</v>
      </c>
      <c r="H243" s="130">
        <f>IFERROR(__xludf.DUMMYFUNCTION("IF(ISDATE(S243), DATEDIF(S243, TODAY(), ""Y""), """")"),3.0)</f>
        <v>3</v>
      </c>
      <c r="I243" s="120" t="s">
        <v>2114</v>
      </c>
      <c r="J243" s="120" t="s">
        <v>145</v>
      </c>
      <c r="K243" s="139"/>
      <c r="L243" s="120" t="s">
        <v>92</v>
      </c>
      <c r="M243" s="120" t="s">
        <v>2115</v>
      </c>
      <c r="N243" s="120" t="s">
        <v>44</v>
      </c>
      <c r="O243" s="120" t="s">
        <v>2116</v>
      </c>
      <c r="P243" s="181">
        <v>45660.0</v>
      </c>
      <c r="Q243" s="120" t="s">
        <v>36</v>
      </c>
      <c r="R243" s="122">
        <v>2.36783593E8</v>
      </c>
      <c r="S243" s="121">
        <v>44876.0</v>
      </c>
      <c r="T243" s="120" t="s">
        <v>38</v>
      </c>
      <c r="U243" s="122" t="s">
        <v>2117</v>
      </c>
      <c r="V243" s="120" t="s">
        <v>1291</v>
      </c>
      <c r="W243" s="122">
        <v>5.8431E8</v>
      </c>
      <c r="X243" s="120" t="s">
        <v>2118</v>
      </c>
      <c r="Y243" s="122">
        <v>5.09000169E8</v>
      </c>
      <c r="Z243" s="124" t="s">
        <v>43</v>
      </c>
      <c r="AA243" s="122">
        <v>2.0</v>
      </c>
      <c r="AB243" s="120" t="s">
        <v>2119</v>
      </c>
      <c r="AC243" s="120" t="s">
        <v>169</v>
      </c>
      <c r="AD243" s="120" t="s">
        <v>2120</v>
      </c>
      <c r="AE243" s="139"/>
      <c r="AF243" s="139"/>
    </row>
    <row r="244" hidden="1">
      <c r="A244" s="108" t="s">
        <v>157</v>
      </c>
      <c r="B244" s="92" t="s">
        <v>140</v>
      </c>
      <c r="C244" s="111" t="s">
        <v>238</v>
      </c>
      <c r="D244" s="148">
        <v>45959.0</v>
      </c>
      <c r="E244" s="113" t="s">
        <v>2121</v>
      </c>
      <c r="F244" s="138" t="s">
        <v>1763</v>
      </c>
      <c r="G244" s="113" t="s">
        <v>31</v>
      </c>
      <c r="H244" s="114">
        <v>10.0</v>
      </c>
      <c r="I244" s="113" t="s">
        <v>2122</v>
      </c>
      <c r="J244" s="113" t="s">
        <v>846</v>
      </c>
      <c r="K244" s="113" t="s">
        <v>623</v>
      </c>
      <c r="L244" s="113" t="s">
        <v>2123</v>
      </c>
      <c r="M244" s="116" t="s">
        <v>2124</v>
      </c>
      <c r="N244" s="200" t="s">
        <v>36</v>
      </c>
      <c r="O244" s="117" t="s">
        <v>2125</v>
      </c>
      <c r="P244" s="113"/>
      <c r="Q244" s="113" t="s">
        <v>44</v>
      </c>
      <c r="R244" s="113">
        <v>2.24886739E8</v>
      </c>
      <c r="S244" s="118">
        <v>42269.0</v>
      </c>
      <c r="T244" s="116" t="s">
        <v>2126</v>
      </c>
      <c r="U244" s="113" t="s">
        <v>2127</v>
      </c>
      <c r="V244" s="113" t="s">
        <v>635</v>
      </c>
      <c r="W244" s="115" t="s">
        <v>2128</v>
      </c>
      <c r="X244" s="113" t="s">
        <v>382</v>
      </c>
      <c r="Y244" s="115" t="s">
        <v>2129</v>
      </c>
      <c r="Z244" s="117" t="s">
        <v>43</v>
      </c>
      <c r="AA244" s="113">
        <v>3.0</v>
      </c>
      <c r="AB244" s="117" t="s">
        <v>2130</v>
      </c>
      <c r="AC244" s="92" t="s">
        <v>156</v>
      </c>
      <c r="AD244" s="119"/>
      <c r="AE244" s="119"/>
      <c r="AF244" s="117"/>
    </row>
    <row r="245" hidden="1">
      <c r="A245" s="120" t="s">
        <v>157</v>
      </c>
      <c r="B245" s="120" t="s">
        <v>158</v>
      </c>
      <c r="C245" s="120" t="s">
        <v>159</v>
      </c>
      <c r="D245" s="121">
        <v>45928.0</v>
      </c>
      <c r="E245" s="120" t="s">
        <v>2131</v>
      </c>
      <c r="F245" s="122"/>
      <c r="G245" s="120" t="s">
        <v>31</v>
      </c>
      <c r="H245" s="123">
        <f>IFERROR(__xludf.DUMMYFUNCTION("IF(ISDATE(S245), DATEDIF(S245, TODAY(), ""Y""), """")"),3.0)</f>
        <v>3</v>
      </c>
      <c r="I245" s="139"/>
      <c r="J245" s="120" t="s">
        <v>1130</v>
      </c>
      <c r="K245" s="139"/>
      <c r="L245" s="120" t="s">
        <v>92</v>
      </c>
      <c r="M245" s="120" t="s">
        <v>2132</v>
      </c>
      <c r="N245" s="120" t="s">
        <v>44</v>
      </c>
      <c r="O245" s="120" t="s">
        <v>37</v>
      </c>
      <c r="P245" s="139"/>
      <c r="Q245" s="120" t="s">
        <v>44</v>
      </c>
      <c r="R245" s="122">
        <v>2.3683178E8</v>
      </c>
      <c r="S245" s="121">
        <v>44654.0</v>
      </c>
      <c r="T245" s="120" t="s">
        <v>2133</v>
      </c>
      <c r="U245" s="182">
        <v>45344.0</v>
      </c>
      <c r="V245" s="120" t="s">
        <v>2134</v>
      </c>
      <c r="W245" s="123">
        <v>5.02700805E8</v>
      </c>
      <c r="X245" s="120" t="s">
        <v>2135</v>
      </c>
      <c r="Y245" s="122">
        <v>5.03045531E8</v>
      </c>
      <c r="Z245" s="124" t="s">
        <v>43</v>
      </c>
      <c r="AA245" s="122">
        <v>3.0</v>
      </c>
      <c r="AB245" s="120" t="s">
        <v>2136</v>
      </c>
      <c r="AC245" s="120" t="s">
        <v>1152</v>
      </c>
      <c r="AD245" s="120" t="s">
        <v>2137</v>
      </c>
      <c r="AE245" s="120" t="s">
        <v>2138</v>
      </c>
      <c r="AF245" s="120" t="s">
        <v>2139</v>
      </c>
    </row>
    <row r="246" hidden="1">
      <c r="A246" s="108" t="s">
        <v>157</v>
      </c>
      <c r="B246" s="92" t="s">
        <v>140</v>
      </c>
      <c r="C246" s="111" t="s">
        <v>141</v>
      </c>
      <c r="D246" s="126">
        <v>45928.0</v>
      </c>
      <c r="E246" s="92" t="s">
        <v>2140</v>
      </c>
      <c r="F246" s="111" t="s">
        <v>1250</v>
      </c>
      <c r="G246" s="92" t="s">
        <v>90</v>
      </c>
      <c r="H246" s="114">
        <f>IFERROR(__xludf.DUMMYFUNCTION("IF(ISDATE(S246), DATEDIF(S246, TODAY(), ""Y""), """")"),8.0)</f>
        <v>8</v>
      </c>
      <c r="I246" s="92" t="s">
        <v>2141</v>
      </c>
      <c r="J246" s="92" t="s">
        <v>1192</v>
      </c>
      <c r="K246" s="111">
        <v>5.28070547E8</v>
      </c>
      <c r="L246" s="92" t="s">
        <v>610</v>
      </c>
      <c r="M246" s="92" t="s">
        <v>780</v>
      </c>
      <c r="N246" s="92" t="s">
        <v>44</v>
      </c>
      <c r="O246" s="92"/>
      <c r="P246" s="92" t="s">
        <v>794</v>
      </c>
      <c r="Q246" s="92" t="s">
        <v>44</v>
      </c>
      <c r="R246" s="111">
        <v>2.25484997E8</v>
      </c>
      <c r="S246" s="126">
        <v>42862.0</v>
      </c>
      <c r="T246" s="92" t="s">
        <v>331</v>
      </c>
      <c r="U246" s="111" t="s">
        <v>2142</v>
      </c>
      <c r="V246" s="111" t="s">
        <v>198</v>
      </c>
      <c r="W246" s="111" t="s">
        <v>198</v>
      </c>
      <c r="X246" s="92" t="s">
        <v>745</v>
      </c>
      <c r="Y246" s="111">
        <v>5.06276651E8</v>
      </c>
      <c r="Z246" s="117" t="s">
        <v>123</v>
      </c>
      <c r="AA246" s="92" t="s">
        <v>623</v>
      </c>
      <c r="AB246" s="127"/>
      <c r="AC246" s="92" t="s">
        <v>169</v>
      </c>
      <c r="AD246" s="92"/>
      <c r="AE246" s="117"/>
      <c r="AF246" s="117" t="s">
        <v>2143</v>
      </c>
    </row>
    <row r="247" hidden="1">
      <c r="A247" s="84" t="s">
        <v>157</v>
      </c>
      <c r="B247" s="120" t="s">
        <v>140</v>
      </c>
      <c r="C247" s="120" t="s">
        <v>141</v>
      </c>
      <c r="D247" s="163" t="s">
        <v>2144</v>
      </c>
      <c r="E247" s="184" t="s">
        <v>2145</v>
      </c>
      <c r="F247" s="185">
        <v>45987.0</v>
      </c>
      <c r="G247" s="184" t="s">
        <v>90</v>
      </c>
      <c r="H247" s="186">
        <v>8.0</v>
      </c>
      <c r="I247" s="184" t="s">
        <v>2146</v>
      </c>
      <c r="J247" s="184" t="s">
        <v>1130</v>
      </c>
      <c r="K247" s="201" t="s">
        <v>2147</v>
      </c>
      <c r="L247" s="184" t="s">
        <v>2148</v>
      </c>
      <c r="M247" s="184" t="s">
        <v>141</v>
      </c>
      <c r="N247" s="184" t="s">
        <v>36</v>
      </c>
      <c r="O247" s="184" t="s">
        <v>2149</v>
      </c>
      <c r="P247" s="188"/>
      <c r="Q247" s="184" t="s">
        <v>44</v>
      </c>
      <c r="R247" s="186">
        <v>2.25621481E8</v>
      </c>
      <c r="S247" s="185">
        <v>42655.0</v>
      </c>
      <c r="T247" s="186" t="s">
        <v>331</v>
      </c>
      <c r="U247" s="186" t="s">
        <v>2150</v>
      </c>
      <c r="V247" s="184" t="s">
        <v>2151</v>
      </c>
      <c r="W247" s="187" t="s">
        <v>2152</v>
      </c>
      <c r="X247" s="184" t="s">
        <v>2153</v>
      </c>
      <c r="Y247" s="187" t="s">
        <v>2154</v>
      </c>
      <c r="Z247" s="131" t="s">
        <v>43</v>
      </c>
      <c r="AA247" s="184">
        <v>3.0</v>
      </c>
      <c r="AB247" s="202"/>
      <c r="AC247" s="120" t="s">
        <v>156</v>
      </c>
      <c r="AD247" s="189"/>
      <c r="AE247" s="188"/>
      <c r="AF247" s="188"/>
    </row>
    <row r="248" hidden="1">
      <c r="A248" s="84" t="s">
        <v>157</v>
      </c>
      <c r="B248" s="92" t="s">
        <v>140</v>
      </c>
      <c r="C248" s="92" t="s">
        <v>141</v>
      </c>
      <c r="D248" s="114" t="s">
        <v>1256</v>
      </c>
      <c r="E248" s="117" t="s">
        <v>2155</v>
      </c>
      <c r="F248" s="146">
        <v>45949.0</v>
      </c>
      <c r="G248" s="203" t="s">
        <v>90</v>
      </c>
      <c r="H248" s="203">
        <v>5.0</v>
      </c>
      <c r="I248" s="203" t="s">
        <v>2156</v>
      </c>
      <c r="J248" s="203" t="s">
        <v>2157</v>
      </c>
      <c r="K248" s="155"/>
      <c r="L248" s="203" t="s">
        <v>189</v>
      </c>
      <c r="M248" s="203" t="s">
        <v>141</v>
      </c>
      <c r="N248" s="203" t="s">
        <v>44</v>
      </c>
      <c r="O248" s="204"/>
      <c r="P248" s="205" t="s">
        <v>1890</v>
      </c>
      <c r="Q248" s="206" t="s">
        <v>44</v>
      </c>
      <c r="R248" s="203">
        <v>2.26990034E8</v>
      </c>
      <c r="S248" s="206">
        <v>44021.0</v>
      </c>
      <c r="T248" s="203" t="s">
        <v>259</v>
      </c>
      <c r="U248" s="207" t="s">
        <v>2158</v>
      </c>
      <c r="V248" s="203" t="s">
        <v>2159</v>
      </c>
      <c r="W248" s="207" t="s">
        <v>2160</v>
      </c>
      <c r="X248" s="203" t="s">
        <v>301</v>
      </c>
      <c r="Y248" s="207" t="s">
        <v>2161</v>
      </c>
      <c r="Z248" s="117" t="s">
        <v>43</v>
      </c>
      <c r="AA248" s="203"/>
      <c r="AB248" s="203" t="s">
        <v>2162</v>
      </c>
      <c r="AC248" s="205" t="s">
        <v>156</v>
      </c>
      <c r="AD248" s="119"/>
      <c r="AE248" s="119"/>
      <c r="AF248" s="117"/>
    </row>
    <row r="249" hidden="1">
      <c r="A249" s="135" t="s">
        <v>157</v>
      </c>
      <c r="B249" s="120" t="s">
        <v>140</v>
      </c>
      <c r="C249" s="120" t="s">
        <v>409</v>
      </c>
      <c r="D249" s="121" t="s">
        <v>1283</v>
      </c>
      <c r="E249" s="120" t="s">
        <v>2163</v>
      </c>
      <c r="F249" s="122" t="s">
        <v>2164</v>
      </c>
      <c r="G249" s="120" t="s">
        <v>90</v>
      </c>
      <c r="H249" s="123">
        <f>IFERROR(__xludf.DUMMYFUNCTION("IF(ISDATE(S249), DATEDIF(S249, TODAY(), ""Y""), """")"),5.0)</f>
        <v>5</v>
      </c>
      <c r="I249" s="120" t="s">
        <v>2165</v>
      </c>
      <c r="J249" s="120" t="s">
        <v>590</v>
      </c>
      <c r="K249" s="122">
        <v>5.28344812E8</v>
      </c>
      <c r="L249" s="120" t="s">
        <v>208</v>
      </c>
      <c r="M249" s="120" t="s">
        <v>2166</v>
      </c>
      <c r="N249" s="120" t="s">
        <v>44</v>
      </c>
      <c r="O249" s="120" t="s">
        <v>37</v>
      </c>
      <c r="P249" s="120" t="s">
        <v>687</v>
      </c>
      <c r="Q249" s="120" t="s">
        <v>44</v>
      </c>
      <c r="R249" s="122">
        <v>2.27163532E8</v>
      </c>
      <c r="S249" s="121">
        <v>43971.0</v>
      </c>
      <c r="T249" s="120" t="s">
        <v>2167</v>
      </c>
      <c r="U249" s="158">
        <v>44470.0</v>
      </c>
      <c r="V249" s="120" t="s">
        <v>796</v>
      </c>
      <c r="W249" s="122">
        <v>5.27344808E8</v>
      </c>
      <c r="X249" s="120" t="s">
        <v>2168</v>
      </c>
      <c r="Y249" s="122">
        <v>5.27344812E8</v>
      </c>
      <c r="Z249" s="124" t="s">
        <v>43</v>
      </c>
      <c r="AA249" s="122">
        <v>4.0</v>
      </c>
      <c r="AB249" s="120" t="s">
        <v>2169</v>
      </c>
      <c r="AC249" s="120" t="s">
        <v>169</v>
      </c>
      <c r="AD249" s="120"/>
      <c r="AE249" s="139"/>
      <c r="AF249" s="139"/>
    </row>
    <row r="250" hidden="1">
      <c r="A250" s="92" t="s">
        <v>157</v>
      </c>
      <c r="B250" s="92" t="s">
        <v>158</v>
      </c>
      <c r="C250" s="92" t="s">
        <v>159</v>
      </c>
      <c r="D250" s="126" t="s">
        <v>204</v>
      </c>
      <c r="E250" s="92" t="s">
        <v>2170</v>
      </c>
      <c r="F250" s="111" t="s">
        <v>2171</v>
      </c>
      <c r="G250" s="92" t="s">
        <v>31</v>
      </c>
      <c r="H250" s="136">
        <v>2.0</v>
      </c>
      <c r="I250" s="127"/>
      <c r="J250" s="92" t="s">
        <v>2172</v>
      </c>
      <c r="K250" s="127"/>
      <c r="L250" s="92" t="s">
        <v>92</v>
      </c>
      <c r="M250" s="92" t="s">
        <v>2173</v>
      </c>
      <c r="N250" s="92" t="s">
        <v>44</v>
      </c>
      <c r="O250" s="92"/>
      <c r="P250" s="127"/>
      <c r="Q250" s="92" t="s">
        <v>2174</v>
      </c>
      <c r="R250" s="111">
        <v>2.37524517E8</v>
      </c>
      <c r="S250" s="126">
        <v>45195.0</v>
      </c>
      <c r="T250" s="92" t="s">
        <v>244</v>
      </c>
      <c r="U250" s="92" t="s">
        <v>2175</v>
      </c>
      <c r="V250" s="92" t="s">
        <v>175</v>
      </c>
      <c r="W250" s="111">
        <v>5.07110374E8</v>
      </c>
      <c r="X250" s="92" t="s">
        <v>2176</v>
      </c>
      <c r="Y250" s="111">
        <v>5.2480238E8</v>
      </c>
      <c r="Z250" s="117" t="s">
        <v>43</v>
      </c>
      <c r="AA250" s="111">
        <v>1.0</v>
      </c>
      <c r="AB250" s="92" t="s">
        <v>2177</v>
      </c>
      <c r="AC250" s="92" t="s">
        <v>169</v>
      </c>
      <c r="AD250" s="92" t="s">
        <v>2178</v>
      </c>
      <c r="AE250" s="111"/>
      <c r="AF250" s="92" t="s">
        <v>2179</v>
      </c>
    </row>
    <row r="251" hidden="1">
      <c r="A251" s="135" t="s">
        <v>157</v>
      </c>
      <c r="B251" s="120" t="s">
        <v>140</v>
      </c>
      <c r="C251" s="122" t="s">
        <v>238</v>
      </c>
      <c r="D251" s="122" t="s">
        <v>895</v>
      </c>
      <c r="E251" s="120" t="s">
        <v>2180</v>
      </c>
      <c r="F251" s="122" t="s">
        <v>2181</v>
      </c>
      <c r="G251" s="120" t="s">
        <v>31</v>
      </c>
      <c r="H251" s="130">
        <f>IFERROR(__xludf.DUMMYFUNCTION("IF(ISDATE(S251), DATEDIF(S251, TODAY(), ""Y""), """")"),7.0)</f>
        <v>7</v>
      </c>
      <c r="I251" s="120" t="s">
        <v>2182</v>
      </c>
      <c r="J251" s="120" t="s">
        <v>180</v>
      </c>
      <c r="K251" s="139"/>
      <c r="L251" s="120" t="s">
        <v>92</v>
      </c>
      <c r="M251" s="120" t="s">
        <v>2183</v>
      </c>
      <c r="N251" s="120" t="s">
        <v>36</v>
      </c>
      <c r="O251" s="139"/>
      <c r="P251" s="208"/>
      <c r="Q251" s="120" t="s">
        <v>36</v>
      </c>
      <c r="R251" s="122">
        <v>2.27245289E8</v>
      </c>
      <c r="S251" s="121">
        <v>43368.0</v>
      </c>
      <c r="T251" s="120" t="s">
        <v>2184</v>
      </c>
      <c r="U251" s="158">
        <v>44434.0</v>
      </c>
      <c r="V251" s="120" t="s">
        <v>966</v>
      </c>
      <c r="W251" s="122">
        <v>5.27909671E8</v>
      </c>
      <c r="X251" s="120" t="s">
        <v>2092</v>
      </c>
      <c r="Y251" s="122">
        <v>5.07829813E8</v>
      </c>
      <c r="Z251" s="124" t="s">
        <v>43</v>
      </c>
      <c r="AA251" s="122">
        <v>2.0</v>
      </c>
      <c r="AB251" s="139"/>
      <c r="AC251" s="120" t="s">
        <v>156</v>
      </c>
      <c r="AD251" s="139"/>
      <c r="AE251" s="139"/>
      <c r="AF251" s="120" t="s">
        <v>2185</v>
      </c>
    </row>
    <row r="252" hidden="1">
      <c r="A252" s="108" t="s">
        <v>157</v>
      </c>
      <c r="B252" s="92" t="s">
        <v>140</v>
      </c>
      <c r="C252" s="92" t="s">
        <v>159</v>
      </c>
      <c r="D252" s="126">
        <v>45928.0</v>
      </c>
      <c r="E252" s="92" t="s">
        <v>2186</v>
      </c>
      <c r="F252" s="111"/>
      <c r="G252" s="92" t="s">
        <v>90</v>
      </c>
      <c r="H252" s="114">
        <f>IFERROR(__xludf.DUMMYFUNCTION("IF(ISDATE(S252), DATEDIF(S252, TODAY(), ""Y""), """")"),6.0)</f>
        <v>6</v>
      </c>
      <c r="I252" s="127"/>
      <c r="J252" s="92" t="s">
        <v>2187</v>
      </c>
      <c r="K252" s="127"/>
      <c r="L252" s="92" t="s">
        <v>92</v>
      </c>
      <c r="M252" s="92" t="s">
        <v>2188</v>
      </c>
      <c r="N252" s="92" t="s">
        <v>36</v>
      </c>
      <c r="O252" s="92" t="s">
        <v>2189</v>
      </c>
      <c r="P252" s="127"/>
      <c r="Q252" s="92" t="s">
        <v>2190</v>
      </c>
      <c r="R252" s="111">
        <v>2.27312063E8</v>
      </c>
      <c r="S252" s="126">
        <v>43665.0</v>
      </c>
      <c r="T252" s="92" t="s">
        <v>2191</v>
      </c>
      <c r="U252" s="141">
        <v>45211.0</v>
      </c>
      <c r="V252" s="92" t="s">
        <v>2192</v>
      </c>
      <c r="W252" s="136">
        <v>5.25681341E8</v>
      </c>
      <c r="X252" s="92" t="s">
        <v>2193</v>
      </c>
      <c r="Y252" s="111">
        <v>5.47644658E8</v>
      </c>
      <c r="Z252" s="117" t="s">
        <v>43</v>
      </c>
      <c r="AA252" s="111">
        <v>1.0</v>
      </c>
      <c r="AB252" s="92" t="s">
        <v>2194</v>
      </c>
      <c r="AC252" s="92" t="s">
        <v>169</v>
      </c>
      <c r="AD252" s="92"/>
      <c r="AE252" s="127"/>
      <c r="AF252" s="92" t="s">
        <v>2195</v>
      </c>
    </row>
    <row r="253" hidden="1">
      <c r="A253" s="144" t="s">
        <v>157</v>
      </c>
      <c r="B253" s="120" t="s">
        <v>140</v>
      </c>
      <c r="C253" s="120" t="s">
        <v>238</v>
      </c>
      <c r="D253" s="130" t="s">
        <v>1884</v>
      </c>
      <c r="E253" s="124" t="s">
        <v>1542</v>
      </c>
      <c r="F253" s="161">
        <v>43626.0</v>
      </c>
      <c r="G253" s="124" t="s">
        <v>31</v>
      </c>
      <c r="H253" s="130">
        <v>6.0</v>
      </c>
      <c r="I253" s="124" t="s">
        <v>1544</v>
      </c>
      <c r="J253" s="124" t="s">
        <v>33</v>
      </c>
      <c r="K253" s="209" t="s">
        <v>1550</v>
      </c>
      <c r="L253" s="124" t="s">
        <v>34</v>
      </c>
      <c r="M253" s="124" t="s">
        <v>2196</v>
      </c>
      <c r="N253" s="124" t="s">
        <v>36</v>
      </c>
      <c r="O253" s="124" t="s">
        <v>2197</v>
      </c>
      <c r="P253" s="124"/>
      <c r="Q253" s="124" t="s">
        <v>929</v>
      </c>
      <c r="R253" s="130">
        <v>2.27969581E8</v>
      </c>
      <c r="S253" s="156">
        <v>43626.0</v>
      </c>
      <c r="T253" s="124" t="s">
        <v>2198</v>
      </c>
      <c r="U253" s="130" t="s">
        <v>2199</v>
      </c>
      <c r="V253" s="124" t="s">
        <v>2200</v>
      </c>
      <c r="W253" s="130" t="s">
        <v>623</v>
      </c>
      <c r="X253" s="124" t="s">
        <v>1549</v>
      </c>
      <c r="Y253" s="162" t="s">
        <v>2201</v>
      </c>
      <c r="Z253" s="124" t="s">
        <v>730</v>
      </c>
      <c r="AA253" s="130" t="s">
        <v>623</v>
      </c>
      <c r="AB253" s="124" t="s">
        <v>2202</v>
      </c>
      <c r="AC253" s="120" t="s">
        <v>156</v>
      </c>
      <c r="AD253" s="131"/>
      <c r="AE253" s="131"/>
      <c r="AF253" s="124" t="s">
        <v>2203</v>
      </c>
    </row>
    <row r="254" hidden="1">
      <c r="A254" s="144" t="s">
        <v>157</v>
      </c>
      <c r="B254" s="92" t="s">
        <v>140</v>
      </c>
      <c r="C254" s="92" t="s">
        <v>141</v>
      </c>
      <c r="D254" s="114" t="s">
        <v>1229</v>
      </c>
      <c r="E254" s="113" t="s">
        <v>2204</v>
      </c>
      <c r="F254" s="137">
        <v>45816.0</v>
      </c>
      <c r="G254" s="113" t="s">
        <v>31</v>
      </c>
      <c r="H254" s="114">
        <f>IFERROR(__xludf.DUMMYFUNCTION("IF(ISDATE(S254), DATEDIF(S254, TODAY(), ""Y""), """")"),5.0)</f>
        <v>5</v>
      </c>
      <c r="I254" s="113" t="s">
        <v>2205</v>
      </c>
      <c r="J254" s="113" t="s">
        <v>2205</v>
      </c>
      <c r="K254" s="119"/>
      <c r="L254" s="113" t="s">
        <v>34</v>
      </c>
      <c r="M254" s="113" t="s">
        <v>2206</v>
      </c>
      <c r="N254" s="113" t="s">
        <v>44</v>
      </c>
      <c r="O254" s="113"/>
      <c r="P254" s="119" t="s">
        <v>2207</v>
      </c>
      <c r="Q254" s="113" t="s">
        <v>2208</v>
      </c>
      <c r="R254" s="113">
        <v>2.28074985E8</v>
      </c>
      <c r="S254" s="118">
        <v>43852.0</v>
      </c>
      <c r="T254" s="113" t="s">
        <v>38</v>
      </c>
      <c r="U254" s="113" t="s">
        <v>1290</v>
      </c>
      <c r="V254" s="113" t="s">
        <v>2209</v>
      </c>
      <c r="W254" s="115" t="s">
        <v>2210</v>
      </c>
      <c r="X254" s="113" t="s">
        <v>2211</v>
      </c>
      <c r="Y254" s="115" t="s">
        <v>2212</v>
      </c>
      <c r="Z254" s="117" t="s">
        <v>43</v>
      </c>
      <c r="AA254" s="138">
        <v>2.0</v>
      </c>
      <c r="AB254" s="116" t="s">
        <v>2213</v>
      </c>
      <c r="AC254" s="92" t="s">
        <v>169</v>
      </c>
      <c r="AD254" s="119"/>
      <c r="AE254" s="119"/>
      <c r="AF254" s="117" t="s">
        <v>2214</v>
      </c>
    </row>
    <row r="255" hidden="1">
      <c r="A255" s="108" t="s">
        <v>157</v>
      </c>
      <c r="B255" s="120" t="s">
        <v>140</v>
      </c>
      <c r="C255" s="120" t="s">
        <v>409</v>
      </c>
      <c r="D255" s="156">
        <v>45946.0</v>
      </c>
      <c r="E255" s="124" t="s">
        <v>2215</v>
      </c>
      <c r="F255" s="161">
        <v>45836.0</v>
      </c>
      <c r="G255" s="124" t="s">
        <v>31</v>
      </c>
      <c r="H255" s="130">
        <f>IFERROR(__xludf.DUMMYFUNCTION("IF(ISDATE(S255), DATEDIF(S255, TODAY(), ""Y""), """")"),7.0)</f>
        <v>7</v>
      </c>
      <c r="I255" s="124" t="s">
        <v>2216</v>
      </c>
      <c r="J255" s="124" t="s">
        <v>2006</v>
      </c>
      <c r="K255" s="131"/>
      <c r="L255" s="124" t="s">
        <v>92</v>
      </c>
      <c r="M255" s="124" t="s">
        <v>424</v>
      </c>
      <c r="N255" s="124" t="s">
        <v>44</v>
      </c>
      <c r="O255" s="124"/>
      <c r="P255" s="124"/>
      <c r="Q255" s="124" t="s">
        <v>44</v>
      </c>
      <c r="R255" s="130">
        <v>2.28373056E8</v>
      </c>
      <c r="S255" s="156">
        <v>43472.0</v>
      </c>
      <c r="T255" s="124" t="s">
        <v>82</v>
      </c>
      <c r="U255" s="130" t="s">
        <v>2217</v>
      </c>
      <c r="V255" s="124" t="s">
        <v>1111</v>
      </c>
      <c r="W255" s="162" t="s">
        <v>2218</v>
      </c>
      <c r="X255" s="124" t="s">
        <v>1686</v>
      </c>
      <c r="Y255" s="162" t="s">
        <v>2219</v>
      </c>
      <c r="Z255" s="124" t="s">
        <v>43</v>
      </c>
      <c r="AA255" s="130">
        <v>2.0</v>
      </c>
      <c r="AB255" s="131"/>
      <c r="AC255" s="124" t="s">
        <v>156</v>
      </c>
      <c r="AD255" s="131"/>
      <c r="AE255" s="131"/>
      <c r="AF255" s="120" t="s">
        <v>2220</v>
      </c>
    </row>
    <row r="256" hidden="1">
      <c r="A256" s="108" t="s">
        <v>157</v>
      </c>
      <c r="B256" s="92" t="s">
        <v>140</v>
      </c>
      <c r="C256" s="111" t="s">
        <v>238</v>
      </c>
      <c r="D256" s="148">
        <v>45946.0</v>
      </c>
      <c r="E256" s="117" t="s">
        <v>2221</v>
      </c>
      <c r="F256" s="146">
        <v>45856.0</v>
      </c>
      <c r="G256" s="117" t="s">
        <v>90</v>
      </c>
      <c r="H256" s="114">
        <v>5.0</v>
      </c>
      <c r="I256" s="117" t="s">
        <v>2222</v>
      </c>
      <c r="J256" s="117" t="s">
        <v>1575</v>
      </c>
      <c r="K256" s="119"/>
      <c r="L256" s="117" t="s">
        <v>649</v>
      </c>
      <c r="M256" s="117" t="s">
        <v>2223</v>
      </c>
      <c r="N256" s="117" t="s">
        <v>36</v>
      </c>
      <c r="O256" s="117" t="s">
        <v>2125</v>
      </c>
      <c r="P256" s="117"/>
      <c r="Q256" s="117" t="s">
        <v>36</v>
      </c>
      <c r="R256" s="114">
        <v>2.2905156E8</v>
      </c>
      <c r="S256" s="148">
        <v>44074.0</v>
      </c>
      <c r="T256" s="117" t="s">
        <v>2224</v>
      </c>
      <c r="U256" s="114" t="s">
        <v>2225</v>
      </c>
      <c r="V256" s="117" t="s">
        <v>211</v>
      </c>
      <c r="W256" s="147" t="s">
        <v>2226</v>
      </c>
      <c r="X256" s="117" t="s">
        <v>2227</v>
      </c>
      <c r="Y256" s="147" t="s">
        <v>2228</v>
      </c>
      <c r="Z256" s="117" t="s">
        <v>43</v>
      </c>
      <c r="AA256" s="114">
        <v>2.0</v>
      </c>
      <c r="AB256" s="117"/>
      <c r="AC256" s="92" t="s">
        <v>169</v>
      </c>
      <c r="AD256" s="119"/>
      <c r="AE256" s="119"/>
      <c r="AF256" s="92" t="s">
        <v>2229</v>
      </c>
    </row>
    <row r="257" hidden="1">
      <c r="A257" s="135" t="s">
        <v>157</v>
      </c>
      <c r="B257" s="120" t="s">
        <v>140</v>
      </c>
      <c r="C257" s="122" t="s">
        <v>238</v>
      </c>
      <c r="D257" s="121">
        <v>45978.0</v>
      </c>
      <c r="E257" s="120" t="s">
        <v>2230</v>
      </c>
      <c r="F257" s="122" t="s">
        <v>1250</v>
      </c>
      <c r="G257" s="120" t="s">
        <v>90</v>
      </c>
      <c r="H257" s="130">
        <v>5.0</v>
      </c>
      <c r="I257" s="139"/>
      <c r="J257" s="120" t="s">
        <v>668</v>
      </c>
      <c r="K257" s="139"/>
      <c r="L257" s="120" t="s">
        <v>610</v>
      </c>
      <c r="M257" s="120" t="s">
        <v>2231</v>
      </c>
      <c r="N257" s="120" t="s">
        <v>36</v>
      </c>
      <c r="O257" s="120" t="s">
        <v>2030</v>
      </c>
      <c r="P257" s="139"/>
      <c r="Q257" s="120" t="s">
        <v>36</v>
      </c>
      <c r="R257" s="122">
        <v>2.29142674E8</v>
      </c>
      <c r="S257" s="121"/>
      <c r="T257" s="120" t="s">
        <v>2232</v>
      </c>
      <c r="U257" s="120" t="s">
        <v>1288</v>
      </c>
      <c r="V257" s="120" t="s">
        <v>921</v>
      </c>
      <c r="W257" s="122">
        <v>5.32323283E8</v>
      </c>
      <c r="X257" s="120" t="s">
        <v>2233</v>
      </c>
      <c r="Y257" s="122">
        <v>5.23408444E8</v>
      </c>
      <c r="Z257" s="124" t="s">
        <v>43</v>
      </c>
      <c r="AA257" s="122">
        <v>3.0</v>
      </c>
      <c r="AB257" s="139"/>
      <c r="AC257" s="120" t="s">
        <v>156</v>
      </c>
      <c r="AD257" s="139"/>
      <c r="AE257" s="139"/>
      <c r="AF257" s="120" t="s">
        <v>2234</v>
      </c>
    </row>
    <row r="258" hidden="1">
      <c r="A258" s="144" t="s">
        <v>157</v>
      </c>
      <c r="B258" s="92" t="s">
        <v>140</v>
      </c>
      <c r="C258" s="92" t="s">
        <v>238</v>
      </c>
      <c r="D258" s="210" t="s">
        <v>1229</v>
      </c>
      <c r="E258" s="113" t="s">
        <v>2235</v>
      </c>
      <c r="F258" s="137">
        <v>45869.0</v>
      </c>
      <c r="G258" s="113" t="s">
        <v>31</v>
      </c>
      <c r="H258" s="114">
        <f>IFERROR(__xludf.DUMMYFUNCTION("IF(ISDATE(S258), DATEDIF(S258, TODAY(), ""Y""), """")"),6.0)</f>
        <v>6</v>
      </c>
      <c r="I258" s="113" t="s">
        <v>2236</v>
      </c>
      <c r="J258" s="113" t="s">
        <v>2237</v>
      </c>
      <c r="K258" s="199" t="s">
        <v>2238</v>
      </c>
      <c r="L258" s="113" t="s">
        <v>2239</v>
      </c>
      <c r="M258" s="116" t="s">
        <v>2240</v>
      </c>
      <c r="N258" s="113" t="s">
        <v>36</v>
      </c>
      <c r="O258" s="113" t="s">
        <v>2241</v>
      </c>
      <c r="P258" s="119"/>
      <c r="Q258" s="113" t="s">
        <v>36</v>
      </c>
      <c r="R258" s="113">
        <v>2.29194592E8</v>
      </c>
      <c r="S258" s="118">
        <v>43707.0</v>
      </c>
      <c r="T258" s="113" t="s">
        <v>2242</v>
      </c>
      <c r="U258" s="113" t="s">
        <v>2243</v>
      </c>
      <c r="V258" s="113" t="s">
        <v>2244</v>
      </c>
      <c r="W258" s="115" t="s">
        <v>2245</v>
      </c>
      <c r="X258" s="113" t="s">
        <v>2246</v>
      </c>
      <c r="Y258" s="115" t="s">
        <v>2238</v>
      </c>
      <c r="Z258" s="117" t="s">
        <v>43</v>
      </c>
      <c r="AA258" s="113">
        <v>1.0</v>
      </c>
      <c r="AB258" s="116" t="s">
        <v>2247</v>
      </c>
      <c r="AC258" s="116" t="s">
        <v>156</v>
      </c>
      <c r="AD258" s="119"/>
      <c r="AE258" s="119"/>
      <c r="AF258" s="117" t="s">
        <v>2248</v>
      </c>
    </row>
    <row r="259" hidden="1">
      <c r="A259" s="108" t="s">
        <v>157</v>
      </c>
      <c r="B259" s="120" t="s">
        <v>140</v>
      </c>
      <c r="C259" s="120" t="s">
        <v>238</v>
      </c>
      <c r="D259" s="181">
        <v>45881.0</v>
      </c>
      <c r="E259" s="120" t="s">
        <v>1908</v>
      </c>
      <c r="F259" s="130" t="s">
        <v>1042</v>
      </c>
      <c r="G259" s="120" t="s">
        <v>90</v>
      </c>
      <c r="H259" s="123">
        <f>IFERROR(__xludf.DUMMYFUNCTION("IF(ISDATE(S259), DATEDIF(S259, TODAY(), ""Y""), """")"),6.0)</f>
        <v>6</v>
      </c>
      <c r="I259" s="139"/>
      <c r="J259" s="120" t="s">
        <v>2249</v>
      </c>
      <c r="K259" s="139"/>
      <c r="L259" s="120" t="s">
        <v>92</v>
      </c>
      <c r="M259" s="120" t="s">
        <v>2250</v>
      </c>
      <c r="N259" s="120" t="s">
        <v>36</v>
      </c>
      <c r="O259" s="120" t="s">
        <v>37</v>
      </c>
      <c r="P259" s="139"/>
      <c r="Q259" s="120" t="s">
        <v>36</v>
      </c>
      <c r="R259" s="122">
        <v>2.29567268E8</v>
      </c>
      <c r="S259" s="156">
        <v>43680.0</v>
      </c>
      <c r="T259" s="120" t="s">
        <v>331</v>
      </c>
      <c r="U259" s="122" t="s">
        <v>2251</v>
      </c>
      <c r="V259" s="139"/>
      <c r="W259" s="139"/>
      <c r="X259" s="120" t="s">
        <v>1917</v>
      </c>
      <c r="Y259" s="122">
        <v>5.28109195E8</v>
      </c>
      <c r="Z259" s="124" t="s">
        <v>43</v>
      </c>
      <c r="AA259" s="122">
        <v>6.0</v>
      </c>
      <c r="AB259" s="120" t="s">
        <v>934</v>
      </c>
      <c r="AC259" s="120" t="s">
        <v>169</v>
      </c>
      <c r="AD259" s="139"/>
      <c r="AE259" s="139"/>
      <c r="AF259" s="120" t="s">
        <v>2252</v>
      </c>
    </row>
    <row r="260" hidden="1">
      <c r="A260" s="108" t="s">
        <v>157</v>
      </c>
      <c r="B260" s="92" t="s">
        <v>140</v>
      </c>
      <c r="C260" s="111" t="s">
        <v>141</v>
      </c>
      <c r="D260" s="126">
        <v>45910.0</v>
      </c>
      <c r="E260" s="92" t="s">
        <v>2253</v>
      </c>
      <c r="F260" s="111" t="s">
        <v>2254</v>
      </c>
      <c r="G260" s="92" t="s">
        <v>31</v>
      </c>
      <c r="H260" s="114">
        <f>IFERROR(__xludf.DUMMYFUNCTION("IF(ISDATE(S260), DATEDIF(S260, TODAY(), ""Y""), """")"),5.0)</f>
        <v>5</v>
      </c>
      <c r="I260" s="92" t="s">
        <v>2255</v>
      </c>
      <c r="J260" s="92" t="s">
        <v>590</v>
      </c>
      <c r="K260" s="127"/>
      <c r="L260" s="92" t="s">
        <v>92</v>
      </c>
      <c r="M260" s="92" t="s">
        <v>2256</v>
      </c>
      <c r="N260" s="92" t="s">
        <v>44</v>
      </c>
      <c r="O260" s="92" t="s">
        <v>1045</v>
      </c>
      <c r="P260" s="92" t="s">
        <v>1107</v>
      </c>
      <c r="Q260" s="92" t="s">
        <v>44</v>
      </c>
      <c r="R260" s="111">
        <v>2.29785936E8</v>
      </c>
      <c r="S260" s="126">
        <v>44068.0</v>
      </c>
      <c r="T260" s="92" t="s">
        <v>38</v>
      </c>
      <c r="U260" s="141">
        <v>45301.0</v>
      </c>
      <c r="V260" s="92" t="s">
        <v>2257</v>
      </c>
      <c r="W260" s="136">
        <v>5.43993389E8</v>
      </c>
      <c r="X260" s="92" t="s">
        <v>2061</v>
      </c>
      <c r="Y260" s="111">
        <v>5.47804456E8</v>
      </c>
      <c r="Z260" s="117" t="s">
        <v>43</v>
      </c>
      <c r="AA260" s="111">
        <v>2.0</v>
      </c>
      <c r="AB260" s="92" t="s">
        <v>2258</v>
      </c>
      <c r="AC260" s="92" t="s">
        <v>169</v>
      </c>
      <c r="AD260" s="92" t="s">
        <v>2259</v>
      </c>
      <c r="AE260" s="92"/>
      <c r="AF260" s="92" t="s">
        <v>2260</v>
      </c>
    </row>
    <row r="261" hidden="1">
      <c r="A261" s="144" t="s">
        <v>157</v>
      </c>
      <c r="B261" s="120" t="s">
        <v>140</v>
      </c>
      <c r="C261" s="120" t="s">
        <v>238</v>
      </c>
      <c r="D261" s="156" t="s">
        <v>2261</v>
      </c>
      <c r="E261" s="124" t="s">
        <v>2262</v>
      </c>
      <c r="F261" s="130">
        <v>24.11</v>
      </c>
      <c r="G261" s="124" t="s">
        <v>90</v>
      </c>
      <c r="H261" s="130">
        <f>IFERROR(__xludf.DUMMYFUNCTION("IF(ISDATE(S261), DATEDIF(S261, TODAY(), ""Y""), """")"),4.0)</f>
        <v>4</v>
      </c>
      <c r="I261" s="124" t="s">
        <v>2263</v>
      </c>
      <c r="J261" s="124" t="s">
        <v>2264</v>
      </c>
      <c r="K261" s="131"/>
      <c r="L261" s="124" t="s">
        <v>92</v>
      </c>
      <c r="M261" s="124" t="s">
        <v>238</v>
      </c>
      <c r="N261" s="124" t="s">
        <v>36</v>
      </c>
      <c r="O261" s="124" t="s">
        <v>2265</v>
      </c>
      <c r="P261" s="131"/>
      <c r="Q261" s="124" t="s">
        <v>36</v>
      </c>
      <c r="R261" s="130">
        <v>2.29889456E8</v>
      </c>
      <c r="S261" s="156">
        <v>44319.0</v>
      </c>
      <c r="T261" s="124" t="s">
        <v>2266</v>
      </c>
      <c r="U261" s="130" t="s">
        <v>1830</v>
      </c>
      <c r="V261" s="124" t="s">
        <v>299</v>
      </c>
      <c r="W261" s="130">
        <v>5.844448719E9</v>
      </c>
      <c r="X261" s="124" t="s">
        <v>2267</v>
      </c>
      <c r="Y261" s="130">
        <v>5.84122091E8</v>
      </c>
      <c r="Z261" s="124" t="s">
        <v>43</v>
      </c>
      <c r="AA261" s="130">
        <v>3.0</v>
      </c>
      <c r="AB261" s="124" t="s">
        <v>2268</v>
      </c>
      <c r="AC261" s="120" t="s">
        <v>156</v>
      </c>
      <c r="AD261" s="131"/>
      <c r="AE261" s="131"/>
      <c r="AF261" s="124" t="s">
        <v>1762</v>
      </c>
    </row>
    <row r="262" hidden="1">
      <c r="A262" s="144" t="s">
        <v>157</v>
      </c>
      <c r="B262" s="92" t="s">
        <v>140</v>
      </c>
      <c r="C262" s="92" t="s">
        <v>238</v>
      </c>
      <c r="D262" s="111" t="s">
        <v>2269</v>
      </c>
      <c r="E262" s="92" t="s">
        <v>2270</v>
      </c>
      <c r="F262" s="111" t="s">
        <v>1250</v>
      </c>
      <c r="G262" s="92" t="s">
        <v>31</v>
      </c>
      <c r="H262" s="136">
        <f>IFERROR(__xludf.DUMMYFUNCTION("IF(ISDATE(S262), DATEDIF(S262, TODAY(), ""Y""), """")"),5.0)</f>
        <v>5</v>
      </c>
      <c r="I262" s="127"/>
      <c r="J262" s="92" t="s">
        <v>145</v>
      </c>
      <c r="K262" s="127"/>
      <c r="L262" s="92" t="s">
        <v>610</v>
      </c>
      <c r="M262" s="92" t="s">
        <v>2066</v>
      </c>
      <c r="N262" s="92" t="s">
        <v>44</v>
      </c>
      <c r="O262" s="127"/>
      <c r="P262" s="92" t="s">
        <v>2271</v>
      </c>
      <c r="Q262" s="92" t="s">
        <v>44</v>
      </c>
      <c r="R262" s="111">
        <v>2.29909346E8</v>
      </c>
      <c r="S262" s="126">
        <v>44048.0</v>
      </c>
      <c r="T262" s="92" t="s">
        <v>1280</v>
      </c>
      <c r="U262" s="111" t="s">
        <v>2272</v>
      </c>
      <c r="V262" s="92" t="s">
        <v>84</v>
      </c>
      <c r="W262" s="111">
        <v>5.0955011E8</v>
      </c>
      <c r="X262" s="92" t="s">
        <v>2273</v>
      </c>
      <c r="Y262" s="111">
        <v>5.45889588E8</v>
      </c>
      <c r="Z262" s="117" t="s">
        <v>43</v>
      </c>
      <c r="AA262" s="111">
        <v>6.0</v>
      </c>
      <c r="AB262" s="127"/>
      <c r="AC262" s="92" t="s">
        <v>156</v>
      </c>
      <c r="AD262" s="92" t="s">
        <v>2274</v>
      </c>
      <c r="AE262" s="92"/>
      <c r="AF262" s="92" t="s">
        <v>1762</v>
      </c>
    </row>
    <row r="263" hidden="1">
      <c r="A263" s="84" t="s">
        <v>157</v>
      </c>
      <c r="B263" s="120" t="s">
        <v>140</v>
      </c>
      <c r="C263" s="120" t="s">
        <v>238</v>
      </c>
      <c r="D263" s="130" t="s">
        <v>698</v>
      </c>
      <c r="E263" s="124" t="s">
        <v>2275</v>
      </c>
      <c r="F263" s="130" t="s">
        <v>698</v>
      </c>
      <c r="G263" s="211" t="s">
        <v>31</v>
      </c>
      <c r="H263" s="211">
        <v>5.9</v>
      </c>
      <c r="I263" s="211" t="s">
        <v>2276</v>
      </c>
      <c r="J263" s="211" t="s">
        <v>2277</v>
      </c>
      <c r="K263" s="170"/>
      <c r="L263" s="211" t="s">
        <v>2278</v>
      </c>
      <c r="M263" s="178" t="s">
        <v>238</v>
      </c>
      <c r="N263" s="211" t="s">
        <v>36</v>
      </c>
      <c r="O263" s="212" t="s">
        <v>1287</v>
      </c>
      <c r="P263" s="178"/>
      <c r="Q263" s="213" t="s">
        <v>2279</v>
      </c>
      <c r="R263" s="211">
        <v>2.30284374E8</v>
      </c>
      <c r="S263" s="213">
        <v>43852.0</v>
      </c>
      <c r="T263" s="211" t="s">
        <v>2280</v>
      </c>
      <c r="U263" s="211">
        <v>9.25</v>
      </c>
      <c r="V263" s="211" t="s">
        <v>1709</v>
      </c>
      <c r="W263" s="214" t="s">
        <v>2281</v>
      </c>
      <c r="X263" s="211" t="s">
        <v>203</v>
      </c>
      <c r="Y263" s="214" t="s">
        <v>2282</v>
      </c>
      <c r="Z263" s="124" t="s">
        <v>43</v>
      </c>
      <c r="AA263" s="178" t="s">
        <v>623</v>
      </c>
      <c r="AB263" s="211"/>
      <c r="AC263" s="178" t="s">
        <v>156</v>
      </c>
      <c r="AD263" s="131"/>
      <c r="AE263" s="131"/>
      <c r="AF263" s="124"/>
    </row>
    <row r="264" hidden="1">
      <c r="A264" s="92" t="s">
        <v>157</v>
      </c>
      <c r="B264" s="92" t="s">
        <v>158</v>
      </c>
      <c r="C264" s="92" t="s">
        <v>159</v>
      </c>
      <c r="D264" s="117" t="s">
        <v>142</v>
      </c>
      <c r="E264" s="117" t="s">
        <v>2283</v>
      </c>
      <c r="F264" s="146">
        <v>45819.0</v>
      </c>
      <c r="G264" s="117" t="s">
        <v>90</v>
      </c>
      <c r="H264" s="136">
        <f>IFERROR(__xludf.DUMMYFUNCTION("IF(ISDATE(S264), DATEDIF(S264, TODAY(), ""Y""), """")"),2.0)</f>
        <v>2</v>
      </c>
      <c r="I264" s="117" t="s">
        <v>2284</v>
      </c>
      <c r="J264" s="117" t="s">
        <v>47</v>
      </c>
      <c r="K264" s="119"/>
      <c r="L264" s="117" t="s">
        <v>49</v>
      </c>
      <c r="M264" s="117" t="s">
        <v>704</v>
      </c>
      <c r="N264" s="117" t="s">
        <v>44</v>
      </c>
      <c r="O264" s="119"/>
      <c r="P264" s="117" t="s">
        <v>794</v>
      </c>
      <c r="Q264" s="117" t="s">
        <v>2285</v>
      </c>
      <c r="R264" s="114">
        <v>2.38915706E8</v>
      </c>
      <c r="S264" s="148">
        <v>45276.0</v>
      </c>
      <c r="T264" s="117" t="s">
        <v>380</v>
      </c>
      <c r="U264" s="114" t="s">
        <v>2286</v>
      </c>
      <c r="V264" s="117" t="s">
        <v>1709</v>
      </c>
      <c r="W264" s="147" t="s">
        <v>2287</v>
      </c>
      <c r="X264" s="117" t="s">
        <v>2288</v>
      </c>
      <c r="Y264" s="147" t="s">
        <v>2289</v>
      </c>
      <c r="Z264" s="117" t="s">
        <v>43</v>
      </c>
      <c r="AA264" s="114">
        <v>2.0</v>
      </c>
      <c r="AB264" s="119"/>
      <c r="AC264" s="92" t="s">
        <v>169</v>
      </c>
      <c r="AD264" s="119"/>
      <c r="AE264" s="119"/>
      <c r="AF264" s="119"/>
    </row>
    <row r="265" hidden="1">
      <c r="A265" s="135" t="s">
        <v>157</v>
      </c>
      <c r="B265" s="120" t="s">
        <v>140</v>
      </c>
      <c r="C265" s="122" t="s">
        <v>238</v>
      </c>
      <c r="D265" s="121">
        <v>45978.0</v>
      </c>
      <c r="E265" s="120" t="s">
        <v>2290</v>
      </c>
      <c r="F265" s="122"/>
      <c r="G265" s="120" t="s">
        <v>31</v>
      </c>
      <c r="H265" s="130">
        <f>IFERROR(__xludf.DUMMYFUNCTION("IF(ISDATE(S265), DATEDIF(S265, TODAY(), ""Y""), """")"),5.0)</f>
        <v>5</v>
      </c>
      <c r="I265" s="120" t="s">
        <v>2291</v>
      </c>
      <c r="J265" s="120" t="s">
        <v>2292</v>
      </c>
      <c r="K265" s="139"/>
      <c r="L265" s="120" t="s">
        <v>92</v>
      </c>
      <c r="M265" s="120" t="s">
        <v>2293</v>
      </c>
      <c r="N265" s="120" t="s">
        <v>36</v>
      </c>
      <c r="O265" s="120" t="s">
        <v>2294</v>
      </c>
      <c r="P265" s="139"/>
      <c r="Q265" s="120" t="s">
        <v>36</v>
      </c>
      <c r="R265" s="122">
        <v>2.33188804E8</v>
      </c>
      <c r="S265" s="121">
        <v>43911.0</v>
      </c>
      <c r="T265" s="120" t="s">
        <v>726</v>
      </c>
      <c r="U265" s="182">
        <v>45217.0</v>
      </c>
      <c r="V265" s="120" t="s">
        <v>1149</v>
      </c>
      <c r="W265" s="123">
        <v>4.5624848E7</v>
      </c>
      <c r="X265" s="120" t="s">
        <v>42</v>
      </c>
      <c r="Y265" s="122">
        <v>5.45662833E8</v>
      </c>
      <c r="Z265" s="124" t="s">
        <v>43</v>
      </c>
      <c r="AA265" s="122">
        <v>4.0</v>
      </c>
      <c r="AB265" s="120" t="s">
        <v>2295</v>
      </c>
      <c r="AC265" s="120" t="s">
        <v>169</v>
      </c>
      <c r="AD265" s="120"/>
      <c r="AE265" s="120"/>
      <c r="AF265" s="120" t="s">
        <v>2296</v>
      </c>
    </row>
    <row r="266" hidden="1">
      <c r="A266" s="135" t="s">
        <v>157</v>
      </c>
      <c r="B266" s="92" t="s">
        <v>140</v>
      </c>
      <c r="C266" s="111" t="s">
        <v>238</v>
      </c>
      <c r="D266" s="148" t="s">
        <v>2297</v>
      </c>
      <c r="E266" s="117" t="s">
        <v>2298</v>
      </c>
      <c r="F266" s="146">
        <v>45840.0</v>
      </c>
      <c r="G266" s="117" t="s">
        <v>90</v>
      </c>
      <c r="H266" s="114">
        <f>IFERROR(__xludf.DUMMYFUNCTION("IF(ISDATE(S266), DATEDIF(S266, TODAY(), ""Y""), """")"),5.0)</f>
        <v>5</v>
      </c>
      <c r="I266" s="117" t="s">
        <v>2299</v>
      </c>
      <c r="J266" s="117" t="s">
        <v>163</v>
      </c>
      <c r="K266" s="119"/>
      <c r="L266" s="117" t="s">
        <v>92</v>
      </c>
      <c r="M266" s="114" t="s">
        <v>2300</v>
      </c>
      <c r="N266" s="117" t="s">
        <v>36</v>
      </c>
      <c r="O266" s="119" t="s">
        <v>2301</v>
      </c>
      <c r="P266" s="117"/>
      <c r="Q266" s="117" t="s">
        <v>36</v>
      </c>
      <c r="R266" s="114">
        <v>2.33363571E8</v>
      </c>
      <c r="S266" s="148">
        <v>44045.0</v>
      </c>
      <c r="T266" s="117" t="s">
        <v>38</v>
      </c>
      <c r="U266" s="114" t="s">
        <v>548</v>
      </c>
      <c r="V266" s="117" t="s">
        <v>1397</v>
      </c>
      <c r="W266" s="147" t="s">
        <v>2302</v>
      </c>
      <c r="X266" s="117" t="s">
        <v>1510</v>
      </c>
      <c r="Y266" s="147" t="s">
        <v>2303</v>
      </c>
      <c r="Z266" s="117" t="s">
        <v>43</v>
      </c>
      <c r="AA266" s="114">
        <v>2.0</v>
      </c>
      <c r="AB266" s="119" t="s">
        <v>2304</v>
      </c>
      <c r="AC266" s="117" t="s">
        <v>169</v>
      </c>
      <c r="AD266" s="119"/>
      <c r="AE266" s="119"/>
      <c r="AF266" s="117" t="s">
        <v>2305</v>
      </c>
    </row>
    <row r="267" hidden="1">
      <c r="A267" s="84" t="s">
        <v>157</v>
      </c>
      <c r="B267" s="120" t="s">
        <v>140</v>
      </c>
      <c r="C267" s="120" t="s">
        <v>409</v>
      </c>
      <c r="D267" s="130" t="s">
        <v>698</v>
      </c>
      <c r="E267" s="124" t="s">
        <v>2306</v>
      </c>
      <c r="F267" s="130" t="s">
        <v>698</v>
      </c>
      <c r="G267" s="211" t="s">
        <v>90</v>
      </c>
      <c r="H267" s="211">
        <v>3.0</v>
      </c>
      <c r="I267" s="211" t="s">
        <v>2307</v>
      </c>
      <c r="J267" s="211" t="s">
        <v>517</v>
      </c>
      <c r="K267" s="170"/>
      <c r="L267" s="211" t="s">
        <v>92</v>
      </c>
      <c r="M267" s="178" t="s">
        <v>2308</v>
      </c>
      <c r="N267" s="211" t="s">
        <v>44</v>
      </c>
      <c r="O267" s="212"/>
      <c r="P267" s="215" t="s">
        <v>2309</v>
      </c>
      <c r="Q267" s="213" t="s">
        <v>36</v>
      </c>
      <c r="R267" s="211">
        <v>2.33404789E8</v>
      </c>
      <c r="S267" s="213">
        <v>44850.0</v>
      </c>
      <c r="T267" s="178" t="s">
        <v>1411</v>
      </c>
      <c r="U267" s="214" t="s">
        <v>2310</v>
      </c>
      <c r="V267" s="211" t="s">
        <v>1568</v>
      </c>
      <c r="W267" s="214" t="s">
        <v>2311</v>
      </c>
      <c r="X267" s="211" t="s">
        <v>301</v>
      </c>
      <c r="Y267" s="214" t="s">
        <v>2312</v>
      </c>
      <c r="Z267" s="124" t="s">
        <v>43</v>
      </c>
      <c r="AA267" s="216">
        <v>3.0</v>
      </c>
      <c r="AB267" s="211" t="s">
        <v>2313</v>
      </c>
      <c r="AC267" s="178" t="s">
        <v>169</v>
      </c>
      <c r="AD267" s="131"/>
      <c r="AE267" s="131"/>
      <c r="AF267" s="124"/>
    </row>
    <row r="268" hidden="1">
      <c r="A268" s="135" t="s">
        <v>157</v>
      </c>
      <c r="B268" s="92" t="s">
        <v>140</v>
      </c>
      <c r="C268" s="111" t="s">
        <v>238</v>
      </c>
      <c r="D268" s="126">
        <v>45949.0</v>
      </c>
      <c r="E268" s="92" t="s">
        <v>2314</v>
      </c>
      <c r="F268" s="111" t="s">
        <v>1250</v>
      </c>
      <c r="G268" s="92" t="s">
        <v>90</v>
      </c>
      <c r="H268" s="114">
        <f>IFERROR(__xludf.DUMMYFUNCTION("IF(ISDATE(S268), DATEDIF(S268, TODAY(), ""Y""), """")"),4.0)</f>
        <v>4</v>
      </c>
      <c r="I268" s="92" t="s">
        <v>2315</v>
      </c>
      <c r="J268" s="92" t="s">
        <v>1952</v>
      </c>
      <c r="K268" s="127"/>
      <c r="L268" s="92" t="s">
        <v>610</v>
      </c>
      <c r="M268" s="92" t="s">
        <v>2316</v>
      </c>
      <c r="N268" s="92" t="s">
        <v>36</v>
      </c>
      <c r="O268" s="92" t="s">
        <v>2317</v>
      </c>
      <c r="P268" s="127"/>
      <c r="Q268" s="92" t="s">
        <v>36</v>
      </c>
      <c r="R268" s="111">
        <v>2.33433267E8</v>
      </c>
      <c r="S268" s="126">
        <v>44236.0</v>
      </c>
      <c r="T268" s="92" t="s">
        <v>331</v>
      </c>
      <c r="U268" s="92" t="s">
        <v>2318</v>
      </c>
      <c r="V268" s="92" t="s">
        <v>2319</v>
      </c>
      <c r="W268" s="111">
        <v>5.03531325E8</v>
      </c>
      <c r="X268" s="92" t="s">
        <v>2320</v>
      </c>
      <c r="Y268" s="111">
        <v>5.24440006E8</v>
      </c>
      <c r="Z268" s="117" t="s">
        <v>43</v>
      </c>
      <c r="AA268" s="111">
        <v>3.0</v>
      </c>
      <c r="AB268" s="92" t="s">
        <v>2321</v>
      </c>
      <c r="AC268" s="92" t="s">
        <v>169</v>
      </c>
      <c r="AD268" s="127"/>
      <c r="AE268" s="127"/>
      <c r="AF268" s="92" t="s">
        <v>2014</v>
      </c>
    </row>
    <row r="269" hidden="1">
      <c r="A269" s="144" t="s">
        <v>157</v>
      </c>
      <c r="B269" s="120" t="s">
        <v>140</v>
      </c>
      <c r="C269" s="120" t="s">
        <v>238</v>
      </c>
      <c r="D269" s="130" t="s">
        <v>83</v>
      </c>
      <c r="E269" s="128" t="s">
        <v>2322</v>
      </c>
      <c r="F269" s="129">
        <v>45883.0</v>
      </c>
      <c r="G269" s="128" t="s">
        <v>31</v>
      </c>
      <c r="H269" s="130">
        <f>IFERROR(__xludf.DUMMYFUNCTION("IF(ISDATE(S269), DATEDIF(S269, TODAY(), ""Y""), """")"),4.0)</f>
        <v>4</v>
      </c>
      <c r="I269" s="128" t="s">
        <v>2323</v>
      </c>
      <c r="J269" s="134" t="s">
        <v>47</v>
      </c>
      <c r="K269" s="131"/>
      <c r="L269" s="128" t="s">
        <v>103</v>
      </c>
      <c r="M269" s="128" t="s">
        <v>2324</v>
      </c>
      <c r="N269" s="128" t="s">
        <v>36</v>
      </c>
      <c r="O269" s="128" t="s">
        <v>2325</v>
      </c>
      <c r="P269" s="131"/>
      <c r="Q269" s="128" t="s">
        <v>44</v>
      </c>
      <c r="R269" s="128">
        <v>2.33542414E8</v>
      </c>
      <c r="S269" s="132">
        <v>44407.0</v>
      </c>
      <c r="T269" s="128" t="s">
        <v>2326</v>
      </c>
      <c r="U269" s="128" t="s">
        <v>2327</v>
      </c>
      <c r="V269" s="128" t="s">
        <v>426</v>
      </c>
      <c r="W269" s="143" t="s">
        <v>2328</v>
      </c>
      <c r="X269" s="128" t="s">
        <v>1281</v>
      </c>
      <c r="Y269" s="143" t="s">
        <v>2329</v>
      </c>
      <c r="Z269" s="124" t="s">
        <v>43</v>
      </c>
      <c r="AA269" s="133">
        <v>2.0</v>
      </c>
      <c r="AB269" s="134"/>
      <c r="AC269" s="134" t="s">
        <v>156</v>
      </c>
      <c r="AD269" s="131"/>
      <c r="AE269" s="131"/>
      <c r="AF269" s="124" t="s">
        <v>1762</v>
      </c>
    </row>
    <row r="270" hidden="1">
      <c r="A270" s="92" t="s">
        <v>157</v>
      </c>
      <c r="B270" s="92" t="s">
        <v>158</v>
      </c>
      <c r="C270" s="92" t="s">
        <v>159</v>
      </c>
      <c r="D270" s="117" t="s">
        <v>142</v>
      </c>
      <c r="E270" s="113" t="s">
        <v>2330</v>
      </c>
      <c r="F270" s="137">
        <v>44480.0</v>
      </c>
      <c r="G270" s="113" t="s">
        <v>31</v>
      </c>
      <c r="H270" s="114">
        <f>IFERROR(__xludf.DUMMYFUNCTION("IF(ISDATE(S270), DATEDIF(S270, TODAY(), ""Y""), """")"),8.0)</f>
        <v>8</v>
      </c>
      <c r="I270" s="113" t="s">
        <v>2331</v>
      </c>
      <c r="J270" s="113" t="s">
        <v>2331</v>
      </c>
      <c r="K270" s="119"/>
      <c r="L270" s="113" t="s">
        <v>92</v>
      </c>
      <c r="M270" s="113" t="s">
        <v>2332</v>
      </c>
      <c r="N270" s="113" t="s">
        <v>44</v>
      </c>
      <c r="O270" s="113"/>
      <c r="P270" s="119"/>
      <c r="Q270" s="113" t="s">
        <v>36</v>
      </c>
      <c r="R270" s="113">
        <v>3.05171613E8</v>
      </c>
      <c r="S270" s="118">
        <v>42976.0</v>
      </c>
      <c r="T270" s="113" t="s">
        <v>244</v>
      </c>
      <c r="U270" s="113">
        <v>44284.0</v>
      </c>
      <c r="V270" s="113" t="s">
        <v>2333</v>
      </c>
      <c r="W270" s="113">
        <v>5.47769906E8</v>
      </c>
      <c r="X270" s="113" t="s">
        <v>1658</v>
      </c>
      <c r="Y270" s="113">
        <v>5.25931205E8</v>
      </c>
      <c r="Z270" s="117" t="s">
        <v>43</v>
      </c>
      <c r="AA270" s="138">
        <v>1.0</v>
      </c>
      <c r="AB270" s="116"/>
      <c r="AC270" s="92" t="s">
        <v>169</v>
      </c>
      <c r="AD270" s="119"/>
      <c r="AE270" s="119"/>
      <c r="AF270" s="119"/>
    </row>
    <row r="271" hidden="1">
      <c r="A271" s="120" t="s">
        <v>139</v>
      </c>
      <c r="B271" s="122" t="s">
        <v>158</v>
      </c>
      <c r="C271" s="120" t="s">
        <v>159</v>
      </c>
      <c r="D271" s="124" t="s">
        <v>142</v>
      </c>
      <c r="E271" s="164" t="s">
        <v>2334</v>
      </c>
      <c r="F271" s="165" t="s">
        <v>2335</v>
      </c>
      <c r="G271" s="164" t="s">
        <v>90</v>
      </c>
      <c r="H271" s="130">
        <f>IFERROR(__xludf.DUMMYFUNCTION("IF(ISDATE(S271), DATEDIF(S271, TODAY(), ""Y""), """")"),30.0)</f>
        <v>30</v>
      </c>
      <c r="I271" s="164" t="s">
        <v>2336</v>
      </c>
      <c r="J271" s="120" t="s">
        <v>2337</v>
      </c>
      <c r="K271" s="166">
        <v>5.44853633E8</v>
      </c>
      <c r="L271" s="139"/>
      <c r="M271" s="164" t="s">
        <v>2338</v>
      </c>
      <c r="N271" s="128" t="s">
        <v>44</v>
      </c>
      <c r="O271" s="139"/>
      <c r="P271" s="217" t="s">
        <v>2339</v>
      </c>
      <c r="Q271" s="139"/>
      <c r="R271" s="166">
        <v>3.1479107E8</v>
      </c>
      <c r="S271" s="167">
        <v>35041.0</v>
      </c>
      <c r="T271" s="164" t="s">
        <v>38</v>
      </c>
      <c r="U271" s="139"/>
      <c r="V271" s="139"/>
      <c r="W271" s="139"/>
      <c r="X271" s="164" t="s">
        <v>333</v>
      </c>
      <c r="Y271" s="166">
        <v>5.44853633E8</v>
      </c>
      <c r="Z271" s="131"/>
      <c r="AA271" s="139"/>
      <c r="AB271" s="170" t="s">
        <v>2340</v>
      </c>
      <c r="AC271" s="120" t="s">
        <v>169</v>
      </c>
      <c r="AD271" s="139"/>
      <c r="AE271" s="139"/>
      <c r="AF271" s="139"/>
    </row>
    <row r="272" hidden="1">
      <c r="A272" s="92" t="s">
        <v>139</v>
      </c>
      <c r="B272" s="111" t="s">
        <v>158</v>
      </c>
      <c r="C272" s="92" t="s">
        <v>159</v>
      </c>
      <c r="D272" s="117" t="s">
        <v>142</v>
      </c>
      <c r="E272" s="150" t="s">
        <v>2341</v>
      </c>
      <c r="F272" s="151">
        <v>45883.58562858796</v>
      </c>
      <c r="G272" s="150" t="s">
        <v>90</v>
      </c>
      <c r="H272" s="114">
        <f>IFERROR(__xludf.DUMMYFUNCTION("IF(ISDATE(S272), DATEDIF(S272, TODAY(), ""Y""), """")"),26.0)</f>
        <v>26</v>
      </c>
      <c r="I272" s="150" t="s">
        <v>2342</v>
      </c>
      <c r="J272" s="92" t="s">
        <v>188</v>
      </c>
      <c r="K272" s="152" t="s">
        <v>2343</v>
      </c>
      <c r="L272" s="127"/>
      <c r="M272" s="150" t="s">
        <v>2344</v>
      </c>
      <c r="N272" s="113" t="s">
        <v>44</v>
      </c>
      <c r="O272" s="127"/>
      <c r="P272" s="218">
        <v>46008.0</v>
      </c>
      <c r="Q272" s="127"/>
      <c r="R272" s="157">
        <v>3.15159038E8</v>
      </c>
      <c r="S272" s="153">
        <v>36183.0</v>
      </c>
      <c r="T272" s="150" t="s">
        <v>2345</v>
      </c>
      <c r="U272" s="127"/>
      <c r="V272" s="127"/>
      <c r="W272" s="127"/>
      <c r="X272" s="150" t="s">
        <v>2346</v>
      </c>
      <c r="Y272" s="152" t="s">
        <v>2347</v>
      </c>
      <c r="Z272" s="119"/>
      <c r="AA272" s="127"/>
      <c r="AB272" s="155"/>
      <c r="AC272" s="92" t="s">
        <v>169</v>
      </c>
      <c r="AD272" s="127"/>
      <c r="AE272" s="127"/>
      <c r="AF272" s="127"/>
    </row>
    <row r="273" hidden="1">
      <c r="A273" s="120" t="s">
        <v>139</v>
      </c>
      <c r="B273" s="120" t="s">
        <v>158</v>
      </c>
      <c r="C273" s="120" t="s">
        <v>159</v>
      </c>
      <c r="D273" s="124" t="s">
        <v>142</v>
      </c>
      <c r="E273" s="128" t="s">
        <v>2348</v>
      </c>
      <c r="F273" s="129">
        <v>44538.0</v>
      </c>
      <c r="G273" s="128" t="s">
        <v>90</v>
      </c>
      <c r="H273" s="130">
        <f>IFERROR(__xludf.DUMMYFUNCTION("IF(ISDATE(S273), DATEDIF(S273, TODAY(), ""Y""), """")"),24.0)</f>
        <v>24</v>
      </c>
      <c r="I273" s="128">
        <v>11.0</v>
      </c>
      <c r="J273" s="128" t="s">
        <v>2349</v>
      </c>
      <c r="K273" s="131">
        <v>5.04449417E8</v>
      </c>
      <c r="L273" s="128" t="s">
        <v>103</v>
      </c>
      <c r="M273" s="128" t="s">
        <v>405</v>
      </c>
      <c r="N273" s="128" t="s">
        <v>44</v>
      </c>
      <c r="O273" s="128"/>
      <c r="P273" s="131"/>
      <c r="Q273" s="128" t="s">
        <v>36</v>
      </c>
      <c r="R273" s="128">
        <v>3.15480129E8</v>
      </c>
      <c r="S273" s="132">
        <v>36998.0</v>
      </c>
      <c r="T273" s="128" t="s">
        <v>2350</v>
      </c>
      <c r="U273" s="128">
        <v>43415.0</v>
      </c>
      <c r="V273" s="128" t="s">
        <v>2351</v>
      </c>
      <c r="W273" s="128">
        <v>5.22841269E8</v>
      </c>
      <c r="X273" s="128" t="s">
        <v>2352</v>
      </c>
      <c r="Y273" s="128">
        <v>5.2628016E8</v>
      </c>
      <c r="Z273" s="124" t="s">
        <v>123</v>
      </c>
      <c r="AA273" s="133">
        <v>2.0</v>
      </c>
      <c r="AB273" s="134"/>
      <c r="AC273" s="134" t="s">
        <v>169</v>
      </c>
      <c r="AD273" s="131"/>
      <c r="AE273" s="131"/>
      <c r="AF273" s="131"/>
    </row>
    <row r="274" hidden="1">
      <c r="A274" s="92" t="s">
        <v>139</v>
      </c>
      <c r="B274" s="92" t="s">
        <v>158</v>
      </c>
      <c r="C274" s="92" t="s">
        <v>159</v>
      </c>
      <c r="D274" s="117" t="s">
        <v>142</v>
      </c>
      <c r="E274" s="113" t="s">
        <v>2353</v>
      </c>
      <c r="F274" s="137" t="s">
        <v>2354</v>
      </c>
      <c r="G274" s="113" t="s">
        <v>90</v>
      </c>
      <c r="H274" s="114">
        <f>IFERROR(__xludf.DUMMYFUNCTION("IF(ISDATE(S274), DATEDIF(S274, TODAY(), ""Y""), """")"),25.0)</f>
        <v>25</v>
      </c>
      <c r="I274" s="113" t="s">
        <v>2355</v>
      </c>
      <c r="J274" s="113" t="s">
        <v>197</v>
      </c>
      <c r="K274" s="119">
        <v>5.47474978E8</v>
      </c>
      <c r="L274" s="113" t="s">
        <v>164</v>
      </c>
      <c r="M274" s="113"/>
      <c r="N274" s="113" t="s">
        <v>44</v>
      </c>
      <c r="O274" s="113"/>
      <c r="P274" s="119"/>
      <c r="Q274" s="113" t="s">
        <v>36</v>
      </c>
      <c r="R274" s="113">
        <v>3.18938172E8</v>
      </c>
      <c r="S274" s="118">
        <v>36595.0</v>
      </c>
      <c r="T274" s="113" t="s">
        <v>2356</v>
      </c>
      <c r="U274" s="113">
        <v>43958.0</v>
      </c>
      <c r="V274" s="113" t="s">
        <v>2357</v>
      </c>
      <c r="W274" s="113">
        <v>5.49101033E8</v>
      </c>
      <c r="X274" s="113" t="s">
        <v>2358</v>
      </c>
      <c r="Y274" s="113">
        <v>5.07962495E8</v>
      </c>
      <c r="Z274" s="117" t="s">
        <v>43</v>
      </c>
      <c r="AA274" s="138">
        <v>3.0</v>
      </c>
      <c r="AB274" s="116"/>
      <c r="AC274" s="116" t="s">
        <v>169</v>
      </c>
      <c r="AD274" s="119"/>
      <c r="AE274" s="119"/>
      <c r="AF274" s="119"/>
    </row>
    <row r="275" hidden="1">
      <c r="A275" s="120" t="s">
        <v>139</v>
      </c>
      <c r="B275" s="120" t="s">
        <v>158</v>
      </c>
      <c r="C275" s="120" t="s">
        <v>159</v>
      </c>
      <c r="D275" s="124" t="s">
        <v>142</v>
      </c>
      <c r="E275" s="128" t="s">
        <v>2359</v>
      </c>
      <c r="F275" s="129">
        <v>44477.0</v>
      </c>
      <c r="G275" s="128" t="s">
        <v>31</v>
      </c>
      <c r="H275" s="130">
        <f>IFERROR(__xludf.DUMMYFUNCTION("IF(ISDATE(S275), DATEDIF(S275, TODAY(), ""Y""), """")"),25.0)</f>
        <v>25</v>
      </c>
      <c r="I275" s="128" t="s">
        <v>2360</v>
      </c>
      <c r="J275" s="128" t="s">
        <v>2361</v>
      </c>
      <c r="K275" s="131">
        <v>5.23872638E8</v>
      </c>
      <c r="L275" s="128" t="s">
        <v>164</v>
      </c>
      <c r="M275" s="128" t="s">
        <v>2362</v>
      </c>
      <c r="N275" s="128" t="s">
        <v>44</v>
      </c>
      <c r="O275" s="128"/>
      <c r="P275" s="131"/>
      <c r="Q275" s="128" t="s">
        <v>44</v>
      </c>
      <c r="R275" s="128">
        <v>3.19129185E8</v>
      </c>
      <c r="S275" s="132">
        <v>36646.0</v>
      </c>
      <c r="T275" s="128" t="s">
        <v>2363</v>
      </c>
      <c r="U275" s="128">
        <v>42610.0</v>
      </c>
      <c r="V275" s="128" t="s">
        <v>1253</v>
      </c>
      <c r="W275" s="128">
        <v>5.02935113E8</v>
      </c>
      <c r="X275" s="128" t="s">
        <v>1335</v>
      </c>
      <c r="Y275" s="128">
        <v>5.03674608E8</v>
      </c>
      <c r="Z275" s="124" t="s">
        <v>43</v>
      </c>
      <c r="AA275" s="133">
        <v>2.0</v>
      </c>
      <c r="AB275" s="134"/>
      <c r="AC275" s="134" t="s">
        <v>169</v>
      </c>
      <c r="AD275" s="131"/>
      <c r="AE275" s="131"/>
      <c r="AF275" s="131"/>
    </row>
    <row r="276" hidden="1">
      <c r="A276" s="92" t="s">
        <v>139</v>
      </c>
      <c r="B276" s="92" t="s">
        <v>158</v>
      </c>
      <c r="C276" s="92" t="s">
        <v>159</v>
      </c>
      <c r="D276" s="117" t="s">
        <v>142</v>
      </c>
      <c r="E276" s="113" t="s">
        <v>2364</v>
      </c>
      <c r="F276" s="137" t="s">
        <v>255</v>
      </c>
      <c r="G276" s="113" t="s">
        <v>90</v>
      </c>
      <c r="H276" s="114">
        <f>IFERROR(__xludf.DUMMYFUNCTION("IF(ISDATE(S276), DATEDIF(S276, TODAY(), ""Y""), """")"),23.0)</f>
        <v>23</v>
      </c>
      <c r="I276" s="113" t="s">
        <v>2365</v>
      </c>
      <c r="J276" s="113" t="s">
        <v>257</v>
      </c>
      <c r="K276" s="119">
        <v>5.09509994E8</v>
      </c>
      <c r="L276" s="113" t="s">
        <v>164</v>
      </c>
      <c r="M276" s="113" t="s">
        <v>2366</v>
      </c>
      <c r="N276" s="113" t="s">
        <v>44</v>
      </c>
      <c r="O276" s="113"/>
      <c r="P276" s="119"/>
      <c r="Q276" s="113" t="s">
        <v>2367</v>
      </c>
      <c r="R276" s="113">
        <v>3.22462672E8</v>
      </c>
      <c r="S276" s="118">
        <v>37390.0</v>
      </c>
      <c r="T276" s="113" t="s">
        <v>266</v>
      </c>
      <c r="U276" s="113">
        <v>44073.0</v>
      </c>
      <c r="V276" s="113" t="s">
        <v>921</v>
      </c>
      <c r="W276" s="113">
        <v>5.35970237E8</v>
      </c>
      <c r="X276" s="113" t="s">
        <v>2368</v>
      </c>
      <c r="Y276" s="113">
        <v>5.27500261E8</v>
      </c>
      <c r="Z276" s="117" t="s">
        <v>123</v>
      </c>
      <c r="AA276" s="138">
        <v>3.0</v>
      </c>
      <c r="AB276" s="116"/>
      <c r="AC276" s="92" t="s">
        <v>169</v>
      </c>
      <c r="AD276" s="119"/>
      <c r="AE276" s="119"/>
      <c r="AF276" s="119"/>
    </row>
    <row r="277" hidden="1">
      <c r="A277" s="120" t="s">
        <v>139</v>
      </c>
      <c r="B277" s="122" t="s">
        <v>158</v>
      </c>
      <c r="C277" s="120" t="s">
        <v>159</v>
      </c>
      <c r="D277" s="124" t="s">
        <v>142</v>
      </c>
      <c r="E277" s="219" t="s">
        <v>2369</v>
      </c>
      <c r="F277" s="220">
        <v>45618.443728680555</v>
      </c>
      <c r="G277" s="219" t="s">
        <v>90</v>
      </c>
      <c r="H277" s="130">
        <f>IFERROR(__xludf.DUMMYFUNCTION("IF(ISDATE(S277), DATEDIF(S277, TODAY(), ""Y""), """")"),23.0)</f>
        <v>23</v>
      </c>
      <c r="I277" s="219" t="s">
        <v>2370</v>
      </c>
      <c r="J277" s="221" t="s">
        <v>2371</v>
      </c>
      <c r="K277" s="222" t="s">
        <v>2372</v>
      </c>
      <c r="L277" s="139"/>
      <c r="M277" s="219" t="s">
        <v>2373</v>
      </c>
      <c r="N277" s="128" t="s">
        <v>44</v>
      </c>
      <c r="O277" s="139"/>
      <c r="P277" s="223">
        <v>45172.0</v>
      </c>
      <c r="Q277" s="139"/>
      <c r="R277" s="219">
        <v>3.22493255E8</v>
      </c>
      <c r="S277" s="224">
        <v>37330.0</v>
      </c>
      <c r="T277" s="219" t="s">
        <v>2374</v>
      </c>
      <c r="U277" s="139"/>
      <c r="V277" s="139"/>
      <c r="W277" s="139"/>
      <c r="X277" s="219" t="s">
        <v>2375</v>
      </c>
      <c r="Y277" s="222" t="s">
        <v>2376</v>
      </c>
      <c r="Z277" s="131"/>
      <c r="AA277" s="139"/>
      <c r="AB277" s="225"/>
      <c r="AC277" s="120" t="s">
        <v>169</v>
      </c>
      <c r="AD277" s="139"/>
      <c r="AE277" s="139"/>
      <c r="AF277" s="139"/>
    </row>
    <row r="278" hidden="1">
      <c r="A278" s="92" t="s">
        <v>139</v>
      </c>
      <c r="B278" s="111" t="s">
        <v>158</v>
      </c>
      <c r="C278" s="92" t="s">
        <v>159</v>
      </c>
      <c r="D278" s="117" t="s">
        <v>142</v>
      </c>
      <c r="E278" s="226" t="s">
        <v>2377</v>
      </c>
      <c r="F278" s="227">
        <v>45622.71189802083</v>
      </c>
      <c r="G278" s="226" t="s">
        <v>90</v>
      </c>
      <c r="H278" s="114">
        <f>IFERROR(__xludf.DUMMYFUNCTION("IF(ISDATE(S278), DATEDIF(S278, TODAY(), ""Y""), """")"),25.0)</f>
        <v>25</v>
      </c>
      <c r="I278" s="226" t="s">
        <v>2378</v>
      </c>
      <c r="J278" s="228" t="s">
        <v>188</v>
      </c>
      <c r="K278" s="229" t="s">
        <v>2379</v>
      </c>
      <c r="L278" s="127"/>
      <c r="M278" s="230" t="s">
        <v>2380</v>
      </c>
      <c r="N278" s="92" t="s">
        <v>44</v>
      </c>
      <c r="O278" s="127"/>
      <c r="P278" s="226"/>
      <c r="Q278" s="127"/>
      <c r="R278" s="226">
        <v>3.22669516E8</v>
      </c>
      <c r="S278" s="231">
        <v>36894.0</v>
      </c>
      <c r="T278" s="226" t="s">
        <v>2008</v>
      </c>
      <c r="U278" s="127"/>
      <c r="V278" s="127"/>
      <c r="W278" s="127"/>
      <c r="X278" s="226" t="s">
        <v>2381</v>
      </c>
      <c r="Y278" s="229" t="s">
        <v>2382</v>
      </c>
      <c r="Z278" s="119"/>
      <c r="AA278" s="127"/>
      <c r="AB278" s="232"/>
      <c r="AC278" s="92" t="s">
        <v>169</v>
      </c>
      <c r="AD278" s="127"/>
      <c r="AE278" s="127"/>
      <c r="AF278" s="127"/>
    </row>
    <row r="279" hidden="1">
      <c r="A279" s="120" t="s">
        <v>139</v>
      </c>
      <c r="B279" s="120" t="s">
        <v>158</v>
      </c>
      <c r="C279" s="120" t="s">
        <v>159</v>
      </c>
      <c r="D279" s="124" t="s">
        <v>142</v>
      </c>
      <c r="E279" s="128" t="s">
        <v>2383</v>
      </c>
      <c r="F279" s="129" t="s">
        <v>2384</v>
      </c>
      <c r="G279" s="128" t="s">
        <v>90</v>
      </c>
      <c r="H279" s="130">
        <f>IFERROR(__xludf.DUMMYFUNCTION("IF(ISDATE(S279), DATEDIF(S279, TODAY(), ""Y""), """")"),25.0)</f>
        <v>25</v>
      </c>
      <c r="I279" s="128" t="s">
        <v>2385</v>
      </c>
      <c r="J279" s="128" t="s">
        <v>1952</v>
      </c>
      <c r="K279" s="131">
        <v>5.26754467E8</v>
      </c>
      <c r="L279" s="128" t="s">
        <v>164</v>
      </c>
      <c r="M279" s="128" t="s">
        <v>2386</v>
      </c>
      <c r="N279" s="128" t="s">
        <v>44</v>
      </c>
      <c r="O279" s="128"/>
      <c r="P279" s="131"/>
      <c r="Q279" s="128" t="s">
        <v>36</v>
      </c>
      <c r="R279" s="128">
        <v>3.22755836E8</v>
      </c>
      <c r="S279" s="132">
        <v>36658.0</v>
      </c>
      <c r="T279" s="128" t="s">
        <v>1745</v>
      </c>
      <c r="U279" s="128">
        <v>43234.0</v>
      </c>
      <c r="V279" s="128" t="s">
        <v>2387</v>
      </c>
      <c r="W279" s="128">
        <v>5.2465865E7</v>
      </c>
      <c r="X279" s="128" t="s">
        <v>491</v>
      </c>
      <c r="Y279" s="128">
        <v>5.25822507E8</v>
      </c>
      <c r="Z279" s="124" t="s">
        <v>123</v>
      </c>
      <c r="AA279" s="133">
        <v>2.0</v>
      </c>
      <c r="AB279" s="134"/>
      <c r="AC279" s="134" t="s">
        <v>169</v>
      </c>
      <c r="AD279" s="131"/>
      <c r="AE279" s="131"/>
      <c r="AF279" s="131"/>
    </row>
    <row r="280" hidden="1">
      <c r="A280" s="92" t="s">
        <v>139</v>
      </c>
      <c r="B280" s="111" t="s">
        <v>158</v>
      </c>
      <c r="C280" s="92" t="s">
        <v>159</v>
      </c>
      <c r="D280" s="117" t="s">
        <v>142</v>
      </c>
      <c r="E280" s="226" t="s">
        <v>2388</v>
      </c>
      <c r="F280" s="227">
        <v>45601.297803113426</v>
      </c>
      <c r="G280" s="226" t="s">
        <v>31</v>
      </c>
      <c r="H280" s="114">
        <f>IFERROR(__xludf.DUMMYFUNCTION("IF(ISDATE(S280), DATEDIF(S280, TODAY(), ""Y""), """")"),24.0)</f>
        <v>24</v>
      </c>
      <c r="I280" s="226" t="s">
        <v>2389</v>
      </c>
      <c r="J280" s="228" t="s">
        <v>2390</v>
      </c>
      <c r="K280" s="229" t="s">
        <v>2391</v>
      </c>
      <c r="L280" s="127"/>
      <c r="M280" s="226" t="s">
        <v>481</v>
      </c>
      <c r="N280" s="92" t="s">
        <v>44</v>
      </c>
      <c r="O280" s="127"/>
      <c r="P280" s="226"/>
      <c r="Q280" s="127"/>
      <c r="R280" s="226">
        <v>3.22783747E8</v>
      </c>
      <c r="S280" s="231">
        <v>37215.0</v>
      </c>
      <c r="T280" s="226" t="s">
        <v>2392</v>
      </c>
      <c r="U280" s="127"/>
      <c r="V280" s="127"/>
      <c r="W280" s="127"/>
      <c r="X280" s="226" t="s">
        <v>2393</v>
      </c>
      <c r="Y280" s="229" t="s">
        <v>2394</v>
      </c>
      <c r="Z280" s="119"/>
      <c r="AA280" s="127"/>
      <c r="AB280" s="232"/>
      <c r="AC280" s="92" t="s">
        <v>169</v>
      </c>
      <c r="AD280" s="127"/>
      <c r="AE280" s="127"/>
      <c r="AF280" s="127"/>
    </row>
    <row r="281" hidden="1">
      <c r="A281" s="120" t="s">
        <v>139</v>
      </c>
      <c r="B281" s="120" t="s">
        <v>158</v>
      </c>
      <c r="C281" s="120" t="s">
        <v>159</v>
      </c>
      <c r="D281" s="124" t="s">
        <v>142</v>
      </c>
      <c r="E281" s="128" t="s">
        <v>2395</v>
      </c>
      <c r="F281" s="129" t="s">
        <v>2396</v>
      </c>
      <c r="G281" s="128" t="s">
        <v>90</v>
      </c>
      <c r="H281" s="130">
        <f>IFERROR(__xludf.DUMMYFUNCTION("IF(ISDATE(S281), DATEDIF(S281, TODAY(), ""Y""), """")"),22.0)</f>
        <v>22</v>
      </c>
      <c r="I281" s="128">
        <v>22433.0</v>
      </c>
      <c r="J281" s="128" t="s">
        <v>2187</v>
      </c>
      <c r="K281" s="131">
        <v>5.0767043E8</v>
      </c>
      <c r="L281" s="128" t="s">
        <v>423</v>
      </c>
      <c r="M281" s="128" t="s">
        <v>2397</v>
      </c>
      <c r="N281" s="128" t="s">
        <v>44</v>
      </c>
      <c r="O281" s="128"/>
      <c r="P281" s="131"/>
      <c r="Q281" s="128" t="s">
        <v>44</v>
      </c>
      <c r="R281" s="128">
        <v>3.22901745E8</v>
      </c>
      <c r="S281" s="132">
        <v>37736.0</v>
      </c>
      <c r="T281" s="128" t="s">
        <v>837</v>
      </c>
      <c r="U281" s="128">
        <v>44192.0</v>
      </c>
      <c r="V281" s="128" t="s">
        <v>2398</v>
      </c>
      <c r="W281" s="128">
        <v>5.06790547E8</v>
      </c>
      <c r="X281" s="128" t="s">
        <v>2399</v>
      </c>
      <c r="Y281" s="128">
        <v>5.06790548E8</v>
      </c>
      <c r="Z281" s="124" t="s">
        <v>123</v>
      </c>
      <c r="AA281" s="133">
        <v>1.0</v>
      </c>
      <c r="AB281" s="134"/>
      <c r="AC281" s="120" t="s">
        <v>169</v>
      </c>
      <c r="AD281" s="131"/>
      <c r="AE281" s="131"/>
      <c r="AF281" s="131"/>
    </row>
    <row r="282" hidden="1">
      <c r="A282" s="92" t="s">
        <v>139</v>
      </c>
      <c r="B282" s="92" t="s">
        <v>158</v>
      </c>
      <c r="C282" s="92" t="s">
        <v>159</v>
      </c>
      <c r="D282" s="117" t="s">
        <v>142</v>
      </c>
      <c r="E282" s="113" t="s">
        <v>2400</v>
      </c>
      <c r="F282" s="137" t="s">
        <v>2401</v>
      </c>
      <c r="G282" s="113" t="s">
        <v>90</v>
      </c>
      <c r="H282" s="114">
        <f>IFERROR(__xludf.DUMMYFUNCTION("IF(ISDATE(S282), DATEDIF(S282, TODAY(), ""Y""), """")"),24.0)</f>
        <v>24</v>
      </c>
      <c r="I282" s="113" t="s">
        <v>2402</v>
      </c>
      <c r="J282" s="113" t="s">
        <v>2403</v>
      </c>
      <c r="K282" s="119">
        <v>5.08170364E8</v>
      </c>
      <c r="L282" s="113" t="s">
        <v>34</v>
      </c>
      <c r="M282" s="113" t="s">
        <v>2404</v>
      </c>
      <c r="N282" s="113" t="s">
        <v>44</v>
      </c>
      <c r="O282" s="113"/>
      <c r="P282" s="119"/>
      <c r="Q282" s="113" t="s">
        <v>2405</v>
      </c>
      <c r="R282" s="113">
        <v>3.22917832E8</v>
      </c>
      <c r="S282" s="118">
        <v>36912.0</v>
      </c>
      <c r="T282" s="113" t="s">
        <v>837</v>
      </c>
      <c r="U282" s="113">
        <v>43574.0</v>
      </c>
      <c r="V282" s="113" t="s">
        <v>707</v>
      </c>
      <c r="W282" s="113">
        <v>5.07350646E8</v>
      </c>
      <c r="X282" s="113" t="s">
        <v>2406</v>
      </c>
      <c r="Y282" s="113">
        <v>5.05577715E8</v>
      </c>
      <c r="Z282" s="117" t="s">
        <v>43</v>
      </c>
      <c r="AA282" s="138"/>
      <c r="AB282" s="116"/>
      <c r="AC282" s="116" t="s">
        <v>169</v>
      </c>
      <c r="AD282" s="119"/>
      <c r="AE282" s="119"/>
      <c r="AF282" s="119"/>
    </row>
    <row r="283" hidden="1">
      <c r="A283" s="120" t="s">
        <v>139</v>
      </c>
      <c r="B283" s="122" t="s">
        <v>158</v>
      </c>
      <c r="C283" s="120" t="s">
        <v>159</v>
      </c>
      <c r="D283" s="124" t="s">
        <v>142</v>
      </c>
      <c r="E283" s="219" t="s">
        <v>2407</v>
      </c>
      <c r="F283" s="220">
        <v>45596.33510261574</v>
      </c>
      <c r="G283" s="219" t="s">
        <v>31</v>
      </c>
      <c r="H283" s="130">
        <f>IFERROR(__xludf.DUMMYFUNCTION("IF(ISDATE(S283), DATEDIF(S283, TODAY(), ""Y""), """")"),24.0)</f>
        <v>24</v>
      </c>
      <c r="I283" s="219" t="s">
        <v>2408</v>
      </c>
      <c r="J283" s="221" t="s">
        <v>2409</v>
      </c>
      <c r="K283" s="222" t="s">
        <v>2410</v>
      </c>
      <c r="L283" s="139"/>
      <c r="M283" s="219" t="s">
        <v>238</v>
      </c>
      <c r="N283" s="120" t="s">
        <v>44</v>
      </c>
      <c r="O283" s="139"/>
      <c r="P283" s="219"/>
      <c r="Q283" s="139"/>
      <c r="R283" s="219">
        <v>3.22927724E8</v>
      </c>
      <c r="S283" s="224">
        <v>36975.0</v>
      </c>
      <c r="T283" s="219" t="s">
        <v>945</v>
      </c>
      <c r="U283" s="139"/>
      <c r="V283" s="139"/>
      <c r="W283" s="139"/>
      <c r="X283" s="219" t="s">
        <v>2411</v>
      </c>
      <c r="Y283" s="222" t="s">
        <v>2412</v>
      </c>
      <c r="Z283" s="131"/>
      <c r="AA283" s="139"/>
      <c r="AB283" s="225"/>
      <c r="AC283" s="120" t="s">
        <v>169</v>
      </c>
      <c r="AD283" s="139"/>
      <c r="AE283" s="139"/>
      <c r="AF283" s="139"/>
    </row>
    <row r="284" hidden="1">
      <c r="A284" s="92" t="s">
        <v>139</v>
      </c>
      <c r="B284" s="92" t="s">
        <v>158</v>
      </c>
      <c r="C284" s="92" t="s">
        <v>159</v>
      </c>
      <c r="D284" s="117" t="s">
        <v>142</v>
      </c>
      <c r="E284" s="113" t="s">
        <v>2413</v>
      </c>
      <c r="F284" s="137" t="s">
        <v>255</v>
      </c>
      <c r="G284" s="113" t="s">
        <v>31</v>
      </c>
      <c r="H284" s="114">
        <f>IFERROR(__xludf.DUMMYFUNCTION("IF(ISDATE(S284), DATEDIF(S284, TODAY(), ""Y""), """")"),24.0)</f>
        <v>24</v>
      </c>
      <c r="I284" s="113" t="s">
        <v>2414</v>
      </c>
      <c r="J284" s="113" t="s">
        <v>2415</v>
      </c>
      <c r="K284" s="119">
        <v>5.09509994E8</v>
      </c>
      <c r="L284" s="113" t="s">
        <v>189</v>
      </c>
      <c r="M284" s="113" t="s">
        <v>2416</v>
      </c>
      <c r="N284" s="113" t="s">
        <v>44</v>
      </c>
      <c r="O284" s="113"/>
      <c r="P284" s="119"/>
      <c r="Q284" s="113" t="s">
        <v>44</v>
      </c>
      <c r="R284" s="113">
        <v>3.23005868E8</v>
      </c>
      <c r="S284" s="118">
        <v>37068.0</v>
      </c>
      <c r="T284" s="113" t="s">
        <v>2417</v>
      </c>
      <c r="U284" s="113">
        <v>43717.0</v>
      </c>
      <c r="V284" s="113" t="s">
        <v>192</v>
      </c>
      <c r="W284" s="113">
        <v>5.05372541E8</v>
      </c>
      <c r="X284" s="113" t="s">
        <v>2418</v>
      </c>
      <c r="Y284" s="113">
        <v>5.05750165E8</v>
      </c>
      <c r="Z284" s="117" t="s">
        <v>123</v>
      </c>
      <c r="AA284" s="138">
        <v>4.0</v>
      </c>
      <c r="AB284" s="116"/>
      <c r="AC284" s="116" t="s">
        <v>169</v>
      </c>
      <c r="AD284" s="119"/>
      <c r="AE284" s="119"/>
      <c r="AF284" s="119"/>
    </row>
    <row r="285" hidden="1">
      <c r="A285" s="120" t="s">
        <v>139</v>
      </c>
      <c r="B285" s="122" t="s">
        <v>158</v>
      </c>
      <c r="C285" s="120" t="s">
        <v>159</v>
      </c>
      <c r="D285" s="124" t="s">
        <v>142</v>
      </c>
      <c r="E285" s="219" t="s">
        <v>2419</v>
      </c>
      <c r="F285" s="220">
        <v>45495.456438090274</v>
      </c>
      <c r="G285" s="219" t="s">
        <v>31</v>
      </c>
      <c r="H285" s="130">
        <f>IFERROR(__xludf.DUMMYFUNCTION("IF(ISDATE(S285), DATEDIF(S285, TODAY(), ""Y""), """")"),24.0)</f>
        <v>24</v>
      </c>
      <c r="I285" s="219" t="s">
        <v>2420</v>
      </c>
      <c r="J285" s="221" t="s">
        <v>188</v>
      </c>
      <c r="K285" s="233">
        <v>5.36245427E8</v>
      </c>
      <c r="L285" s="139"/>
      <c r="M285" s="219" t="s">
        <v>2373</v>
      </c>
      <c r="N285" s="128" t="s">
        <v>44</v>
      </c>
      <c r="O285" s="139"/>
      <c r="P285" s="223">
        <v>45143.0</v>
      </c>
      <c r="Q285" s="139"/>
      <c r="R285" s="219">
        <v>3.23111153E8</v>
      </c>
      <c r="S285" s="224">
        <v>37092.0</v>
      </c>
      <c r="T285" s="219" t="s">
        <v>2421</v>
      </c>
      <c r="U285" s="139"/>
      <c r="V285" s="139"/>
      <c r="W285" s="139"/>
      <c r="X285" s="219" t="s">
        <v>2422</v>
      </c>
      <c r="Y285" s="222" t="s">
        <v>2423</v>
      </c>
      <c r="Z285" s="131"/>
      <c r="AA285" s="139"/>
      <c r="AB285" s="225" t="s">
        <v>2424</v>
      </c>
      <c r="AC285" s="120" t="s">
        <v>169</v>
      </c>
      <c r="AD285" s="139"/>
      <c r="AE285" s="139"/>
      <c r="AF285" s="139"/>
    </row>
    <row r="286" hidden="1">
      <c r="A286" s="108" t="s">
        <v>157</v>
      </c>
      <c r="B286" s="92" t="s">
        <v>140</v>
      </c>
      <c r="C286" s="92" t="s">
        <v>238</v>
      </c>
      <c r="D286" s="148">
        <v>45949.0</v>
      </c>
      <c r="E286" s="113" t="s">
        <v>2425</v>
      </c>
      <c r="F286" s="137"/>
      <c r="G286" s="113" t="s">
        <v>31</v>
      </c>
      <c r="H286" s="114">
        <f>IFERROR(__xludf.DUMMYFUNCTION("IF(ISDATE(S286), DATEDIF(S286, TODAY(), ""Y""), """")"),5.0)</f>
        <v>5</v>
      </c>
      <c r="I286" s="113" t="s">
        <v>2426</v>
      </c>
      <c r="J286" s="113" t="s">
        <v>2427</v>
      </c>
      <c r="K286" s="119"/>
      <c r="L286" s="113" t="s">
        <v>649</v>
      </c>
      <c r="M286" s="113" t="s">
        <v>2428</v>
      </c>
      <c r="N286" s="113" t="s">
        <v>36</v>
      </c>
      <c r="O286" s="113" t="s">
        <v>2317</v>
      </c>
      <c r="P286" s="119"/>
      <c r="Q286" s="113" t="s">
        <v>36</v>
      </c>
      <c r="R286" s="113">
        <v>2.33626563E8</v>
      </c>
      <c r="S286" s="118">
        <v>44177.0</v>
      </c>
      <c r="T286" s="113" t="s">
        <v>2266</v>
      </c>
      <c r="U286" s="113" t="s">
        <v>2429</v>
      </c>
      <c r="V286" s="113" t="s">
        <v>2430</v>
      </c>
      <c r="W286" s="115" t="s">
        <v>2431</v>
      </c>
      <c r="X286" s="113" t="s">
        <v>1905</v>
      </c>
      <c r="Y286" s="115" t="s">
        <v>2432</v>
      </c>
      <c r="Z286" s="117" t="s">
        <v>43</v>
      </c>
      <c r="AA286" s="113">
        <v>3.0</v>
      </c>
      <c r="AB286" s="116" t="s">
        <v>934</v>
      </c>
      <c r="AC286" s="116" t="s">
        <v>156</v>
      </c>
      <c r="AD286" s="119"/>
      <c r="AE286" s="114" t="s">
        <v>566</v>
      </c>
      <c r="AF286" s="117" t="s">
        <v>2433</v>
      </c>
    </row>
    <row r="287" hidden="1">
      <c r="A287" s="120" t="s">
        <v>139</v>
      </c>
      <c r="B287" s="120" t="s">
        <v>158</v>
      </c>
      <c r="C287" s="120" t="s">
        <v>159</v>
      </c>
      <c r="D287" s="124" t="s">
        <v>142</v>
      </c>
      <c r="E287" s="128" t="s">
        <v>2434</v>
      </c>
      <c r="F287" s="129" t="s">
        <v>2435</v>
      </c>
      <c r="G287" s="128" t="s">
        <v>31</v>
      </c>
      <c r="H287" s="130">
        <f>IFERROR(__xludf.DUMMYFUNCTION("IF(ISDATE(S287), DATEDIF(S287, TODAY(), ""Y""), """")"),23.0)</f>
        <v>23</v>
      </c>
      <c r="I287" s="128" t="s">
        <v>2436</v>
      </c>
      <c r="J287" s="128" t="s">
        <v>590</v>
      </c>
      <c r="K287" s="131">
        <v>5.34206969E8</v>
      </c>
      <c r="L287" s="128" t="s">
        <v>92</v>
      </c>
      <c r="M287" s="128" t="s">
        <v>2437</v>
      </c>
      <c r="N287" s="128" t="s">
        <v>44</v>
      </c>
      <c r="O287" s="128"/>
      <c r="P287" s="131"/>
      <c r="Q287" s="128" t="s">
        <v>36</v>
      </c>
      <c r="R287" s="128">
        <v>3.23928911E8</v>
      </c>
      <c r="S287" s="132">
        <v>37314.0</v>
      </c>
      <c r="T287" s="128" t="s">
        <v>2438</v>
      </c>
      <c r="U287" s="128">
        <v>43492.0</v>
      </c>
      <c r="V287" s="128" t="s">
        <v>2439</v>
      </c>
      <c r="W287" s="128">
        <v>5.28898927E8</v>
      </c>
      <c r="X287" s="128" t="s">
        <v>2440</v>
      </c>
      <c r="Y287" s="128">
        <v>5.34206969E8</v>
      </c>
      <c r="Z287" s="124" t="s">
        <v>168</v>
      </c>
      <c r="AA287" s="133">
        <v>7.0</v>
      </c>
      <c r="AB287" s="134"/>
      <c r="AC287" s="134" t="s">
        <v>169</v>
      </c>
      <c r="AD287" s="131"/>
      <c r="AE287" s="131"/>
      <c r="AF287" s="131"/>
    </row>
    <row r="288" hidden="1">
      <c r="A288" s="92" t="s">
        <v>139</v>
      </c>
      <c r="B288" s="92" t="s">
        <v>158</v>
      </c>
      <c r="C288" s="92" t="s">
        <v>159</v>
      </c>
      <c r="D288" s="117" t="s">
        <v>142</v>
      </c>
      <c r="E288" s="113" t="s">
        <v>2441</v>
      </c>
      <c r="F288" s="137">
        <v>44754.0</v>
      </c>
      <c r="G288" s="113" t="s">
        <v>31</v>
      </c>
      <c r="H288" s="114">
        <f>IFERROR(__xludf.DUMMYFUNCTION("IF(ISDATE(S288), DATEDIF(S288, TODAY(), ""Y""), """")"),23.0)</f>
        <v>23</v>
      </c>
      <c r="I288" s="113" t="s">
        <v>2442</v>
      </c>
      <c r="J288" s="113" t="s">
        <v>145</v>
      </c>
      <c r="K288" s="119">
        <v>5.85123132E8</v>
      </c>
      <c r="L288" s="113" t="s">
        <v>2443</v>
      </c>
      <c r="M288" s="113"/>
      <c r="N288" s="113" t="s">
        <v>44</v>
      </c>
      <c r="O288" s="113"/>
      <c r="P288" s="119"/>
      <c r="Q288" s="113" t="s">
        <v>36</v>
      </c>
      <c r="R288" s="113">
        <v>3.24162965E8</v>
      </c>
      <c r="S288" s="118">
        <v>37546.0</v>
      </c>
      <c r="T288" s="113" t="s">
        <v>2444</v>
      </c>
      <c r="U288" s="113">
        <v>44811.0</v>
      </c>
      <c r="V288" s="113" t="s">
        <v>2445</v>
      </c>
      <c r="W288" s="113">
        <v>5.48123132E8</v>
      </c>
      <c r="X288" s="113" t="s">
        <v>2446</v>
      </c>
      <c r="Y288" s="113">
        <v>5.42056782E8</v>
      </c>
      <c r="Z288" s="117" t="s">
        <v>123</v>
      </c>
      <c r="AA288" s="138">
        <v>3.0</v>
      </c>
      <c r="AB288" s="116"/>
      <c r="AC288" s="116" t="s">
        <v>169</v>
      </c>
      <c r="AD288" s="119"/>
      <c r="AE288" s="119"/>
      <c r="AF288" s="119"/>
    </row>
    <row r="289" hidden="1">
      <c r="A289" s="120" t="s">
        <v>139</v>
      </c>
      <c r="B289" s="120" t="s">
        <v>158</v>
      </c>
      <c r="C289" s="120" t="s">
        <v>159</v>
      </c>
      <c r="D289" s="124" t="s">
        <v>142</v>
      </c>
      <c r="E289" s="128" t="s">
        <v>2447</v>
      </c>
      <c r="F289" s="129" t="s">
        <v>2448</v>
      </c>
      <c r="G289" s="128" t="s">
        <v>31</v>
      </c>
      <c r="H289" s="130">
        <f>IFERROR(__xludf.DUMMYFUNCTION("IF(ISDATE(S289), DATEDIF(S289, TODAY(), ""Y""), """")"),22.0)</f>
        <v>22</v>
      </c>
      <c r="I289" s="128" t="s">
        <v>2449</v>
      </c>
      <c r="J289" s="128" t="s">
        <v>597</v>
      </c>
      <c r="K289" s="131">
        <v>5.26201503E8</v>
      </c>
      <c r="L289" s="128" t="s">
        <v>164</v>
      </c>
      <c r="M289" s="128" t="s">
        <v>424</v>
      </c>
      <c r="N289" s="128" t="s">
        <v>44</v>
      </c>
      <c r="O289" s="128"/>
      <c r="P289" s="131"/>
      <c r="Q289" s="128" t="s">
        <v>36</v>
      </c>
      <c r="R289" s="128">
        <v>3.25025724E8</v>
      </c>
      <c r="S289" s="132">
        <v>37895.0</v>
      </c>
      <c r="T289" s="128" t="s">
        <v>38</v>
      </c>
      <c r="U289" s="128">
        <v>44221.0</v>
      </c>
      <c r="V289" s="128" t="s">
        <v>2450</v>
      </c>
      <c r="W289" s="128">
        <v>5.04514149E8</v>
      </c>
      <c r="X289" s="128" t="s">
        <v>2451</v>
      </c>
      <c r="Y289" s="128">
        <v>5.46272331E8</v>
      </c>
      <c r="Z289" s="124" t="s">
        <v>168</v>
      </c>
      <c r="AA289" s="133"/>
      <c r="AB289" s="134"/>
      <c r="AC289" s="134" t="s">
        <v>169</v>
      </c>
      <c r="AD289" s="131"/>
      <c r="AE289" s="131"/>
      <c r="AF289" s="131"/>
    </row>
    <row r="290" hidden="1">
      <c r="A290" s="135" t="s">
        <v>157</v>
      </c>
      <c r="B290" s="92" t="s">
        <v>140</v>
      </c>
      <c r="C290" s="111" t="s">
        <v>238</v>
      </c>
      <c r="D290" s="126" t="s">
        <v>2452</v>
      </c>
      <c r="E290" s="92" t="s">
        <v>2453</v>
      </c>
      <c r="F290" s="111" t="s">
        <v>1250</v>
      </c>
      <c r="G290" s="92" t="s">
        <v>90</v>
      </c>
      <c r="H290" s="114">
        <f>IFERROR(__xludf.DUMMYFUNCTION("IF(ISDATE(S290), DATEDIF(S290, TODAY(), ""Y""), """")"),3.0)</f>
        <v>3</v>
      </c>
      <c r="I290" s="111" t="s">
        <v>2454</v>
      </c>
      <c r="J290" s="92" t="s">
        <v>2455</v>
      </c>
      <c r="K290" s="127"/>
      <c r="L290" s="92" t="s">
        <v>610</v>
      </c>
      <c r="M290" s="111" t="s">
        <v>2456</v>
      </c>
      <c r="N290" s="92" t="s">
        <v>36</v>
      </c>
      <c r="O290" s="111" t="s">
        <v>2457</v>
      </c>
      <c r="P290" s="127"/>
      <c r="Q290" s="92" t="s">
        <v>36</v>
      </c>
      <c r="R290" s="111">
        <v>2.33683119E8</v>
      </c>
      <c r="S290" s="126">
        <v>44573.0</v>
      </c>
      <c r="T290" s="92" t="s">
        <v>2458</v>
      </c>
      <c r="U290" s="111">
        <v>6.24</v>
      </c>
      <c r="V290" s="92" t="s">
        <v>299</v>
      </c>
      <c r="W290" s="111">
        <v>5.08616553E8</v>
      </c>
      <c r="X290" s="92" t="s">
        <v>878</v>
      </c>
      <c r="Y290" s="111">
        <v>5.23810477E8</v>
      </c>
      <c r="Z290" s="117" t="s">
        <v>43</v>
      </c>
      <c r="AA290" s="111">
        <v>4.0</v>
      </c>
      <c r="AB290" s="127"/>
      <c r="AC290" s="92" t="s">
        <v>169</v>
      </c>
      <c r="AD290" s="92" t="s">
        <v>2459</v>
      </c>
      <c r="AE290" s="92"/>
      <c r="AF290" s="92"/>
    </row>
    <row r="291" hidden="1">
      <c r="A291" s="120" t="s">
        <v>157</v>
      </c>
      <c r="B291" s="120" t="s">
        <v>158</v>
      </c>
      <c r="C291" s="120" t="s">
        <v>159</v>
      </c>
      <c r="D291" s="124" t="s">
        <v>142</v>
      </c>
      <c r="E291" s="128" t="s">
        <v>2460</v>
      </c>
      <c r="F291" s="129" t="s">
        <v>2435</v>
      </c>
      <c r="G291" s="128" t="s">
        <v>90</v>
      </c>
      <c r="H291" s="130">
        <f>IFERROR(__xludf.DUMMYFUNCTION("IF(ISDATE(S291), DATEDIF(S291, TODAY(), ""Y""), """")"),6.0)</f>
        <v>6</v>
      </c>
      <c r="I291" s="128" t="s">
        <v>2461</v>
      </c>
      <c r="J291" s="128" t="s">
        <v>102</v>
      </c>
      <c r="K291" s="131">
        <v>5.87785543E8</v>
      </c>
      <c r="L291" s="128" t="s">
        <v>92</v>
      </c>
      <c r="M291" s="128" t="s">
        <v>2462</v>
      </c>
      <c r="N291" s="128" t="s">
        <v>44</v>
      </c>
      <c r="O291" s="128"/>
      <c r="P291" s="131"/>
      <c r="Q291" s="128" t="s">
        <v>36</v>
      </c>
      <c r="R291" s="128">
        <v>3.25181881E8</v>
      </c>
      <c r="S291" s="132">
        <v>43523.0</v>
      </c>
      <c r="T291" s="128" t="s">
        <v>38</v>
      </c>
      <c r="U291" s="128">
        <v>43621.0</v>
      </c>
      <c r="V291" s="128" t="s">
        <v>947</v>
      </c>
      <c r="W291" s="128">
        <v>5.07630038E8</v>
      </c>
      <c r="X291" s="128" t="s">
        <v>2463</v>
      </c>
      <c r="Y291" s="128">
        <v>5.38274684E8</v>
      </c>
      <c r="Z291" s="124" t="s">
        <v>43</v>
      </c>
      <c r="AA291" s="133">
        <v>3.0</v>
      </c>
      <c r="AB291" s="134"/>
      <c r="AC291" s="134" t="s">
        <v>169</v>
      </c>
      <c r="AD291" s="131"/>
      <c r="AE291" s="131"/>
      <c r="AF291" s="131"/>
    </row>
    <row r="292" hidden="1">
      <c r="A292" s="135" t="s">
        <v>157</v>
      </c>
      <c r="B292" s="92" t="s">
        <v>140</v>
      </c>
      <c r="C292" s="92" t="s">
        <v>159</v>
      </c>
      <c r="D292" s="126" t="s">
        <v>1103</v>
      </c>
      <c r="E292" s="92" t="s">
        <v>2464</v>
      </c>
      <c r="F292" s="111"/>
      <c r="G292" s="92" t="s">
        <v>90</v>
      </c>
      <c r="H292" s="136">
        <f>IFERROR(__xludf.DUMMYFUNCTION("IF(ISDATE(S292), DATEDIF(S292, TODAY(), ""Y""), """")"),4.0)</f>
        <v>4</v>
      </c>
      <c r="I292" s="127"/>
      <c r="J292" s="92" t="s">
        <v>2172</v>
      </c>
      <c r="K292" s="127"/>
      <c r="L292" s="92" t="s">
        <v>208</v>
      </c>
      <c r="M292" s="111" t="s">
        <v>2465</v>
      </c>
      <c r="N292" s="111" t="s">
        <v>44</v>
      </c>
      <c r="O292" s="92" t="s">
        <v>2466</v>
      </c>
      <c r="P292" s="111" t="s">
        <v>916</v>
      </c>
      <c r="Q292" s="111" t="s">
        <v>44</v>
      </c>
      <c r="R292" s="111">
        <v>2.337129E8</v>
      </c>
      <c r="S292" s="126">
        <v>44283.0</v>
      </c>
      <c r="T292" s="92" t="s">
        <v>38</v>
      </c>
      <c r="U292" s="141">
        <v>45368.0</v>
      </c>
      <c r="V292" s="92" t="s">
        <v>2467</v>
      </c>
      <c r="W292" s="136">
        <v>5.28928966E8</v>
      </c>
      <c r="X292" s="92" t="s">
        <v>2468</v>
      </c>
      <c r="Y292" s="111">
        <v>5.26279344E8</v>
      </c>
      <c r="Z292" s="117" t="s">
        <v>43</v>
      </c>
      <c r="AA292" s="111">
        <v>1.0</v>
      </c>
      <c r="AB292" s="92" t="s">
        <v>2469</v>
      </c>
      <c r="AC292" s="92" t="s">
        <v>169</v>
      </c>
      <c r="AD292" s="92" t="s">
        <v>2470</v>
      </c>
      <c r="AE292" s="127"/>
      <c r="AF292" s="127"/>
    </row>
    <row r="293" hidden="1">
      <c r="A293" s="120" t="s">
        <v>139</v>
      </c>
      <c r="B293" s="122" t="s">
        <v>158</v>
      </c>
      <c r="C293" s="120" t="s">
        <v>159</v>
      </c>
      <c r="D293" s="124" t="s">
        <v>142</v>
      </c>
      <c r="E293" s="219" t="s">
        <v>2471</v>
      </c>
      <c r="F293" s="220">
        <v>45809.75851871527</v>
      </c>
      <c r="G293" s="219" t="s">
        <v>90</v>
      </c>
      <c r="H293" s="130">
        <f>IFERROR(__xludf.DUMMYFUNCTION("IF(ISDATE(S293), DATEDIF(S293, TODAY(), ""Y""), """")"),21.0)</f>
        <v>21</v>
      </c>
      <c r="I293" s="219" t="s">
        <v>2472</v>
      </c>
      <c r="J293" s="221" t="s">
        <v>188</v>
      </c>
      <c r="K293" s="222" t="s">
        <v>2473</v>
      </c>
      <c r="L293" s="139"/>
      <c r="M293" s="219" t="s">
        <v>2474</v>
      </c>
      <c r="N293" s="128" t="s">
        <v>44</v>
      </c>
      <c r="O293" s="139"/>
      <c r="P293" s="223">
        <v>45196.0</v>
      </c>
      <c r="Q293" s="139"/>
      <c r="R293" s="219">
        <v>3.25739423E8</v>
      </c>
      <c r="S293" s="224">
        <v>38081.0</v>
      </c>
      <c r="T293" s="219" t="s">
        <v>2475</v>
      </c>
      <c r="U293" s="139"/>
      <c r="V293" s="139"/>
      <c r="W293" s="139"/>
      <c r="X293" s="219" t="s">
        <v>2476</v>
      </c>
      <c r="Y293" s="222" t="s">
        <v>2477</v>
      </c>
      <c r="Z293" s="131"/>
      <c r="AA293" s="139"/>
      <c r="AB293" s="225"/>
      <c r="AC293" s="120" t="s">
        <v>169</v>
      </c>
      <c r="AD293" s="139"/>
      <c r="AE293" s="139"/>
      <c r="AF293" s="139"/>
    </row>
    <row r="294" hidden="1">
      <c r="A294" s="108" t="s">
        <v>157</v>
      </c>
      <c r="B294" s="92" t="s">
        <v>140</v>
      </c>
      <c r="C294" s="92" t="s">
        <v>238</v>
      </c>
      <c r="D294" s="126">
        <v>45928.0</v>
      </c>
      <c r="E294" s="92" t="s">
        <v>2478</v>
      </c>
      <c r="F294" s="114" t="s">
        <v>2479</v>
      </c>
      <c r="G294" s="92" t="s">
        <v>90</v>
      </c>
      <c r="H294" s="136">
        <f>IFERROR(__xludf.DUMMYFUNCTION("IF(ISDATE(S294), DATEDIF(S294, TODAY(), ""Y""), """")"),4.0)</f>
        <v>4</v>
      </c>
      <c r="I294" s="127"/>
      <c r="J294" s="92" t="s">
        <v>180</v>
      </c>
      <c r="K294" s="127"/>
      <c r="L294" s="92" t="s">
        <v>92</v>
      </c>
      <c r="M294" s="92" t="s">
        <v>2480</v>
      </c>
      <c r="N294" s="92" t="s">
        <v>36</v>
      </c>
      <c r="O294" s="92" t="s">
        <v>2481</v>
      </c>
      <c r="P294" s="127"/>
      <c r="Q294" s="92" t="s">
        <v>2482</v>
      </c>
      <c r="R294" s="111">
        <v>2.33948256E8</v>
      </c>
      <c r="S294" s="126">
        <v>44445.0</v>
      </c>
      <c r="T294" s="92" t="s">
        <v>1012</v>
      </c>
      <c r="U294" s="92" t="s">
        <v>2483</v>
      </c>
      <c r="V294" s="92" t="s">
        <v>2484</v>
      </c>
      <c r="W294" s="111">
        <v>5.39616825E8</v>
      </c>
      <c r="X294" s="92" t="s">
        <v>643</v>
      </c>
      <c r="Y294" s="111">
        <v>5.33503444E8</v>
      </c>
      <c r="Z294" s="117" t="s">
        <v>43</v>
      </c>
      <c r="AA294" s="111">
        <v>2.0</v>
      </c>
      <c r="AB294" s="119"/>
      <c r="AC294" s="92" t="s">
        <v>156</v>
      </c>
      <c r="AD294" s="92" t="s">
        <v>2485</v>
      </c>
      <c r="AE294" s="92"/>
      <c r="AF294" s="92" t="s">
        <v>2486</v>
      </c>
    </row>
    <row r="295" hidden="1">
      <c r="A295" s="144" t="s">
        <v>157</v>
      </c>
      <c r="B295" s="120" t="s">
        <v>140</v>
      </c>
      <c r="C295" s="120" t="s">
        <v>238</v>
      </c>
      <c r="D295" s="130" t="s">
        <v>1229</v>
      </c>
      <c r="E295" s="128" t="s">
        <v>2487</v>
      </c>
      <c r="F295" s="129">
        <v>45886.0</v>
      </c>
      <c r="G295" s="128" t="s">
        <v>90</v>
      </c>
      <c r="H295" s="130">
        <f>IFERROR(__xludf.DUMMYFUNCTION("IF(ISDATE(S295), DATEDIF(S295, TODAY(), ""Y""), """")"),4.0)</f>
        <v>4</v>
      </c>
      <c r="I295" s="128" t="s">
        <v>2488</v>
      </c>
      <c r="J295" s="128" t="s">
        <v>257</v>
      </c>
      <c r="K295" s="131"/>
      <c r="L295" s="128" t="s">
        <v>2489</v>
      </c>
      <c r="M295" s="128" t="s">
        <v>2490</v>
      </c>
      <c r="N295" s="128" t="s">
        <v>36</v>
      </c>
      <c r="O295" s="128" t="s">
        <v>2491</v>
      </c>
      <c r="P295" s="131"/>
      <c r="Q295" s="128" t="s">
        <v>44</v>
      </c>
      <c r="R295" s="128">
        <v>2.33958271E8</v>
      </c>
      <c r="S295" s="132">
        <v>44320.0</v>
      </c>
      <c r="T295" s="128" t="s">
        <v>2492</v>
      </c>
      <c r="U295" s="128" t="s">
        <v>2493</v>
      </c>
      <c r="V295" s="128" t="s">
        <v>2494</v>
      </c>
      <c r="W295" s="143" t="s">
        <v>2495</v>
      </c>
      <c r="X295" s="128" t="s">
        <v>382</v>
      </c>
      <c r="Y295" s="143" t="s">
        <v>2496</v>
      </c>
      <c r="Z295" s="124" t="s">
        <v>43</v>
      </c>
      <c r="AA295" s="133">
        <v>1.0</v>
      </c>
      <c r="AB295" s="134"/>
      <c r="AC295" s="134" t="s">
        <v>156</v>
      </c>
      <c r="AD295" s="131"/>
      <c r="AE295" s="131"/>
      <c r="AF295" s="124" t="s">
        <v>2497</v>
      </c>
    </row>
    <row r="296" hidden="1">
      <c r="A296" s="135" t="s">
        <v>157</v>
      </c>
      <c r="B296" s="92" t="s">
        <v>140</v>
      </c>
      <c r="C296" s="92" t="s">
        <v>409</v>
      </c>
      <c r="D296" s="148" t="s">
        <v>2498</v>
      </c>
      <c r="E296" s="117" t="s">
        <v>2499</v>
      </c>
      <c r="F296" s="119" t="s">
        <v>2500</v>
      </c>
      <c r="G296" s="117" t="s">
        <v>31</v>
      </c>
      <c r="H296" s="136">
        <f>IFERROR(__xludf.DUMMYFUNCTION("IF(ISDATE(S296), DATEDIF(S296, TODAY(), ""Y""), """")"),5.0)</f>
        <v>5</v>
      </c>
      <c r="I296" s="117" t="s">
        <v>2501</v>
      </c>
      <c r="J296" s="117" t="s">
        <v>2502</v>
      </c>
      <c r="K296" s="119"/>
      <c r="L296" s="117" t="s">
        <v>92</v>
      </c>
      <c r="M296" s="92" t="s">
        <v>238</v>
      </c>
      <c r="N296" s="117" t="s">
        <v>44</v>
      </c>
      <c r="O296" s="119"/>
      <c r="P296" s="119"/>
      <c r="Q296" s="117" t="s">
        <v>182</v>
      </c>
      <c r="R296" s="119">
        <v>2.3398341E8</v>
      </c>
      <c r="S296" s="145">
        <v>44087.0</v>
      </c>
      <c r="T296" s="119" t="s">
        <v>2503</v>
      </c>
      <c r="U296" s="119" t="s">
        <v>2504</v>
      </c>
      <c r="V296" s="119" t="s">
        <v>84</v>
      </c>
      <c r="W296" s="119">
        <v>5.0273114E8</v>
      </c>
      <c r="X296" s="119" t="s">
        <v>2505</v>
      </c>
      <c r="Y296" s="119">
        <v>5.04050508E8</v>
      </c>
      <c r="Z296" s="117" t="s">
        <v>43</v>
      </c>
      <c r="AA296" s="119">
        <v>3.0</v>
      </c>
      <c r="AB296" s="119" t="s">
        <v>2506</v>
      </c>
      <c r="AC296" s="92" t="s">
        <v>169</v>
      </c>
      <c r="AD296" s="117" t="s">
        <v>2507</v>
      </c>
      <c r="AE296" s="117"/>
      <c r="AF296" s="117"/>
    </row>
    <row r="297" hidden="1">
      <c r="A297" s="120" t="s">
        <v>139</v>
      </c>
      <c r="B297" s="122" t="s">
        <v>158</v>
      </c>
      <c r="C297" s="120" t="s">
        <v>159</v>
      </c>
      <c r="D297" s="124" t="s">
        <v>142</v>
      </c>
      <c r="E297" s="219" t="s">
        <v>2508</v>
      </c>
      <c r="F297" s="220">
        <v>45495.46738516203</v>
      </c>
      <c r="G297" s="219" t="s">
        <v>90</v>
      </c>
      <c r="H297" s="130">
        <f>IFERROR(__xludf.DUMMYFUNCTION("IF(ISDATE(S297), DATEDIF(S297, TODAY(), ""Y""), """")"),21.0)</f>
        <v>21</v>
      </c>
      <c r="I297" s="219" t="s">
        <v>2509</v>
      </c>
      <c r="J297" s="221" t="s">
        <v>597</v>
      </c>
      <c r="K297" s="233">
        <v>5.02661828E8</v>
      </c>
      <c r="L297" s="139"/>
      <c r="M297" s="234" t="s">
        <v>2510</v>
      </c>
      <c r="N297" s="120" t="s">
        <v>44</v>
      </c>
      <c r="O297" s="139"/>
      <c r="P297" s="219"/>
      <c r="Q297" s="139"/>
      <c r="R297" s="219">
        <v>3.26242542E8</v>
      </c>
      <c r="S297" s="224">
        <v>38197.0</v>
      </c>
      <c r="T297" s="219" t="s">
        <v>2511</v>
      </c>
      <c r="U297" s="139"/>
      <c r="V297" s="139"/>
      <c r="W297" s="139"/>
      <c r="X297" s="219" t="s">
        <v>672</v>
      </c>
      <c r="Y297" s="222" t="s">
        <v>2512</v>
      </c>
      <c r="Z297" s="131"/>
      <c r="AA297" s="139"/>
      <c r="AB297" s="225"/>
      <c r="AC297" s="120" t="s">
        <v>169</v>
      </c>
      <c r="AD297" s="139"/>
      <c r="AE297" s="139"/>
      <c r="AF297" s="139"/>
    </row>
    <row r="298" hidden="1">
      <c r="A298" s="108" t="s">
        <v>157</v>
      </c>
      <c r="B298" s="92" t="s">
        <v>140</v>
      </c>
      <c r="C298" s="111" t="s">
        <v>238</v>
      </c>
      <c r="D298" s="112">
        <v>45967.0</v>
      </c>
      <c r="E298" s="113" t="s">
        <v>2513</v>
      </c>
      <c r="F298" s="112">
        <v>45967.0</v>
      </c>
      <c r="G298" s="113" t="s">
        <v>31</v>
      </c>
      <c r="H298" s="114">
        <v>4.5</v>
      </c>
      <c r="I298" s="113" t="s">
        <v>2514</v>
      </c>
      <c r="J298" s="113" t="s">
        <v>556</v>
      </c>
      <c r="K298" s="113"/>
      <c r="L298" s="113" t="s">
        <v>92</v>
      </c>
      <c r="M298" s="116" t="s">
        <v>2515</v>
      </c>
      <c r="N298" s="113" t="s">
        <v>36</v>
      </c>
      <c r="O298" s="117" t="s">
        <v>2516</v>
      </c>
      <c r="P298" s="113"/>
      <c r="Q298" s="113" t="s">
        <v>36</v>
      </c>
      <c r="R298" s="113">
        <v>2.34217826E8</v>
      </c>
      <c r="S298" s="118">
        <v>44315.0</v>
      </c>
      <c r="T298" s="116" t="s">
        <v>2517</v>
      </c>
      <c r="U298" s="113" t="s">
        <v>2518</v>
      </c>
      <c r="V298" s="113" t="s">
        <v>2519</v>
      </c>
      <c r="W298" s="115" t="s">
        <v>2520</v>
      </c>
      <c r="X298" s="113" t="s">
        <v>2521</v>
      </c>
      <c r="Y298" s="115" t="s">
        <v>2522</v>
      </c>
      <c r="Z298" s="117" t="s">
        <v>43</v>
      </c>
      <c r="AA298" s="113">
        <v>4.0</v>
      </c>
      <c r="AB298" s="117" t="s">
        <v>2523</v>
      </c>
      <c r="AC298" s="92" t="s">
        <v>156</v>
      </c>
      <c r="AD298" s="119"/>
      <c r="AE298" s="119"/>
      <c r="AF298" s="117"/>
    </row>
    <row r="299" hidden="1">
      <c r="A299" s="120" t="s">
        <v>139</v>
      </c>
      <c r="B299" s="120" t="s">
        <v>158</v>
      </c>
      <c r="C299" s="120" t="s">
        <v>159</v>
      </c>
      <c r="D299" s="124" t="s">
        <v>142</v>
      </c>
      <c r="E299" s="128" t="s">
        <v>2524</v>
      </c>
      <c r="F299" s="129" t="s">
        <v>1506</v>
      </c>
      <c r="G299" s="128" t="s">
        <v>90</v>
      </c>
      <c r="H299" s="130">
        <f>IFERROR(__xludf.DUMMYFUNCTION("IF(ISDATE(S299), DATEDIF(S299, TODAY(), ""Y""), """")"),21.0)</f>
        <v>21</v>
      </c>
      <c r="I299" s="128" t="s">
        <v>2525</v>
      </c>
      <c r="J299" s="128" t="s">
        <v>1192</v>
      </c>
      <c r="K299" s="131">
        <v>5.45444599E8</v>
      </c>
      <c r="L299" s="128" t="s">
        <v>164</v>
      </c>
      <c r="M299" s="128" t="s">
        <v>2526</v>
      </c>
      <c r="N299" s="128" t="s">
        <v>44</v>
      </c>
      <c r="O299" s="128"/>
      <c r="P299" s="131"/>
      <c r="Q299" s="128" t="s">
        <v>884</v>
      </c>
      <c r="R299" s="128">
        <v>3.26646684E8</v>
      </c>
      <c r="S299" s="132">
        <v>38251.0</v>
      </c>
      <c r="T299" s="128" t="s">
        <v>2527</v>
      </c>
      <c r="U299" s="128">
        <v>43946.0</v>
      </c>
      <c r="V299" s="128" t="s">
        <v>2528</v>
      </c>
      <c r="W299" s="128">
        <v>5.35203556E8</v>
      </c>
      <c r="X299" s="128" t="s">
        <v>2529</v>
      </c>
      <c r="Y299" s="128">
        <v>5.0210165E8</v>
      </c>
      <c r="Z299" s="124" t="s">
        <v>36</v>
      </c>
      <c r="AA299" s="133">
        <v>3.0</v>
      </c>
      <c r="AB299" s="134"/>
      <c r="AC299" s="120" t="s">
        <v>169</v>
      </c>
      <c r="AD299" s="131"/>
      <c r="AE299" s="131"/>
      <c r="AF299" s="131"/>
    </row>
    <row r="300" hidden="1">
      <c r="A300" s="92" t="s">
        <v>139</v>
      </c>
      <c r="B300" s="111" t="s">
        <v>158</v>
      </c>
      <c r="C300" s="92" t="s">
        <v>159</v>
      </c>
      <c r="D300" s="117" t="s">
        <v>142</v>
      </c>
      <c r="E300" s="226" t="s">
        <v>2530</v>
      </c>
      <c r="F300" s="227">
        <v>45700.75856700231</v>
      </c>
      <c r="G300" s="226" t="s">
        <v>90</v>
      </c>
      <c r="H300" s="114">
        <f>IFERROR(__xludf.DUMMYFUNCTION("IF(ISDATE(S300), DATEDIF(S300, TODAY(), ""Y""), """")"),20.0)</f>
        <v>20</v>
      </c>
      <c r="I300" s="226" t="s">
        <v>2531</v>
      </c>
      <c r="J300" s="228" t="s">
        <v>656</v>
      </c>
      <c r="K300" s="229" t="s">
        <v>2532</v>
      </c>
      <c r="L300" s="127"/>
      <c r="M300" s="226" t="s">
        <v>2533</v>
      </c>
      <c r="N300" s="113" t="s">
        <v>44</v>
      </c>
      <c r="O300" s="127"/>
      <c r="P300" s="235">
        <v>45670.0</v>
      </c>
      <c r="Q300" s="127"/>
      <c r="R300" s="226">
        <v>3.26707742E8</v>
      </c>
      <c r="S300" s="231">
        <v>38378.0</v>
      </c>
      <c r="T300" s="226" t="s">
        <v>266</v>
      </c>
      <c r="U300" s="127"/>
      <c r="V300" s="127"/>
      <c r="W300" s="127"/>
      <c r="X300" s="226" t="s">
        <v>2534</v>
      </c>
      <c r="Y300" s="229" t="s">
        <v>2535</v>
      </c>
      <c r="Z300" s="119"/>
      <c r="AA300" s="127"/>
      <c r="AB300" s="232"/>
      <c r="AC300" s="92" t="s">
        <v>169</v>
      </c>
      <c r="AD300" s="127"/>
      <c r="AE300" s="127"/>
      <c r="AF300" s="127"/>
    </row>
    <row r="301" hidden="1">
      <c r="A301" s="120" t="s">
        <v>139</v>
      </c>
      <c r="B301" s="122" t="s">
        <v>158</v>
      </c>
      <c r="C301" s="120" t="s">
        <v>159</v>
      </c>
      <c r="D301" s="124" t="s">
        <v>142</v>
      </c>
      <c r="E301" s="128" t="s">
        <v>2536</v>
      </c>
      <c r="F301" s="129" t="s">
        <v>2537</v>
      </c>
      <c r="G301" s="128" t="s">
        <v>31</v>
      </c>
      <c r="H301" s="130">
        <f>IFERROR(__xludf.DUMMYFUNCTION("IF(ISDATE(S301), DATEDIF(S301, TODAY(), ""Y""), """")"),19.0)</f>
        <v>19</v>
      </c>
      <c r="I301" s="128" t="s">
        <v>2538</v>
      </c>
      <c r="J301" s="128" t="s">
        <v>1295</v>
      </c>
      <c r="K301" s="131">
        <v>5.06401329E8</v>
      </c>
      <c r="L301" s="128"/>
      <c r="M301" s="128"/>
      <c r="N301" s="128" t="s">
        <v>44</v>
      </c>
      <c r="O301" s="128"/>
      <c r="P301" s="131"/>
      <c r="Q301" s="128" t="s">
        <v>36</v>
      </c>
      <c r="R301" s="128">
        <v>3.26723103E8</v>
      </c>
      <c r="S301" s="132">
        <v>38970.0</v>
      </c>
      <c r="T301" s="128" t="s">
        <v>259</v>
      </c>
      <c r="U301" s="128">
        <v>44533.0</v>
      </c>
      <c r="V301" s="128" t="s">
        <v>1291</v>
      </c>
      <c r="W301" s="128">
        <v>5.47887547E8</v>
      </c>
      <c r="X301" s="128" t="s">
        <v>1006</v>
      </c>
      <c r="Y301" s="128">
        <v>5.06401513E8</v>
      </c>
      <c r="Z301" s="124" t="s">
        <v>43</v>
      </c>
      <c r="AA301" s="133">
        <v>2.0</v>
      </c>
      <c r="AB301" s="134"/>
      <c r="AC301" s="120" t="s">
        <v>169</v>
      </c>
      <c r="AD301" s="131"/>
      <c r="AE301" s="131"/>
      <c r="AF301" s="131"/>
    </row>
    <row r="302" hidden="1">
      <c r="A302" s="108" t="s">
        <v>157</v>
      </c>
      <c r="B302" s="92" t="s">
        <v>140</v>
      </c>
      <c r="C302" s="111" t="s">
        <v>141</v>
      </c>
      <c r="D302" s="148" t="s">
        <v>2539</v>
      </c>
      <c r="E302" s="113" t="s">
        <v>2540</v>
      </c>
      <c r="F302" s="112">
        <v>45958.0</v>
      </c>
      <c r="G302" s="113" t="s">
        <v>90</v>
      </c>
      <c r="H302" s="114" t="s">
        <v>2541</v>
      </c>
      <c r="I302" s="113" t="s">
        <v>2542</v>
      </c>
      <c r="J302" s="113" t="s">
        <v>846</v>
      </c>
      <c r="K302" s="113" t="s">
        <v>623</v>
      </c>
      <c r="L302" s="113" t="s">
        <v>189</v>
      </c>
      <c r="M302" s="116" t="s">
        <v>2543</v>
      </c>
      <c r="N302" s="236" t="s">
        <v>44</v>
      </c>
      <c r="O302" s="117"/>
      <c r="P302" s="113"/>
      <c r="Q302" s="113" t="s">
        <v>2544</v>
      </c>
      <c r="R302" s="113">
        <v>2.34705258E8</v>
      </c>
      <c r="S302" s="118">
        <v>44126.0</v>
      </c>
      <c r="T302" s="116" t="s">
        <v>1012</v>
      </c>
      <c r="U302" s="113" t="s">
        <v>2545</v>
      </c>
      <c r="V302" s="113" t="s">
        <v>2546</v>
      </c>
      <c r="W302" s="115" t="s">
        <v>2547</v>
      </c>
      <c r="X302" s="113" t="s">
        <v>501</v>
      </c>
      <c r="Y302" s="115" t="s">
        <v>2548</v>
      </c>
      <c r="Z302" s="117" t="s">
        <v>43</v>
      </c>
      <c r="AA302" s="113">
        <v>2.0</v>
      </c>
      <c r="AB302" s="117"/>
      <c r="AC302" s="92" t="s">
        <v>156</v>
      </c>
      <c r="AD302" s="119"/>
      <c r="AE302" s="119"/>
      <c r="AF302" s="117"/>
    </row>
    <row r="303" hidden="1">
      <c r="A303" s="120" t="s">
        <v>157</v>
      </c>
      <c r="B303" s="120" t="s">
        <v>158</v>
      </c>
      <c r="C303" s="120" t="s">
        <v>159</v>
      </c>
      <c r="D303" s="124" t="s">
        <v>142</v>
      </c>
      <c r="E303" s="128" t="s">
        <v>2549</v>
      </c>
      <c r="F303" s="129" t="s">
        <v>494</v>
      </c>
      <c r="G303" s="128" t="s">
        <v>90</v>
      </c>
      <c r="H303" s="130">
        <f>IFERROR(__xludf.DUMMYFUNCTION("IF(ISDATE(S303), DATEDIF(S303, TODAY(), ""Y""), """")"),14.0)</f>
        <v>14</v>
      </c>
      <c r="I303" s="128">
        <v>39.0</v>
      </c>
      <c r="J303" s="128" t="s">
        <v>2550</v>
      </c>
      <c r="K303" s="131"/>
      <c r="L303" s="128" t="s">
        <v>92</v>
      </c>
      <c r="M303" s="128" t="s">
        <v>2551</v>
      </c>
      <c r="N303" s="128" t="s">
        <v>44</v>
      </c>
      <c r="O303" s="128"/>
      <c r="P303" s="131"/>
      <c r="Q303" s="128" t="s">
        <v>44</v>
      </c>
      <c r="R303" s="128">
        <v>3.26853645E8</v>
      </c>
      <c r="S303" s="132">
        <v>40653.0</v>
      </c>
      <c r="T303" s="128" t="s">
        <v>930</v>
      </c>
      <c r="U303" s="128">
        <v>44157.0</v>
      </c>
      <c r="V303" s="128" t="s">
        <v>2505</v>
      </c>
      <c r="W303" s="128">
        <v>5.24683123E8</v>
      </c>
      <c r="X303" s="128" t="s">
        <v>98</v>
      </c>
      <c r="Y303" s="128">
        <v>5.28083054E8</v>
      </c>
      <c r="Z303" s="124" t="s">
        <v>43</v>
      </c>
      <c r="AA303" s="133">
        <v>3.0</v>
      </c>
      <c r="AB303" s="134"/>
      <c r="AC303" s="134" t="s">
        <v>169</v>
      </c>
      <c r="AD303" s="131"/>
      <c r="AE303" s="131"/>
      <c r="AF303" s="131"/>
    </row>
    <row r="304" hidden="1">
      <c r="A304" s="92" t="s">
        <v>139</v>
      </c>
      <c r="B304" s="111" t="s">
        <v>158</v>
      </c>
      <c r="C304" s="92" t="s">
        <v>159</v>
      </c>
      <c r="D304" s="117" t="s">
        <v>142</v>
      </c>
      <c r="E304" s="113" t="s">
        <v>2552</v>
      </c>
      <c r="F304" s="137">
        <v>45874.0</v>
      </c>
      <c r="G304" s="113" t="s">
        <v>31</v>
      </c>
      <c r="H304" s="114">
        <f>IFERROR(__xludf.DUMMYFUNCTION("IF(ISDATE(S304), DATEDIF(S304, TODAY(), ""Y""), """")"),21.0)</f>
        <v>21</v>
      </c>
      <c r="I304" s="113" t="s">
        <v>2553</v>
      </c>
      <c r="J304" s="113" t="s">
        <v>487</v>
      </c>
      <c r="K304" s="119" t="s">
        <v>2554</v>
      </c>
      <c r="L304" s="113" t="s">
        <v>2443</v>
      </c>
      <c r="M304" s="113" t="s">
        <v>2555</v>
      </c>
      <c r="N304" s="113" t="s">
        <v>44</v>
      </c>
      <c r="O304" s="113"/>
      <c r="P304" s="119" t="s">
        <v>2556</v>
      </c>
      <c r="Q304" s="113" t="s">
        <v>36</v>
      </c>
      <c r="R304" s="113">
        <v>3.27512117E8</v>
      </c>
      <c r="S304" s="118">
        <v>38356.0</v>
      </c>
      <c r="T304" s="113" t="s">
        <v>2557</v>
      </c>
      <c r="U304" s="113" t="s">
        <v>2558</v>
      </c>
      <c r="V304" s="113" t="s">
        <v>2559</v>
      </c>
      <c r="W304" s="115" t="s">
        <v>2560</v>
      </c>
      <c r="X304" s="113" t="s">
        <v>2561</v>
      </c>
      <c r="Y304" s="115" t="s">
        <v>2562</v>
      </c>
      <c r="Z304" s="117" t="s">
        <v>43</v>
      </c>
      <c r="AA304" s="113">
        <v>4.0</v>
      </c>
      <c r="AB304" s="116"/>
      <c r="AC304" s="92" t="s">
        <v>169</v>
      </c>
      <c r="AD304" s="119"/>
      <c r="AE304" s="119"/>
      <c r="AF304" s="119"/>
    </row>
    <row r="305" hidden="1">
      <c r="A305" s="120" t="s">
        <v>139</v>
      </c>
      <c r="B305" s="120" t="s">
        <v>158</v>
      </c>
      <c r="C305" s="120" t="s">
        <v>159</v>
      </c>
      <c r="D305" s="124" t="s">
        <v>142</v>
      </c>
      <c r="E305" s="128" t="s">
        <v>2563</v>
      </c>
      <c r="F305" s="129" t="s">
        <v>2564</v>
      </c>
      <c r="G305" s="128" t="s">
        <v>31</v>
      </c>
      <c r="H305" s="130">
        <f>IFERROR(__xludf.DUMMYFUNCTION("IF(ISDATE(S305), DATEDIF(S305, TODAY(), ""Y""), """")"),21.0)</f>
        <v>21</v>
      </c>
      <c r="I305" s="128" t="s">
        <v>2565</v>
      </c>
      <c r="J305" s="128" t="s">
        <v>597</v>
      </c>
      <c r="K305" s="131">
        <v>5.35301258E8</v>
      </c>
      <c r="L305" s="128" t="s">
        <v>92</v>
      </c>
      <c r="M305" s="128" t="s">
        <v>2566</v>
      </c>
      <c r="N305" s="128" t="s">
        <v>44</v>
      </c>
      <c r="O305" s="128"/>
      <c r="P305" s="131"/>
      <c r="Q305" s="128" t="s">
        <v>2567</v>
      </c>
      <c r="R305" s="128">
        <v>3.27561296E8</v>
      </c>
      <c r="S305" s="132">
        <v>38334.0</v>
      </c>
      <c r="T305" s="128" t="s">
        <v>38</v>
      </c>
      <c r="U305" s="128">
        <v>44080.0</v>
      </c>
      <c r="V305" s="128" t="s">
        <v>1727</v>
      </c>
      <c r="W305" s="128">
        <v>5.07240214E8</v>
      </c>
      <c r="X305" s="128" t="s">
        <v>525</v>
      </c>
      <c r="Y305" s="128">
        <v>5.07664575E8</v>
      </c>
      <c r="Z305" s="124" t="s">
        <v>43</v>
      </c>
      <c r="AA305" s="133">
        <v>1.0</v>
      </c>
      <c r="AB305" s="134"/>
      <c r="AC305" s="134" t="s">
        <v>169</v>
      </c>
      <c r="AD305" s="131"/>
      <c r="AE305" s="131"/>
      <c r="AF305" s="131"/>
    </row>
    <row r="306" hidden="1">
      <c r="A306" s="92" t="s">
        <v>139</v>
      </c>
      <c r="B306" s="111" t="s">
        <v>158</v>
      </c>
      <c r="C306" s="92" t="s">
        <v>159</v>
      </c>
      <c r="D306" s="117" t="s">
        <v>142</v>
      </c>
      <c r="E306" s="92" t="s">
        <v>2568</v>
      </c>
      <c r="F306" s="111" t="s">
        <v>2569</v>
      </c>
      <c r="G306" s="92" t="s">
        <v>31</v>
      </c>
      <c r="H306" s="114">
        <v>18.0</v>
      </c>
      <c r="I306" s="92" t="s">
        <v>2570</v>
      </c>
      <c r="J306" s="92" t="s">
        <v>2571</v>
      </c>
      <c r="K306" s="111">
        <v>5.26836686E8</v>
      </c>
      <c r="L306" s="92" t="s">
        <v>649</v>
      </c>
      <c r="M306" s="111" t="s">
        <v>2572</v>
      </c>
      <c r="N306" s="92" t="s">
        <v>44</v>
      </c>
      <c r="O306" s="111" t="s">
        <v>2573</v>
      </c>
      <c r="P306" s="111" t="s">
        <v>1046</v>
      </c>
      <c r="Q306" s="92" t="s">
        <v>2574</v>
      </c>
      <c r="R306" s="111">
        <v>3.27622536E8</v>
      </c>
      <c r="S306" s="126">
        <v>44853.0</v>
      </c>
      <c r="T306" s="92" t="s">
        <v>259</v>
      </c>
      <c r="U306" s="183">
        <v>44894.0</v>
      </c>
      <c r="V306" s="92" t="s">
        <v>2575</v>
      </c>
      <c r="W306" s="111">
        <v>5.23236001E8</v>
      </c>
      <c r="X306" s="92" t="s">
        <v>2576</v>
      </c>
      <c r="Y306" s="111">
        <v>5.24271719E8</v>
      </c>
      <c r="Z306" s="117" t="s">
        <v>43</v>
      </c>
      <c r="AA306" s="111">
        <v>3.0</v>
      </c>
      <c r="AB306" s="127"/>
      <c r="AC306" s="92" t="s">
        <v>156</v>
      </c>
      <c r="AD306" s="127"/>
      <c r="AE306" s="127"/>
      <c r="AF306" s="127"/>
    </row>
    <row r="307" hidden="1">
      <c r="A307" s="120" t="s">
        <v>139</v>
      </c>
      <c r="B307" s="122" t="s">
        <v>158</v>
      </c>
      <c r="C307" s="120" t="s">
        <v>159</v>
      </c>
      <c r="D307" s="124" t="s">
        <v>142</v>
      </c>
      <c r="E307" s="219" t="s">
        <v>2577</v>
      </c>
      <c r="F307" s="220">
        <v>45505.64683570602</v>
      </c>
      <c r="G307" s="219" t="s">
        <v>90</v>
      </c>
      <c r="H307" s="130">
        <f>IFERROR(__xludf.DUMMYFUNCTION("IF(ISDATE(S307), DATEDIF(S307, TODAY(), ""Y""), """")"),20.0)</f>
        <v>20</v>
      </c>
      <c r="I307" s="219" t="s">
        <v>2578</v>
      </c>
      <c r="J307" s="221" t="s">
        <v>61</v>
      </c>
      <c r="K307" s="233">
        <v>5.47139887E8</v>
      </c>
      <c r="L307" s="139"/>
      <c r="M307" s="219" t="s">
        <v>2579</v>
      </c>
      <c r="N307" s="120" t="s">
        <v>44</v>
      </c>
      <c r="O307" s="139"/>
      <c r="P307" s="219"/>
      <c r="Q307" s="139"/>
      <c r="R307" s="219">
        <v>3.27693982E8</v>
      </c>
      <c r="S307" s="224">
        <v>38368.0</v>
      </c>
      <c r="T307" s="219" t="s">
        <v>2580</v>
      </c>
      <c r="U307" s="139"/>
      <c r="V307" s="139"/>
      <c r="W307" s="139"/>
      <c r="X307" s="219" t="s">
        <v>855</v>
      </c>
      <c r="Y307" s="222" t="s">
        <v>2581</v>
      </c>
      <c r="Z307" s="131"/>
      <c r="AA307" s="139"/>
      <c r="AB307" s="225" t="s">
        <v>2582</v>
      </c>
      <c r="AC307" s="120" t="s">
        <v>169</v>
      </c>
      <c r="AD307" s="139"/>
      <c r="AE307" s="139"/>
      <c r="AF307" s="139"/>
    </row>
    <row r="308" hidden="1">
      <c r="A308" s="92" t="s">
        <v>139</v>
      </c>
      <c r="B308" s="92" t="s">
        <v>158</v>
      </c>
      <c r="C308" s="92" t="s">
        <v>159</v>
      </c>
      <c r="D308" s="117" t="s">
        <v>142</v>
      </c>
      <c r="E308" s="113" t="s">
        <v>2583</v>
      </c>
      <c r="F308" s="137">
        <v>44411.0</v>
      </c>
      <c r="G308" s="113" t="s">
        <v>31</v>
      </c>
      <c r="H308" s="114">
        <f>IFERROR(__xludf.DUMMYFUNCTION("IF(ISDATE(S308), DATEDIF(S308, TODAY(), ""Y""), """")"),20.0)</f>
        <v>20</v>
      </c>
      <c r="I308" s="113" t="s">
        <v>2584</v>
      </c>
      <c r="J308" s="113" t="s">
        <v>436</v>
      </c>
      <c r="K308" s="119">
        <v>5.44860222E8</v>
      </c>
      <c r="L308" s="113" t="s">
        <v>92</v>
      </c>
      <c r="M308" s="113" t="s">
        <v>2585</v>
      </c>
      <c r="N308" s="113" t="s">
        <v>44</v>
      </c>
      <c r="O308" s="113"/>
      <c r="P308" s="119"/>
      <c r="Q308" s="113" t="s">
        <v>44</v>
      </c>
      <c r="R308" s="113">
        <v>3.27769477E8</v>
      </c>
      <c r="S308" s="118">
        <v>38571.0</v>
      </c>
      <c r="T308" s="113" t="s">
        <v>2586</v>
      </c>
      <c r="U308" s="113">
        <v>43716.0</v>
      </c>
      <c r="V308" s="113" t="s">
        <v>2587</v>
      </c>
      <c r="W308" s="113">
        <v>5.49094242E8</v>
      </c>
      <c r="X308" s="113" t="s">
        <v>57</v>
      </c>
      <c r="Y308" s="113">
        <v>5.44860222E8</v>
      </c>
      <c r="Z308" s="117" t="s">
        <v>43</v>
      </c>
      <c r="AA308" s="138">
        <v>4.0</v>
      </c>
      <c r="AB308" s="116"/>
      <c r="AC308" s="116" t="s">
        <v>169</v>
      </c>
      <c r="AD308" s="119"/>
      <c r="AE308" s="119"/>
      <c r="AF308" s="119"/>
    </row>
    <row r="309" hidden="1">
      <c r="A309" s="120" t="s">
        <v>139</v>
      </c>
      <c r="B309" s="122" t="s">
        <v>158</v>
      </c>
      <c r="C309" s="120" t="s">
        <v>159</v>
      </c>
      <c r="D309" s="124" t="s">
        <v>142</v>
      </c>
      <c r="E309" s="219" t="s">
        <v>2588</v>
      </c>
      <c r="F309" s="220">
        <v>45595.53324914352</v>
      </c>
      <c r="G309" s="219" t="s">
        <v>90</v>
      </c>
      <c r="H309" s="130">
        <f>IFERROR(__xludf.DUMMYFUNCTION("IF(ISDATE(S309), DATEDIF(S309, TODAY(), ""Y""), """")"),20.0)</f>
        <v>20</v>
      </c>
      <c r="I309" s="219" t="s">
        <v>2589</v>
      </c>
      <c r="J309" s="221" t="s">
        <v>2590</v>
      </c>
      <c r="K309" s="222" t="s">
        <v>2591</v>
      </c>
      <c r="L309" s="139"/>
      <c r="M309" s="219" t="s">
        <v>227</v>
      </c>
      <c r="N309" s="128" t="s">
        <v>44</v>
      </c>
      <c r="O309" s="139"/>
      <c r="P309" s="223">
        <v>45281.0</v>
      </c>
      <c r="Q309" s="139"/>
      <c r="R309" s="219">
        <v>3.2778087E8</v>
      </c>
      <c r="S309" s="224">
        <v>38465.0</v>
      </c>
      <c r="T309" s="219" t="s">
        <v>2592</v>
      </c>
      <c r="U309" s="139"/>
      <c r="V309" s="139"/>
      <c r="W309" s="139"/>
      <c r="X309" s="219" t="s">
        <v>2593</v>
      </c>
      <c r="Y309" s="222" t="s">
        <v>2594</v>
      </c>
      <c r="Z309" s="131"/>
      <c r="AA309" s="139"/>
      <c r="AB309" s="225" t="s">
        <v>2595</v>
      </c>
      <c r="AC309" s="120" t="s">
        <v>169</v>
      </c>
      <c r="AD309" s="139"/>
      <c r="AE309" s="139"/>
      <c r="AF309" s="139"/>
    </row>
    <row r="310" hidden="1">
      <c r="A310" s="92" t="s">
        <v>139</v>
      </c>
      <c r="B310" s="92" t="s">
        <v>158</v>
      </c>
      <c r="C310" s="92" t="s">
        <v>159</v>
      </c>
      <c r="D310" s="117" t="s">
        <v>142</v>
      </c>
      <c r="E310" s="113" t="s">
        <v>2596</v>
      </c>
      <c r="F310" s="137" t="s">
        <v>2597</v>
      </c>
      <c r="G310" s="113" t="s">
        <v>90</v>
      </c>
      <c r="H310" s="114">
        <f>IFERROR(__xludf.DUMMYFUNCTION("IF(ISDATE(S310), DATEDIF(S310, TODAY(), ""Y""), """")"),20.0)</f>
        <v>20</v>
      </c>
      <c r="I310" s="113" t="s">
        <v>2598</v>
      </c>
      <c r="J310" s="113" t="s">
        <v>742</v>
      </c>
      <c r="K310" s="119">
        <v>5.2289088E8</v>
      </c>
      <c r="L310" s="113" t="s">
        <v>92</v>
      </c>
      <c r="M310" s="113" t="s">
        <v>2599</v>
      </c>
      <c r="N310" s="113" t="s">
        <v>44</v>
      </c>
      <c r="O310" s="113"/>
      <c r="P310" s="119"/>
      <c r="Q310" s="113" t="s">
        <v>44</v>
      </c>
      <c r="R310" s="113">
        <v>3.27907093E8</v>
      </c>
      <c r="S310" s="118">
        <v>38646.0</v>
      </c>
      <c r="T310" s="113" t="s">
        <v>259</v>
      </c>
      <c r="U310" s="113">
        <v>43700.0</v>
      </c>
      <c r="V310" s="113" t="s">
        <v>211</v>
      </c>
      <c r="W310" s="113">
        <v>5.25010808E8</v>
      </c>
      <c r="X310" s="113" t="s">
        <v>2600</v>
      </c>
      <c r="Y310" s="113">
        <v>5.06256523E8</v>
      </c>
      <c r="Z310" s="117" t="s">
        <v>43</v>
      </c>
      <c r="AA310" s="138">
        <v>2.0</v>
      </c>
      <c r="AB310" s="116"/>
      <c r="AC310" s="116" t="s">
        <v>169</v>
      </c>
      <c r="AD310" s="119"/>
      <c r="AE310" s="119"/>
      <c r="AF310" s="119"/>
    </row>
    <row r="311" hidden="1">
      <c r="A311" s="120" t="s">
        <v>157</v>
      </c>
      <c r="B311" s="120" t="s">
        <v>158</v>
      </c>
      <c r="C311" s="120" t="s">
        <v>159</v>
      </c>
      <c r="D311" s="124" t="s">
        <v>142</v>
      </c>
      <c r="E311" s="128" t="s">
        <v>2601</v>
      </c>
      <c r="F311" s="129" t="s">
        <v>186</v>
      </c>
      <c r="G311" s="128" t="s">
        <v>90</v>
      </c>
      <c r="H311" s="130">
        <f>IFERROR(__xludf.DUMMYFUNCTION("IF(ISDATE(S311), DATEDIF(S311, TODAY(), ""Y""), """")"),4.0)</f>
        <v>4</v>
      </c>
      <c r="I311" s="128" t="s">
        <v>2602</v>
      </c>
      <c r="J311" s="128" t="s">
        <v>188</v>
      </c>
      <c r="K311" s="131">
        <v>5.24112185E8</v>
      </c>
      <c r="L311" s="128" t="s">
        <v>189</v>
      </c>
      <c r="M311" s="128" t="s">
        <v>686</v>
      </c>
      <c r="N311" s="128" t="s">
        <v>44</v>
      </c>
      <c r="O311" s="128"/>
      <c r="P311" s="131"/>
      <c r="Q311" s="128" t="s">
        <v>2603</v>
      </c>
      <c r="R311" s="128">
        <v>3.28175658E8</v>
      </c>
      <c r="S311" s="132">
        <v>44471.0</v>
      </c>
      <c r="T311" s="128" t="s">
        <v>2604</v>
      </c>
      <c r="U311" s="128">
        <v>43755.0</v>
      </c>
      <c r="V311" s="128" t="s">
        <v>2209</v>
      </c>
      <c r="W311" s="128">
        <v>5.09422226E8</v>
      </c>
      <c r="X311" s="128" t="s">
        <v>2605</v>
      </c>
      <c r="Y311" s="128">
        <v>5.07333991E8</v>
      </c>
      <c r="Z311" s="124" t="s">
        <v>123</v>
      </c>
      <c r="AA311" s="133">
        <v>1.0</v>
      </c>
      <c r="AB311" s="134"/>
      <c r="AC311" s="134" t="s">
        <v>169</v>
      </c>
      <c r="AD311" s="131"/>
      <c r="AE311" s="131"/>
      <c r="AF311" s="131"/>
    </row>
    <row r="312" hidden="1">
      <c r="A312" s="108" t="s">
        <v>157</v>
      </c>
      <c r="B312" s="92" t="s">
        <v>140</v>
      </c>
      <c r="C312" s="92" t="s">
        <v>238</v>
      </c>
      <c r="D312" s="148">
        <v>45946.0</v>
      </c>
      <c r="E312" s="117" t="s">
        <v>2606</v>
      </c>
      <c r="F312" s="146">
        <v>45853.0</v>
      </c>
      <c r="G312" s="117" t="s">
        <v>90</v>
      </c>
      <c r="H312" s="114">
        <v>4.0</v>
      </c>
      <c r="I312" s="117" t="s">
        <v>2607</v>
      </c>
      <c r="J312" s="117" t="s">
        <v>2608</v>
      </c>
      <c r="K312" s="119" t="s">
        <v>2609</v>
      </c>
      <c r="L312" s="117" t="s">
        <v>92</v>
      </c>
      <c r="M312" s="117" t="s">
        <v>2610</v>
      </c>
      <c r="N312" s="117" t="s">
        <v>36</v>
      </c>
      <c r="O312" s="117" t="s">
        <v>2271</v>
      </c>
      <c r="P312" s="117"/>
      <c r="Q312" s="117" t="s">
        <v>36</v>
      </c>
      <c r="R312" s="114">
        <v>2.35075371E8</v>
      </c>
      <c r="S312" s="148">
        <v>44315.0</v>
      </c>
      <c r="T312" s="117" t="s">
        <v>2611</v>
      </c>
      <c r="U312" s="114" t="s">
        <v>2612</v>
      </c>
      <c r="V312" s="117" t="s">
        <v>1205</v>
      </c>
      <c r="W312" s="147" t="s">
        <v>2613</v>
      </c>
      <c r="X312" s="117" t="s">
        <v>2614</v>
      </c>
      <c r="Y312" s="147" t="s">
        <v>2615</v>
      </c>
      <c r="Z312" s="117" t="s">
        <v>43</v>
      </c>
      <c r="AA312" s="114">
        <v>1.0</v>
      </c>
      <c r="AB312" s="117"/>
      <c r="AC312" s="92" t="s">
        <v>156</v>
      </c>
      <c r="AD312" s="119"/>
      <c r="AE312" s="119"/>
      <c r="AF312" s="92" t="s">
        <v>2616</v>
      </c>
    </row>
    <row r="313" hidden="1">
      <c r="A313" s="108" t="s">
        <v>157</v>
      </c>
      <c r="B313" s="120" t="s">
        <v>140</v>
      </c>
      <c r="C313" s="120" t="s">
        <v>409</v>
      </c>
      <c r="D313" s="121">
        <v>45928.0</v>
      </c>
      <c r="E313" s="120" t="s">
        <v>2617</v>
      </c>
      <c r="F313" s="122" t="s">
        <v>1486</v>
      </c>
      <c r="G313" s="120" t="s">
        <v>90</v>
      </c>
      <c r="H313" s="130">
        <f>IFERROR(__xludf.DUMMYFUNCTION("IF(ISDATE(S313), DATEDIF(S313, TODAY(), ""Y""), """")"),4.0)</f>
        <v>4</v>
      </c>
      <c r="I313" s="120" t="s">
        <v>2618</v>
      </c>
      <c r="J313" s="120" t="s">
        <v>597</v>
      </c>
      <c r="K313" s="139"/>
      <c r="L313" s="120" t="s">
        <v>92</v>
      </c>
      <c r="M313" s="120" t="s">
        <v>409</v>
      </c>
      <c r="N313" s="120" t="s">
        <v>44</v>
      </c>
      <c r="O313" s="120" t="s">
        <v>2271</v>
      </c>
      <c r="P313" s="120" t="s">
        <v>1577</v>
      </c>
      <c r="Q313" s="120" t="s">
        <v>44</v>
      </c>
      <c r="R313" s="122">
        <v>2.35078664E8</v>
      </c>
      <c r="S313" s="121">
        <v>44342.0</v>
      </c>
      <c r="T313" s="120" t="s">
        <v>2619</v>
      </c>
      <c r="U313" s="182">
        <v>45021.0</v>
      </c>
      <c r="V313" s="120" t="s">
        <v>789</v>
      </c>
      <c r="W313" s="123">
        <v>5.42084777E8</v>
      </c>
      <c r="X313" s="120" t="s">
        <v>593</v>
      </c>
      <c r="Y313" s="122">
        <v>5.08503733E8</v>
      </c>
      <c r="Z313" s="124" t="s">
        <v>43</v>
      </c>
      <c r="AA313" s="122">
        <v>4.0</v>
      </c>
      <c r="AB313" s="120" t="s">
        <v>2620</v>
      </c>
      <c r="AC313" s="120" t="s">
        <v>169</v>
      </c>
      <c r="AD313" s="120"/>
      <c r="AE313" s="139"/>
      <c r="AF313" s="120" t="s">
        <v>2621</v>
      </c>
    </row>
    <row r="314" hidden="1">
      <c r="A314" s="135" t="s">
        <v>157</v>
      </c>
      <c r="B314" s="92" t="s">
        <v>140</v>
      </c>
      <c r="C314" s="111" t="s">
        <v>141</v>
      </c>
      <c r="D314" s="126" t="s">
        <v>2055</v>
      </c>
      <c r="E314" s="92" t="s">
        <v>2622</v>
      </c>
      <c r="F314" s="92"/>
      <c r="G314" s="92" t="s">
        <v>31</v>
      </c>
      <c r="H314" s="114">
        <f>IFERROR(__xludf.DUMMYFUNCTION("IF(ISDATE(S314), DATEDIF(S314, TODAY(), ""Y""), """")"),4.0)</f>
        <v>4</v>
      </c>
      <c r="I314" s="92" t="s">
        <v>2623</v>
      </c>
      <c r="J314" s="92" t="s">
        <v>806</v>
      </c>
      <c r="K314" s="127"/>
      <c r="L314" s="92" t="s">
        <v>92</v>
      </c>
      <c r="M314" s="92" t="s">
        <v>141</v>
      </c>
      <c r="N314" s="92" t="s">
        <v>44</v>
      </c>
      <c r="O314" s="92" t="s">
        <v>2317</v>
      </c>
      <c r="P314" s="92" t="s">
        <v>2624</v>
      </c>
      <c r="Q314" s="92" t="s">
        <v>44</v>
      </c>
      <c r="R314" s="111">
        <v>2.3508919E8</v>
      </c>
      <c r="S314" s="126">
        <v>44397.0</v>
      </c>
      <c r="T314" s="92" t="s">
        <v>38</v>
      </c>
      <c r="U314" s="141">
        <v>45256.0</v>
      </c>
      <c r="V314" s="92" t="s">
        <v>957</v>
      </c>
      <c r="W314" s="136">
        <v>4.28606E7</v>
      </c>
      <c r="X314" s="92" t="s">
        <v>2625</v>
      </c>
      <c r="Y314" s="111">
        <v>5.42804649E8</v>
      </c>
      <c r="Z314" s="117" t="s">
        <v>43</v>
      </c>
      <c r="AA314" s="111">
        <v>2.0</v>
      </c>
      <c r="AB314" s="92" t="s">
        <v>2626</v>
      </c>
      <c r="AC314" s="92" t="s">
        <v>169</v>
      </c>
      <c r="AD314" s="92" t="s">
        <v>2627</v>
      </c>
      <c r="AE314" s="92"/>
      <c r="AF314" s="92" t="s">
        <v>2305</v>
      </c>
    </row>
    <row r="315" hidden="1">
      <c r="A315" s="120" t="s">
        <v>139</v>
      </c>
      <c r="B315" s="122" t="s">
        <v>158</v>
      </c>
      <c r="C315" s="120" t="s">
        <v>159</v>
      </c>
      <c r="D315" s="124" t="s">
        <v>142</v>
      </c>
      <c r="E315" s="219" t="s">
        <v>2628</v>
      </c>
      <c r="F315" s="220">
        <v>45600.78255847222</v>
      </c>
      <c r="G315" s="219" t="s">
        <v>90</v>
      </c>
      <c r="H315" s="130">
        <f>IFERROR(__xludf.DUMMYFUNCTION("IF(ISDATE(S315), DATEDIF(S315, TODAY(), ""Y""), """")"),25.0)</f>
        <v>25</v>
      </c>
      <c r="I315" s="219" t="s">
        <v>2629</v>
      </c>
      <c r="J315" s="221" t="s">
        <v>590</v>
      </c>
      <c r="K315" s="222" t="s">
        <v>2630</v>
      </c>
      <c r="L315" s="139"/>
      <c r="M315" s="219" t="s">
        <v>227</v>
      </c>
      <c r="N315" s="128" t="s">
        <v>44</v>
      </c>
      <c r="O315" s="139"/>
      <c r="P315" s="223">
        <v>45161.0</v>
      </c>
      <c r="Q315" s="139"/>
      <c r="R315" s="219">
        <v>3.28962741E8</v>
      </c>
      <c r="S315" s="224">
        <v>36704.0</v>
      </c>
      <c r="T315" s="219" t="s">
        <v>2631</v>
      </c>
      <c r="U315" s="139"/>
      <c r="V315" s="139"/>
      <c r="W315" s="139"/>
      <c r="X315" s="219" t="s">
        <v>2632</v>
      </c>
      <c r="Y315" s="222" t="s">
        <v>2633</v>
      </c>
      <c r="Z315" s="131"/>
      <c r="AA315" s="139"/>
      <c r="AB315" s="225"/>
      <c r="AC315" s="120" t="s">
        <v>169</v>
      </c>
      <c r="AD315" s="139"/>
      <c r="AE315" s="139"/>
      <c r="AF315" s="139"/>
    </row>
    <row r="316" hidden="1">
      <c r="A316" s="92" t="s">
        <v>139</v>
      </c>
      <c r="B316" s="111" t="s">
        <v>158</v>
      </c>
      <c r="C316" s="92" t="s">
        <v>159</v>
      </c>
      <c r="D316" s="117" t="s">
        <v>142</v>
      </c>
      <c r="E316" s="226" t="s">
        <v>2634</v>
      </c>
      <c r="F316" s="227">
        <v>45795.474432268515</v>
      </c>
      <c r="G316" s="226" t="s">
        <v>31</v>
      </c>
      <c r="H316" s="114">
        <f>IFERROR(__xludf.DUMMYFUNCTION("IF(ISDATE(S316), DATEDIF(S316, TODAY(), ""Y""), """")"),20.0)</f>
        <v>20</v>
      </c>
      <c r="I316" s="226" t="s">
        <v>2635</v>
      </c>
      <c r="J316" s="228" t="s">
        <v>590</v>
      </c>
      <c r="K316" s="229" t="s">
        <v>2636</v>
      </c>
      <c r="L316" s="127"/>
      <c r="M316" s="226" t="s">
        <v>227</v>
      </c>
      <c r="N316" s="113" t="s">
        <v>44</v>
      </c>
      <c r="O316" s="127"/>
      <c r="P316" s="235">
        <v>45704.0</v>
      </c>
      <c r="Q316" s="127"/>
      <c r="R316" s="226">
        <v>3.29079974E8</v>
      </c>
      <c r="S316" s="231">
        <v>38640.0</v>
      </c>
      <c r="T316" s="226" t="s">
        <v>2637</v>
      </c>
      <c r="U316" s="127"/>
      <c r="V316" s="127"/>
      <c r="W316" s="127"/>
      <c r="X316" s="226" t="s">
        <v>2638</v>
      </c>
      <c r="Y316" s="229" t="s">
        <v>2639</v>
      </c>
      <c r="Z316" s="119"/>
      <c r="AA316" s="127"/>
      <c r="AB316" s="232"/>
      <c r="AC316" s="92" t="s">
        <v>169</v>
      </c>
      <c r="AD316" s="127"/>
      <c r="AE316" s="127"/>
      <c r="AF316" s="127"/>
    </row>
    <row r="317" hidden="1">
      <c r="A317" s="120" t="s">
        <v>139</v>
      </c>
      <c r="B317" s="122" t="s">
        <v>158</v>
      </c>
      <c r="C317" s="120" t="s">
        <v>159</v>
      </c>
      <c r="D317" s="124" t="s">
        <v>142</v>
      </c>
      <c r="E317" s="219" t="s">
        <v>2640</v>
      </c>
      <c r="F317" s="220">
        <v>45566.55368479167</v>
      </c>
      <c r="G317" s="219" t="s">
        <v>31</v>
      </c>
      <c r="H317" s="130">
        <f>IFERROR(__xludf.DUMMYFUNCTION("IF(ISDATE(S317), DATEDIF(S317, TODAY(), ""Y""), """")"),19.0)</f>
        <v>19</v>
      </c>
      <c r="I317" s="219" t="s">
        <v>2641</v>
      </c>
      <c r="J317" s="221" t="s">
        <v>742</v>
      </c>
      <c r="K317" s="233">
        <v>5.06620022E8</v>
      </c>
      <c r="L317" s="139"/>
      <c r="M317" s="219" t="s">
        <v>2642</v>
      </c>
      <c r="N317" s="128" t="s">
        <v>44</v>
      </c>
      <c r="O317" s="139"/>
      <c r="P317" s="223">
        <v>45305.0</v>
      </c>
      <c r="Q317" s="139"/>
      <c r="R317" s="219">
        <v>3.29496053E8</v>
      </c>
      <c r="S317" s="224">
        <v>38775.0</v>
      </c>
      <c r="T317" s="219" t="s">
        <v>2643</v>
      </c>
      <c r="U317" s="139"/>
      <c r="V317" s="139"/>
      <c r="W317" s="139"/>
      <c r="X317" s="219" t="s">
        <v>183</v>
      </c>
      <c r="Y317" s="222" t="s">
        <v>2644</v>
      </c>
      <c r="Z317" s="131"/>
      <c r="AA317" s="139"/>
      <c r="AB317" s="225"/>
      <c r="AC317" s="120" t="s">
        <v>169</v>
      </c>
      <c r="AD317" s="139"/>
      <c r="AE317" s="139"/>
      <c r="AF317" s="139"/>
    </row>
    <row r="318" hidden="1">
      <c r="A318" s="92" t="s">
        <v>157</v>
      </c>
      <c r="B318" s="92" t="s">
        <v>158</v>
      </c>
      <c r="C318" s="92" t="s">
        <v>159</v>
      </c>
      <c r="D318" s="117" t="s">
        <v>142</v>
      </c>
      <c r="E318" s="113" t="s">
        <v>2645</v>
      </c>
      <c r="F318" s="137">
        <v>44410.0</v>
      </c>
      <c r="G318" s="113" t="s">
        <v>90</v>
      </c>
      <c r="H318" s="114">
        <f>IFERROR(__xludf.DUMMYFUNCTION("IF(ISDATE(S318), DATEDIF(S318, TODAY(), ""Y""), """")"),14.0)</f>
        <v>14</v>
      </c>
      <c r="I318" s="113" t="s">
        <v>2646</v>
      </c>
      <c r="J318" s="113" t="s">
        <v>207</v>
      </c>
      <c r="K318" s="119">
        <v>5.05442335E8</v>
      </c>
      <c r="L318" s="113" t="s">
        <v>92</v>
      </c>
      <c r="M318" s="113" t="s">
        <v>2647</v>
      </c>
      <c r="N318" s="113" t="s">
        <v>44</v>
      </c>
      <c r="O318" s="113"/>
      <c r="P318" s="119"/>
      <c r="Q318" s="113" t="s">
        <v>44</v>
      </c>
      <c r="R318" s="113">
        <v>3.29882054E8</v>
      </c>
      <c r="S318" s="118">
        <v>40626.0</v>
      </c>
      <c r="T318" s="113" t="s">
        <v>2648</v>
      </c>
      <c r="U318" s="113">
        <v>43123.0</v>
      </c>
      <c r="V318" s="113" t="s">
        <v>2649</v>
      </c>
      <c r="W318" s="113">
        <v>5.05442335E8</v>
      </c>
      <c r="X318" s="113" t="s">
        <v>2650</v>
      </c>
      <c r="Y318" s="113">
        <v>5.05442335E8</v>
      </c>
      <c r="Z318" s="117" t="s">
        <v>43</v>
      </c>
      <c r="AA318" s="138">
        <v>3.0</v>
      </c>
      <c r="AB318" s="116"/>
      <c r="AC318" s="116" t="s">
        <v>169</v>
      </c>
      <c r="AD318" s="119"/>
      <c r="AE318" s="119"/>
      <c r="AF318" s="119"/>
    </row>
    <row r="319" hidden="1">
      <c r="A319" s="120" t="s">
        <v>139</v>
      </c>
      <c r="B319" s="122" t="s">
        <v>158</v>
      </c>
      <c r="C319" s="120" t="s">
        <v>159</v>
      </c>
      <c r="D319" s="124" t="s">
        <v>142</v>
      </c>
      <c r="E319" s="219" t="s">
        <v>2651</v>
      </c>
      <c r="F319" s="220">
        <v>45642.89168475695</v>
      </c>
      <c r="G319" s="219" t="s">
        <v>31</v>
      </c>
      <c r="H319" s="130">
        <f>IFERROR(__xludf.DUMMYFUNCTION("IF(ISDATE(S319), DATEDIF(S319, TODAY(), ""Y""), """")"),19.0)</f>
        <v>19</v>
      </c>
      <c r="I319" s="219" t="s">
        <v>2652</v>
      </c>
      <c r="J319" s="221" t="s">
        <v>145</v>
      </c>
      <c r="K319" s="222" t="s">
        <v>2653</v>
      </c>
      <c r="L319" s="139"/>
      <c r="M319" s="219" t="s">
        <v>2654</v>
      </c>
      <c r="N319" s="128" t="s">
        <v>44</v>
      </c>
      <c r="O319" s="139"/>
      <c r="P319" s="223">
        <v>44635.0</v>
      </c>
      <c r="Q319" s="139"/>
      <c r="R319" s="219">
        <v>3.30585704E8</v>
      </c>
      <c r="S319" s="224">
        <v>39033.0</v>
      </c>
      <c r="T319" s="219" t="s">
        <v>2655</v>
      </c>
      <c r="U319" s="139"/>
      <c r="V319" s="139"/>
      <c r="W319" s="139"/>
      <c r="X319" s="219" t="s">
        <v>2656</v>
      </c>
      <c r="Y319" s="222" t="s">
        <v>2657</v>
      </c>
      <c r="Z319" s="131"/>
      <c r="AA319" s="139"/>
      <c r="AB319" s="225" t="s">
        <v>2658</v>
      </c>
      <c r="AC319" s="120" t="s">
        <v>169</v>
      </c>
      <c r="AD319" s="139"/>
      <c r="AE319" s="139"/>
      <c r="AF319" s="139"/>
    </row>
    <row r="320" hidden="1">
      <c r="A320" s="92" t="s">
        <v>139</v>
      </c>
      <c r="B320" s="92" t="s">
        <v>158</v>
      </c>
      <c r="C320" s="92" t="s">
        <v>159</v>
      </c>
      <c r="D320" s="117" t="s">
        <v>142</v>
      </c>
      <c r="E320" s="113" t="s">
        <v>2659</v>
      </c>
      <c r="F320" s="137" t="s">
        <v>2660</v>
      </c>
      <c r="G320" s="113" t="s">
        <v>31</v>
      </c>
      <c r="H320" s="114">
        <f>IFERROR(__xludf.DUMMYFUNCTION("IF(ISDATE(S320), DATEDIF(S320, TODAY(), ""Y""), """")"),18.0)</f>
        <v>18</v>
      </c>
      <c r="I320" s="113" t="s">
        <v>2661</v>
      </c>
      <c r="J320" s="113" t="s">
        <v>2662</v>
      </c>
      <c r="K320" s="119">
        <v>5.87222552E8</v>
      </c>
      <c r="L320" s="113" t="s">
        <v>92</v>
      </c>
      <c r="M320" s="113" t="s">
        <v>2663</v>
      </c>
      <c r="N320" s="113" t="s">
        <v>44</v>
      </c>
      <c r="O320" s="113"/>
      <c r="P320" s="119"/>
      <c r="Q320" s="113" t="s">
        <v>44</v>
      </c>
      <c r="R320" s="113">
        <v>3.30628363E8</v>
      </c>
      <c r="S320" s="118">
        <v>39097.0</v>
      </c>
      <c r="T320" s="113" t="s">
        <v>2664</v>
      </c>
      <c r="U320" s="113">
        <v>44194.0</v>
      </c>
      <c r="V320" s="113" t="s">
        <v>2665</v>
      </c>
      <c r="W320" s="113">
        <v>5.08665666E8</v>
      </c>
      <c r="X320" s="113" t="s">
        <v>2666</v>
      </c>
      <c r="Y320" s="113">
        <v>5.0871E8</v>
      </c>
      <c r="Z320" s="117" t="s">
        <v>43</v>
      </c>
      <c r="AA320" s="138">
        <v>3.0</v>
      </c>
      <c r="AB320" s="116"/>
      <c r="AC320" s="116" t="s">
        <v>169</v>
      </c>
      <c r="AD320" s="119"/>
      <c r="AE320" s="119"/>
      <c r="AF320" s="119"/>
    </row>
    <row r="321" hidden="1">
      <c r="A321" s="120" t="s">
        <v>139</v>
      </c>
      <c r="B321" s="120" t="s">
        <v>158</v>
      </c>
      <c r="C321" s="120" t="s">
        <v>159</v>
      </c>
      <c r="D321" s="124" t="s">
        <v>142</v>
      </c>
      <c r="E321" s="128" t="s">
        <v>2667</v>
      </c>
      <c r="F321" s="129" t="s">
        <v>2668</v>
      </c>
      <c r="G321" s="128" t="s">
        <v>31</v>
      </c>
      <c r="H321" s="130">
        <f>IFERROR(__xludf.DUMMYFUNCTION("IF(ISDATE(S321), DATEDIF(S321, TODAY(), ""Y""), """")"),18.0)</f>
        <v>18</v>
      </c>
      <c r="I321" s="128" t="s">
        <v>2669</v>
      </c>
      <c r="J321" s="128" t="s">
        <v>668</v>
      </c>
      <c r="K321" s="131">
        <v>5.4523289E8</v>
      </c>
      <c r="L321" s="128" t="s">
        <v>92</v>
      </c>
      <c r="M321" s="128" t="s">
        <v>165</v>
      </c>
      <c r="N321" s="128" t="s">
        <v>44</v>
      </c>
      <c r="O321" s="128"/>
      <c r="P321" s="131"/>
      <c r="Q321" s="128" t="s">
        <v>36</v>
      </c>
      <c r="R321" s="128">
        <v>3.30647645E8</v>
      </c>
      <c r="S321" s="132">
        <v>39146.0</v>
      </c>
      <c r="T321" s="128" t="s">
        <v>38</v>
      </c>
      <c r="U321" s="128">
        <v>44850.0</v>
      </c>
      <c r="V321" s="128" t="s">
        <v>2670</v>
      </c>
      <c r="W321" s="128">
        <v>5.22425254E8</v>
      </c>
      <c r="X321" s="128" t="s">
        <v>939</v>
      </c>
      <c r="Y321" s="128">
        <v>5.4523289E8</v>
      </c>
      <c r="Z321" s="124" t="s">
        <v>43</v>
      </c>
      <c r="AA321" s="133">
        <v>2.0</v>
      </c>
      <c r="AB321" s="134"/>
      <c r="AC321" s="134" t="s">
        <v>169</v>
      </c>
      <c r="AD321" s="131"/>
      <c r="AE321" s="131"/>
      <c r="AF321" s="131"/>
    </row>
    <row r="322" hidden="1">
      <c r="A322" s="92" t="s">
        <v>139</v>
      </c>
      <c r="B322" s="92" t="s">
        <v>158</v>
      </c>
      <c r="C322" s="92" t="s">
        <v>159</v>
      </c>
      <c r="D322" s="117" t="s">
        <v>142</v>
      </c>
      <c r="E322" s="113" t="s">
        <v>2671</v>
      </c>
      <c r="F322" s="137">
        <v>44206.0</v>
      </c>
      <c r="G322" s="113" t="s">
        <v>90</v>
      </c>
      <c r="H322" s="114">
        <f>IFERROR(__xludf.DUMMYFUNCTION("IF(ISDATE(S322), DATEDIF(S322, TODAY(), ""Y""), """")"),19.0)</f>
        <v>19</v>
      </c>
      <c r="I322" s="113" t="s">
        <v>2672</v>
      </c>
      <c r="J322" s="113" t="s">
        <v>2673</v>
      </c>
      <c r="K322" s="119">
        <v>5.56657654E8</v>
      </c>
      <c r="L322" s="113" t="s">
        <v>164</v>
      </c>
      <c r="M322" s="113" t="s">
        <v>2674</v>
      </c>
      <c r="N322" s="113" t="s">
        <v>44</v>
      </c>
      <c r="O322" s="113"/>
      <c r="P322" s="119"/>
      <c r="Q322" s="113" t="s">
        <v>44</v>
      </c>
      <c r="R322" s="113">
        <v>3.30652074E8</v>
      </c>
      <c r="S322" s="118">
        <v>39069.0</v>
      </c>
      <c r="T322" s="113" t="s">
        <v>2675</v>
      </c>
      <c r="U322" s="113">
        <v>42432.0</v>
      </c>
      <c r="V322" s="113" t="s">
        <v>2676</v>
      </c>
      <c r="W322" s="113">
        <v>5.08828312E8</v>
      </c>
      <c r="X322" s="113" t="s">
        <v>838</v>
      </c>
      <c r="Y322" s="113">
        <v>5.56688594E8</v>
      </c>
      <c r="Z322" s="117" t="s">
        <v>43</v>
      </c>
      <c r="AA322" s="138">
        <v>2.0</v>
      </c>
      <c r="AB322" s="116"/>
      <c r="AC322" s="116" t="s">
        <v>169</v>
      </c>
      <c r="AD322" s="119"/>
      <c r="AE322" s="119"/>
      <c r="AF322" s="119"/>
    </row>
    <row r="323" hidden="1">
      <c r="A323" s="120" t="s">
        <v>139</v>
      </c>
      <c r="B323" s="120" t="s">
        <v>158</v>
      </c>
      <c r="C323" s="120" t="s">
        <v>159</v>
      </c>
      <c r="D323" s="124" t="s">
        <v>142</v>
      </c>
      <c r="E323" s="128" t="s">
        <v>2677</v>
      </c>
      <c r="F323" s="129" t="s">
        <v>2181</v>
      </c>
      <c r="G323" s="128" t="s">
        <v>31</v>
      </c>
      <c r="H323" s="130">
        <f>IFERROR(__xludf.DUMMYFUNCTION("IF(ISDATE(S323), DATEDIF(S323, TODAY(), ""Y""), """")"),18.0)</f>
        <v>18</v>
      </c>
      <c r="I323" s="128">
        <v>15036.0</v>
      </c>
      <c r="J323" s="128" t="s">
        <v>145</v>
      </c>
      <c r="K323" s="131">
        <v>5.49388489E8</v>
      </c>
      <c r="L323" s="128" t="s">
        <v>164</v>
      </c>
      <c r="M323" s="128" t="s">
        <v>2678</v>
      </c>
      <c r="N323" s="128" t="s">
        <v>44</v>
      </c>
      <c r="O323" s="128"/>
      <c r="P323" s="131"/>
      <c r="Q323" s="128" t="s">
        <v>2679</v>
      </c>
      <c r="R323" s="128">
        <v>3.30907494E8</v>
      </c>
      <c r="S323" s="132">
        <v>39094.0</v>
      </c>
      <c r="T323" s="128" t="s">
        <v>1108</v>
      </c>
      <c r="U323" s="128">
        <v>44417.0</v>
      </c>
      <c r="V323" s="128" t="s">
        <v>1111</v>
      </c>
      <c r="W323" s="128">
        <v>5.28344585E8</v>
      </c>
      <c r="X323" s="128" t="s">
        <v>1357</v>
      </c>
      <c r="Y323" s="128">
        <v>5.23442585E8</v>
      </c>
      <c r="Z323" s="124" t="s">
        <v>168</v>
      </c>
      <c r="AA323" s="133">
        <v>3.0</v>
      </c>
      <c r="AB323" s="134"/>
      <c r="AC323" s="134" t="s">
        <v>169</v>
      </c>
      <c r="AD323" s="131"/>
      <c r="AE323" s="131"/>
      <c r="AF323" s="131"/>
    </row>
    <row r="324" hidden="1">
      <c r="A324" s="92" t="s">
        <v>139</v>
      </c>
      <c r="B324" s="92" t="s">
        <v>158</v>
      </c>
      <c r="C324" s="92" t="s">
        <v>159</v>
      </c>
      <c r="D324" s="117" t="s">
        <v>142</v>
      </c>
      <c r="E324" s="113" t="s">
        <v>2680</v>
      </c>
      <c r="F324" s="137" t="s">
        <v>255</v>
      </c>
      <c r="G324" s="113" t="s">
        <v>31</v>
      </c>
      <c r="H324" s="114">
        <f>IFERROR(__xludf.DUMMYFUNCTION("IF(ISDATE(S324), DATEDIF(S324, TODAY(), ""Y""), """")"),18.0)</f>
        <v>18</v>
      </c>
      <c r="I324" s="113" t="s">
        <v>2681</v>
      </c>
      <c r="J324" s="113" t="s">
        <v>1342</v>
      </c>
      <c r="K324" s="119"/>
      <c r="L324" s="113" t="s">
        <v>92</v>
      </c>
      <c r="M324" s="113" t="s">
        <v>2682</v>
      </c>
      <c r="N324" s="113" t="s">
        <v>44</v>
      </c>
      <c r="O324" s="113"/>
      <c r="P324" s="119"/>
      <c r="Q324" s="113" t="s">
        <v>884</v>
      </c>
      <c r="R324" s="113">
        <v>3.30916669E8</v>
      </c>
      <c r="S324" s="118">
        <v>39154.0</v>
      </c>
      <c r="T324" s="113" t="s">
        <v>2683</v>
      </c>
      <c r="U324" s="113">
        <v>44027.0</v>
      </c>
      <c r="V324" s="113" t="s">
        <v>560</v>
      </c>
      <c r="W324" s="113">
        <v>5.0206034E8</v>
      </c>
      <c r="X324" s="113" t="s">
        <v>461</v>
      </c>
      <c r="Y324" s="113">
        <v>5.04249566E8</v>
      </c>
      <c r="Z324" s="117" t="s">
        <v>43</v>
      </c>
      <c r="AA324" s="138">
        <v>4.0</v>
      </c>
      <c r="AB324" s="116"/>
      <c r="AC324" s="92" t="s">
        <v>169</v>
      </c>
      <c r="AD324" s="119"/>
      <c r="AE324" s="119"/>
      <c r="AF324" s="119"/>
    </row>
    <row r="325" hidden="1">
      <c r="A325" s="120" t="s">
        <v>139</v>
      </c>
      <c r="B325" s="122" t="s">
        <v>158</v>
      </c>
      <c r="C325" s="120" t="s">
        <v>159</v>
      </c>
      <c r="D325" s="124" t="s">
        <v>142</v>
      </c>
      <c r="E325" s="120" t="s">
        <v>2684</v>
      </c>
      <c r="F325" s="122" t="s">
        <v>2096</v>
      </c>
      <c r="G325" s="120" t="s">
        <v>31</v>
      </c>
      <c r="H325" s="130">
        <f>IFERROR(__xludf.DUMMYFUNCTION("IF(ISDATE(S325), DATEDIF(S325, TODAY(), ""Y""), """")"),16.0)</f>
        <v>16</v>
      </c>
      <c r="I325" s="120" t="s">
        <v>2685</v>
      </c>
      <c r="J325" s="120" t="s">
        <v>145</v>
      </c>
      <c r="K325" s="139"/>
      <c r="L325" s="120" t="s">
        <v>92</v>
      </c>
      <c r="M325" s="120" t="s">
        <v>2686</v>
      </c>
      <c r="N325" s="120" t="s">
        <v>44</v>
      </c>
      <c r="O325" s="120" t="s">
        <v>2687</v>
      </c>
      <c r="P325" s="120" t="s">
        <v>2688</v>
      </c>
      <c r="Q325" s="120" t="s">
        <v>44</v>
      </c>
      <c r="R325" s="122">
        <v>3.31020107E8</v>
      </c>
      <c r="S325" s="121">
        <v>39934.0</v>
      </c>
      <c r="T325" s="120" t="s">
        <v>945</v>
      </c>
      <c r="U325" s="120" t="s">
        <v>677</v>
      </c>
      <c r="V325" s="120" t="s">
        <v>1110</v>
      </c>
      <c r="W325" s="122">
        <v>5.45983964E8</v>
      </c>
      <c r="X325" s="120" t="s">
        <v>1686</v>
      </c>
      <c r="Y325" s="122">
        <v>5.45773131E8</v>
      </c>
      <c r="Z325" s="124" t="s">
        <v>43</v>
      </c>
      <c r="AA325" s="122">
        <v>1.0</v>
      </c>
      <c r="AB325" s="120" t="s">
        <v>36</v>
      </c>
      <c r="AC325" s="120" t="s">
        <v>156</v>
      </c>
      <c r="AD325" s="139"/>
      <c r="AE325" s="139"/>
      <c r="AF325" s="139"/>
    </row>
    <row r="326" hidden="1">
      <c r="A326" s="135" t="s">
        <v>157</v>
      </c>
      <c r="B326" s="92" t="s">
        <v>140</v>
      </c>
      <c r="C326" s="111" t="s">
        <v>238</v>
      </c>
      <c r="D326" s="126" t="s">
        <v>2269</v>
      </c>
      <c r="E326" s="92" t="s">
        <v>2689</v>
      </c>
      <c r="F326" s="111" t="s">
        <v>2096</v>
      </c>
      <c r="G326" s="92" t="s">
        <v>31</v>
      </c>
      <c r="H326" s="114">
        <f>IFERROR(__xludf.DUMMYFUNCTION("IF(ISDATE(S326), DATEDIF(S326, TODAY(), ""Y""), """")"),3.0)</f>
        <v>3</v>
      </c>
      <c r="I326" s="92" t="s">
        <v>2690</v>
      </c>
      <c r="J326" s="92" t="s">
        <v>597</v>
      </c>
      <c r="K326" s="127"/>
      <c r="L326" s="92" t="s">
        <v>49</v>
      </c>
      <c r="M326" s="111" t="s">
        <v>2691</v>
      </c>
      <c r="N326" s="92" t="s">
        <v>36</v>
      </c>
      <c r="O326" s="111" t="s">
        <v>2692</v>
      </c>
      <c r="P326" s="127"/>
      <c r="Q326" s="92" t="s">
        <v>36</v>
      </c>
      <c r="R326" s="111">
        <v>2.35229598E8</v>
      </c>
      <c r="S326" s="126">
        <v>44725.0</v>
      </c>
      <c r="T326" s="92" t="s">
        <v>331</v>
      </c>
      <c r="U326" s="111" t="s">
        <v>2693</v>
      </c>
      <c r="V326" s="92" t="s">
        <v>2694</v>
      </c>
      <c r="W326" s="111">
        <v>5.06116392E8</v>
      </c>
      <c r="X326" s="92" t="s">
        <v>203</v>
      </c>
      <c r="Y326" s="111">
        <v>5.23119293E8</v>
      </c>
      <c r="Z326" s="117" t="s">
        <v>43</v>
      </c>
      <c r="AA326" s="111">
        <v>0.0</v>
      </c>
      <c r="AB326" s="92"/>
      <c r="AC326" s="92" t="s">
        <v>169</v>
      </c>
      <c r="AD326" s="127"/>
      <c r="AE326" s="127"/>
      <c r="AF326" s="127"/>
    </row>
    <row r="327" hidden="1">
      <c r="A327" s="108" t="s">
        <v>157</v>
      </c>
      <c r="B327" s="120" t="s">
        <v>140</v>
      </c>
      <c r="C327" s="122" t="s">
        <v>238</v>
      </c>
      <c r="D327" s="121">
        <v>45910.0</v>
      </c>
      <c r="E327" s="120" t="s">
        <v>2695</v>
      </c>
      <c r="F327" s="122" t="s">
        <v>1486</v>
      </c>
      <c r="G327" s="120" t="s">
        <v>31</v>
      </c>
      <c r="H327" s="130">
        <f>IFERROR(__xludf.DUMMYFUNCTION("IF(ISDATE(S327), DATEDIF(S327, TODAY(), ""Y""), """")"),4.0)</f>
        <v>4</v>
      </c>
      <c r="I327" s="120" t="s">
        <v>2696</v>
      </c>
      <c r="J327" s="120" t="s">
        <v>1225</v>
      </c>
      <c r="K327" s="139"/>
      <c r="L327" s="120" t="s">
        <v>2697</v>
      </c>
      <c r="M327" s="120" t="s">
        <v>2698</v>
      </c>
      <c r="N327" s="120" t="s">
        <v>36</v>
      </c>
      <c r="O327" s="120" t="s">
        <v>623</v>
      </c>
      <c r="P327" s="122" t="s">
        <v>198</v>
      </c>
      <c r="Q327" s="120" t="s">
        <v>2699</v>
      </c>
      <c r="R327" s="122">
        <v>2.35243748E8</v>
      </c>
      <c r="S327" s="121">
        <v>44327.0</v>
      </c>
      <c r="T327" s="120" t="s">
        <v>244</v>
      </c>
      <c r="U327" s="182">
        <v>45306.0</v>
      </c>
      <c r="V327" s="120" t="s">
        <v>947</v>
      </c>
      <c r="W327" s="123">
        <v>5.06799418E8</v>
      </c>
      <c r="X327" s="120" t="s">
        <v>1569</v>
      </c>
      <c r="Y327" s="122">
        <v>5.86668464E8</v>
      </c>
      <c r="Z327" s="124" t="s">
        <v>43</v>
      </c>
      <c r="AA327" s="122">
        <v>3.0</v>
      </c>
      <c r="AB327" s="120" t="s">
        <v>2700</v>
      </c>
      <c r="AC327" s="120" t="s">
        <v>156</v>
      </c>
      <c r="AD327" s="120" t="s">
        <v>2701</v>
      </c>
      <c r="AE327" s="139"/>
      <c r="AF327" s="120" t="s">
        <v>2702</v>
      </c>
    </row>
    <row r="328" hidden="1">
      <c r="A328" s="92" t="s">
        <v>139</v>
      </c>
      <c r="B328" s="111" t="s">
        <v>158</v>
      </c>
      <c r="C328" s="92" t="s">
        <v>159</v>
      </c>
      <c r="D328" s="117" t="s">
        <v>142</v>
      </c>
      <c r="E328" s="226" t="s">
        <v>2703</v>
      </c>
      <c r="F328" s="227">
        <v>45602.542609247685</v>
      </c>
      <c r="G328" s="226" t="s">
        <v>90</v>
      </c>
      <c r="H328" s="114">
        <f>IFERROR(__xludf.DUMMYFUNCTION("IF(ISDATE(S328), DATEDIF(S328, TODAY(), ""Y""), """")"),18.0)</f>
        <v>18</v>
      </c>
      <c r="I328" s="226" t="s">
        <v>2704</v>
      </c>
      <c r="J328" s="228" t="s">
        <v>806</v>
      </c>
      <c r="K328" s="229" t="s">
        <v>2705</v>
      </c>
      <c r="L328" s="127"/>
      <c r="M328" s="226" t="s">
        <v>2706</v>
      </c>
      <c r="N328" s="92" t="s">
        <v>44</v>
      </c>
      <c r="O328" s="127"/>
      <c r="P328" s="226"/>
      <c r="Q328" s="127"/>
      <c r="R328" s="226">
        <v>3.31093179E8</v>
      </c>
      <c r="S328" s="231">
        <v>39363.0</v>
      </c>
      <c r="T328" s="226" t="s">
        <v>2707</v>
      </c>
      <c r="U328" s="127"/>
      <c r="V328" s="127"/>
      <c r="W328" s="127"/>
      <c r="X328" s="226" t="s">
        <v>2708</v>
      </c>
      <c r="Y328" s="229" t="s">
        <v>2709</v>
      </c>
      <c r="Z328" s="119"/>
      <c r="AA328" s="127"/>
      <c r="AB328" s="232"/>
      <c r="AC328" s="92" t="s">
        <v>169</v>
      </c>
      <c r="AD328" s="127"/>
      <c r="AE328" s="127"/>
      <c r="AF328" s="127"/>
    </row>
    <row r="329" hidden="1">
      <c r="A329" s="84" t="s">
        <v>157</v>
      </c>
      <c r="B329" s="120" t="s">
        <v>140</v>
      </c>
      <c r="C329" s="120" t="s">
        <v>238</v>
      </c>
      <c r="D329" s="122" t="s">
        <v>2710</v>
      </c>
      <c r="E329" s="164" t="s">
        <v>2711</v>
      </c>
      <c r="F329" s="165">
        <v>45920.0</v>
      </c>
      <c r="G329" s="164" t="s">
        <v>31</v>
      </c>
      <c r="H329" s="130">
        <v>4.0</v>
      </c>
      <c r="I329" s="164" t="s">
        <v>2712</v>
      </c>
      <c r="J329" s="120" t="s">
        <v>188</v>
      </c>
      <c r="K329" s="166"/>
      <c r="L329" s="139" t="s">
        <v>2713</v>
      </c>
      <c r="M329" s="164" t="s">
        <v>2714</v>
      </c>
      <c r="N329" s="120" t="s">
        <v>36</v>
      </c>
      <c r="O329" s="139" t="s">
        <v>2715</v>
      </c>
      <c r="P329" s="139"/>
      <c r="Q329" s="139" t="s">
        <v>36</v>
      </c>
      <c r="R329" s="139">
        <v>2.35303559E8</v>
      </c>
      <c r="S329" s="167">
        <v>44428.0</v>
      </c>
      <c r="T329" s="164" t="s">
        <v>244</v>
      </c>
      <c r="U329" s="139" t="s">
        <v>2716</v>
      </c>
      <c r="V329" s="139" t="s">
        <v>2717</v>
      </c>
      <c r="W329" s="168" t="s">
        <v>2718</v>
      </c>
      <c r="X329" s="164" t="s">
        <v>1031</v>
      </c>
      <c r="Y329" s="169" t="s">
        <v>2719</v>
      </c>
      <c r="Z329" s="124" t="s">
        <v>43</v>
      </c>
      <c r="AA329" s="122" t="s">
        <v>2720</v>
      </c>
      <c r="AB329" s="170"/>
      <c r="AC329" s="120" t="s">
        <v>156</v>
      </c>
      <c r="AD329" s="139"/>
      <c r="AE329" s="139"/>
      <c r="AF329" s="139"/>
    </row>
    <row r="330" hidden="1">
      <c r="A330" s="108" t="s">
        <v>157</v>
      </c>
      <c r="B330" s="92" t="s">
        <v>140</v>
      </c>
      <c r="C330" s="92" t="s">
        <v>141</v>
      </c>
      <c r="D330" s="126">
        <v>45929.0</v>
      </c>
      <c r="E330" s="117" t="s">
        <v>2721</v>
      </c>
      <c r="F330" s="114" t="s">
        <v>1042</v>
      </c>
      <c r="G330" s="119" t="s">
        <v>90</v>
      </c>
      <c r="H330" s="136">
        <f>IFERROR(__xludf.DUMMYFUNCTION("IF(ISDATE(S330), DATEDIF(S330, TODAY(), ""Y""), """")"),4.0)</f>
        <v>4</v>
      </c>
      <c r="I330" s="92" t="s">
        <v>2722</v>
      </c>
      <c r="J330" s="119" t="s">
        <v>2172</v>
      </c>
      <c r="K330" s="127"/>
      <c r="L330" s="119" t="s">
        <v>92</v>
      </c>
      <c r="M330" s="117" t="s">
        <v>2723</v>
      </c>
      <c r="N330" s="92" t="s">
        <v>44</v>
      </c>
      <c r="O330" s="92" t="s">
        <v>1045</v>
      </c>
      <c r="P330" s="127"/>
      <c r="Q330" s="117" t="s">
        <v>44</v>
      </c>
      <c r="R330" s="119">
        <v>2.35419009E8</v>
      </c>
      <c r="S330" s="148">
        <v>44448.0</v>
      </c>
      <c r="T330" s="119" t="s">
        <v>38</v>
      </c>
      <c r="U330" s="119" t="s">
        <v>2724</v>
      </c>
      <c r="V330" s="119" t="s">
        <v>192</v>
      </c>
      <c r="W330" s="119">
        <v>5.05639131E8</v>
      </c>
      <c r="X330" s="117" t="s">
        <v>2725</v>
      </c>
      <c r="Y330" s="114">
        <v>5.07023764E8</v>
      </c>
      <c r="Z330" s="117" t="s">
        <v>43</v>
      </c>
      <c r="AA330" s="119">
        <v>2.0</v>
      </c>
      <c r="AB330" s="92" t="s">
        <v>2726</v>
      </c>
      <c r="AC330" s="92" t="s">
        <v>169</v>
      </c>
      <c r="AD330" s="119"/>
      <c r="AE330" s="127"/>
      <c r="AF330" s="92" t="s">
        <v>2727</v>
      </c>
    </row>
    <row r="331" hidden="1">
      <c r="A331" s="120" t="s">
        <v>139</v>
      </c>
      <c r="B331" s="122" t="s">
        <v>158</v>
      </c>
      <c r="C331" s="120" t="s">
        <v>159</v>
      </c>
      <c r="D331" s="124" t="s">
        <v>142</v>
      </c>
      <c r="E331" s="128" t="s">
        <v>2728</v>
      </c>
      <c r="F331" s="129" t="s">
        <v>2729</v>
      </c>
      <c r="G331" s="128" t="s">
        <v>90</v>
      </c>
      <c r="H331" s="130">
        <f>IFERROR(__xludf.DUMMYFUNCTION("IF(ISDATE(S331), DATEDIF(S331, TODAY(), ""Y""), """")"),16.0)</f>
        <v>16</v>
      </c>
      <c r="I331" s="128" t="s">
        <v>2730</v>
      </c>
      <c r="J331" s="128" t="s">
        <v>668</v>
      </c>
      <c r="K331" s="131">
        <v>5.3284457E8</v>
      </c>
      <c r="L331" s="128" t="s">
        <v>208</v>
      </c>
      <c r="M331" s="128"/>
      <c r="N331" s="128" t="s">
        <v>44</v>
      </c>
      <c r="O331" s="128"/>
      <c r="P331" s="131"/>
      <c r="Q331" s="128" t="s">
        <v>36</v>
      </c>
      <c r="R331" s="128">
        <v>3.31252197E8</v>
      </c>
      <c r="S331" s="132">
        <v>39854.0</v>
      </c>
      <c r="T331" s="128" t="s">
        <v>2731</v>
      </c>
      <c r="U331" s="128">
        <v>44322.0</v>
      </c>
      <c r="V331" s="128" t="s">
        <v>623</v>
      </c>
      <c r="W331" s="128">
        <v>0.0</v>
      </c>
      <c r="X331" s="128" t="s">
        <v>2732</v>
      </c>
      <c r="Y331" s="128">
        <v>5.26377255E8</v>
      </c>
      <c r="Z331" s="124"/>
      <c r="AA331" s="133">
        <v>1.0</v>
      </c>
      <c r="AB331" s="134"/>
      <c r="AC331" s="120" t="s">
        <v>169</v>
      </c>
      <c r="AD331" s="131"/>
      <c r="AE331" s="131"/>
      <c r="AF331" s="131"/>
    </row>
    <row r="332" hidden="1">
      <c r="A332" s="92" t="s">
        <v>139</v>
      </c>
      <c r="B332" s="111" t="s">
        <v>158</v>
      </c>
      <c r="C332" s="92" t="s">
        <v>159</v>
      </c>
      <c r="D332" s="117" t="s">
        <v>142</v>
      </c>
      <c r="E332" s="92" t="s">
        <v>2733</v>
      </c>
      <c r="F332" s="183">
        <v>44997.0</v>
      </c>
      <c r="G332" s="92" t="s">
        <v>31</v>
      </c>
      <c r="H332" s="114">
        <f>IFERROR(__xludf.DUMMYFUNCTION("IF(ISDATE(S332), DATEDIF(S332, TODAY(), ""Y""), """")"),18.0)</f>
        <v>18</v>
      </c>
      <c r="I332" s="92" t="s">
        <v>2734</v>
      </c>
      <c r="J332" s="92" t="s">
        <v>2571</v>
      </c>
      <c r="K332" s="111">
        <v>5.34774433E8</v>
      </c>
      <c r="L332" s="92" t="s">
        <v>649</v>
      </c>
      <c r="M332" s="92" t="s">
        <v>2735</v>
      </c>
      <c r="N332" s="92" t="s">
        <v>44</v>
      </c>
      <c r="O332" s="127"/>
      <c r="P332" s="92" t="s">
        <v>2736</v>
      </c>
      <c r="Q332" s="92" t="s">
        <v>44</v>
      </c>
      <c r="R332" s="111">
        <v>3.31420273E8</v>
      </c>
      <c r="S332" s="126">
        <v>39424.0</v>
      </c>
      <c r="T332" s="92" t="s">
        <v>658</v>
      </c>
      <c r="U332" s="111" t="s">
        <v>2737</v>
      </c>
      <c r="V332" s="92" t="s">
        <v>2738</v>
      </c>
      <c r="W332" s="111">
        <v>5.33322889E8</v>
      </c>
      <c r="X332" s="92" t="s">
        <v>1015</v>
      </c>
      <c r="Y332" s="111">
        <v>5.33325066E8</v>
      </c>
      <c r="Z332" s="117" t="s">
        <v>43</v>
      </c>
      <c r="AA332" s="111">
        <v>1.0</v>
      </c>
      <c r="AB332" s="92" t="s">
        <v>2739</v>
      </c>
      <c r="AC332" s="92" t="s">
        <v>156</v>
      </c>
      <c r="AD332" s="92" t="s">
        <v>2740</v>
      </c>
      <c r="AE332" s="92"/>
      <c r="AF332" s="92"/>
    </row>
    <row r="333" hidden="1">
      <c r="A333" s="120" t="s">
        <v>139</v>
      </c>
      <c r="B333" s="122" t="s">
        <v>158</v>
      </c>
      <c r="C333" s="120" t="s">
        <v>159</v>
      </c>
      <c r="D333" s="124" t="s">
        <v>142</v>
      </c>
      <c r="E333" s="219" t="s">
        <v>2741</v>
      </c>
      <c r="F333" s="220">
        <v>45677.66624923611</v>
      </c>
      <c r="G333" s="219" t="s">
        <v>90</v>
      </c>
      <c r="H333" s="130">
        <f>IFERROR(__xludf.DUMMYFUNCTION("IF(ISDATE(S333), DATEDIF(S333, TODAY(), ""Y""), """")"),17.0)</f>
        <v>17</v>
      </c>
      <c r="I333" s="219" t="s">
        <v>2742</v>
      </c>
      <c r="J333" s="221" t="s">
        <v>694</v>
      </c>
      <c r="K333" s="222" t="s">
        <v>2743</v>
      </c>
      <c r="L333" s="139"/>
      <c r="M333" s="219" t="s">
        <v>2744</v>
      </c>
      <c r="N333" s="128" t="s">
        <v>44</v>
      </c>
      <c r="O333" s="139"/>
      <c r="P333" s="223">
        <v>45219.0</v>
      </c>
      <c r="Q333" s="139"/>
      <c r="R333" s="219">
        <v>3.31432419E8</v>
      </c>
      <c r="S333" s="224">
        <v>39662.0</v>
      </c>
      <c r="T333" s="219" t="s">
        <v>2745</v>
      </c>
      <c r="U333" s="139"/>
      <c r="V333" s="139"/>
      <c r="W333" s="139"/>
      <c r="X333" s="219" t="s">
        <v>2003</v>
      </c>
      <c r="Y333" s="222" t="s">
        <v>2746</v>
      </c>
      <c r="Z333" s="131"/>
      <c r="AA333" s="139"/>
      <c r="AB333" s="225" t="s">
        <v>623</v>
      </c>
      <c r="AC333" s="120" t="s">
        <v>169</v>
      </c>
      <c r="AD333" s="139"/>
      <c r="AE333" s="139"/>
      <c r="AF333" s="139"/>
    </row>
    <row r="334" hidden="1">
      <c r="A334" s="92" t="s">
        <v>139</v>
      </c>
      <c r="B334" s="111" t="s">
        <v>158</v>
      </c>
      <c r="C334" s="92" t="s">
        <v>159</v>
      </c>
      <c r="D334" s="117" t="s">
        <v>142</v>
      </c>
      <c r="E334" s="92" t="s">
        <v>2747</v>
      </c>
      <c r="F334" s="111" t="s">
        <v>2748</v>
      </c>
      <c r="G334" s="92" t="s">
        <v>31</v>
      </c>
      <c r="H334" s="114">
        <f>IFERROR(__xludf.DUMMYFUNCTION("IF(ISDATE(S334), DATEDIF(S334, TODAY(), ""Y""), """")"),17.0)</f>
        <v>17</v>
      </c>
      <c r="I334" s="111" t="s">
        <v>2749</v>
      </c>
      <c r="J334" s="92" t="s">
        <v>180</v>
      </c>
      <c r="K334" s="127"/>
      <c r="L334" s="92" t="s">
        <v>92</v>
      </c>
      <c r="M334" s="111" t="s">
        <v>2750</v>
      </c>
      <c r="N334" s="92" t="s">
        <v>44</v>
      </c>
      <c r="O334" s="92" t="s">
        <v>2318</v>
      </c>
      <c r="P334" s="111" t="s">
        <v>809</v>
      </c>
      <c r="Q334" s="111" t="s">
        <v>44</v>
      </c>
      <c r="R334" s="111">
        <v>3.31455246E8</v>
      </c>
      <c r="S334" s="126">
        <v>39726.0</v>
      </c>
      <c r="T334" s="92" t="s">
        <v>829</v>
      </c>
      <c r="U334" s="141">
        <v>45272.0</v>
      </c>
      <c r="V334" s="92" t="s">
        <v>84</v>
      </c>
      <c r="W334" s="136">
        <v>5.22292993E8</v>
      </c>
      <c r="X334" s="92" t="s">
        <v>1037</v>
      </c>
      <c r="Y334" s="111">
        <v>5.28934517E8</v>
      </c>
      <c r="Z334" s="117" t="s">
        <v>43</v>
      </c>
      <c r="AA334" s="111">
        <v>2.0</v>
      </c>
      <c r="AB334" s="92" t="s">
        <v>2751</v>
      </c>
      <c r="AC334" s="92" t="s">
        <v>156</v>
      </c>
      <c r="AD334" s="92"/>
      <c r="AE334" s="127"/>
      <c r="AF334" s="127"/>
    </row>
    <row r="335" hidden="1">
      <c r="A335" s="135" t="s">
        <v>157</v>
      </c>
      <c r="B335" s="120" t="s">
        <v>140</v>
      </c>
      <c r="C335" s="122" t="s">
        <v>141</v>
      </c>
      <c r="D335" s="121" t="s">
        <v>1283</v>
      </c>
      <c r="E335" s="120" t="s">
        <v>2752</v>
      </c>
      <c r="F335" s="122" t="s">
        <v>2286</v>
      </c>
      <c r="G335" s="120" t="s">
        <v>90</v>
      </c>
      <c r="H335" s="130">
        <f>IFERROR(__xludf.DUMMYFUNCTION("IF(ISDATE(S335), DATEDIF(S335, TODAY(), ""Y""), """")"),4.0)</f>
        <v>4</v>
      </c>
      <c r="I335" s="120" t="s">
        <v>2753</v>
      </c>
      <c r="J335" s="120" t="s">
        <v>2754</v>
      </c>
      <c r="K335" s="139"/>
      <c r="L335" s="120" t="s">
        <v>103</v>
      </c>
      <c r="M335" s="120" t="s">
        <v>2755</v>
      </c>
      <c r="N335" s="120" t="s">
        <v>36</v>
      </c>
      <c r="O335" s="120" t="s">
        <v>37</v>
      </c>
      <c r="P335" s="139"/>
      <c r="Q335" s="120" t="s">
        <v>44</v>
      </c>
      <c r="R335" s="122">
        <v>2.35755261E8</v>
      </c>
      <c r="S335" s="121">
        <v>44276.0</v>
      </c>
      <c r="T335" s="120" t="s">
        <v>38</v>
      </c>
      <c r="U335" s="122" t="s">
        <v>2756</v>
      </c>
      <c r="V335" s="120" t="s">
        <v>2333</v>
      </c>
      <c r="W335" s="122">
        <v>5.23578482E8</v>
      </c>
      <c r="X335" s="139"/>
      <c r="Y335" s="139"/>
      <c r="Z335" s="124" t="s">
        <v>43</v>
      </c>
      <c r="AA335" s="139"/>
      <c r="AB335" s="120" t="s">
        <v>2757</v>
      </c>
      <c r="AC335" s="120" t="s">
        <v>156</v>
      </c>
      <c r="AD335" s="120"/>
      <c r="AE335" s="139"/>
      <c r="AF335" s="139"/>
    </row>
    <row r="336" hidden="1">
      <c r="A336" s="92" t="s">
        <v>139</v>
      </c>
      <c r="B336" s="92" t="s">
        <v>158</v>
      </c>
      <c r="C336" s="92" t="s">
        <v>159</v>
      </c>
      <c r="D336" s="117" t="s">
        <v>142</v>
      </c>
      <c r="E336" s="113" t="s">
        <v>2758</v>
      </c>
      <c r="F336" s="137">
        <v>44602.0</v>
      </c>
      <c r="G336" s="113" t="s">
        <v>31</v>
      </c>
      <c r="H336" s="114">
        <f>IFERROR(__xludf.DUMMYFUNCTION("IF(ISDATE(S336), DATEDIF(S336, TODAY(), ""Y""), """")"),17.0)</f>
        <v>17</v>
      </c>
      <c r="I336" s="113" t="s">
        <v>2759</v>
      </c>
      <c r="J336" s="113" t="s">
        <v>572</v>
      </c>
      <c r="K336" s="119"/>
      <c r="L336" s="113" t="s">
        <v>103</v>
      </c>
      <c r="M336" s="113" t="s">
        <v>2760</v>
      </c>
      <c r="N336" s="113" t="s">
        <v>44</v>
      </c>
      <c r="O336" s="113"/>
      <c r="P336" s="119"/>
      <c r="Q336" s="113" t="s">
        <v>44</v>
      </c>
      <c r="R336" s="113">
        <v>3.31613562E8</v>
      </c>
      <c r="S336" s="118">
        <v>39469.0</v>
      </c>
      <c r="T336" s="113" t="s">
        <v>38</v>
      </c>
      <c r="U336" s="113">
        <v>44706.0</v>
      </c>
      <c r="V336" s="113" t="s">
        <v>789</v>
      </c>
      <c r="W336" s="113">
        <v>5.02777597E8</v>
      </c>
      <c r="X336" s="113" t="s">
        <v>86</v>
      </c>
      <c r="Y336" s="113">
        <v>5.08582878E8</v>
      </c>
      <c r="Z336" s="117" t="s">
        <v>43</v>
      </c>
      <c r="AA336" s="138">
        <v>3.0</v>
      </c>
      <c r="AB336" s="116"/>
      <c r="AC336" s="92" t="s">
        <v>169</v>
      </c>
      <c r="AD336" s="119"/>
      <c r="AE336" s="119"/>
      <c r="AF336" s="119"/>
    </row>
    <row r="337" hidden="1">
      <c r="A337" s="120" t="s">
        <v>139</v>
      </c>
      <c r="B337" s="122" t="s">
        <v>158</v>
      </c>
      <c r="C337" s="120" t="s">
        <v>159</v>
      </c>
      <c r="D337" s="124" t="s">
        <v>142</v>
      </c>
      <c r="E337" s="128" t="s">
        <v>2761</v>
      </c>
      <c r="F337" s="129">
        <v>45780.0</v>
      </c>
      <c r="G337" s="128" t="s">
        <v>90</v>
      </c>
      <c r="H337" s="130">
        <f>IFERROR(__xludf.DUMMYFUNCTION("IF(ISDATE(S337), DATEDIF(S337, TODAY(), ""Y""), """")"),18.0)</f>
        <v>18</v>
      </c>
      <c r="I337" s="128" t="s">
        <v>2762</v>
      </c>
      <c r="J337" s="128" t="s">
        <v>188</v>
      </c>
      <c r="K337" s="143" t="s">
        <v>2763</v>
      </c>
      <c r="L337" s="128" t="s">
        <v>2713</v>
      </c>
      <c r="M337" s="134" t="s">
        <v>2465</v>
      </c>
      <c r="N337" s="134" t="s">
        <v>44</v>
      </c>
      <c r="O337" s="128" t="s">
        <v>2764</v>
      </c>
      <c r="P337" s="134" t="s">
        <v>2765</v>
      </c>
      <c r="Q337" s="134" t="s">
        <v>44</v>
      </c>
      <c r="R337" s="128">
        <v>3.31734269E8</v>
      </c>
      <c r="S337" s="132">
        <v>39362.0</v>
      </c>
      <c r="T337" s="128" t="s">
        <v>2766</v>
      </c>
      <c r="U337" s="128" t="s">
        <v>2767</v>
      </c>
      <c r="V337" s="128" t="s">
        <v>2768</v>
      </c>
      <c r="W337" s="143" t="s">
        <v>2769</v>
      </c>
      <c r="X337" s="128" t="s">
        <v>1335</v>
      </c>
      <c r="Y337" s="143" t="s">
        <v>2770</v>
      </c>
      <c r="Z337" s="124" t="s">
        <v>43</v>
      </c>
      <c r="AA337" s="128">
        <v>2.0</v>
      </c>
      <c r="AB337" s="128"/>
      <c r="AC337" s="120" t="s">
        <v>156</v>
      </c>
      <c r="AD337" s="131"/>
      <c r="AE337" s="131"/>
      <c r="AF337" s="124" t="s">
        <v>2771</v>
      </c>
    </row>
    <row r="338" hidden="1">
      <c r="A338" s="135" t="s">
        <v>157</v>
      </c>
      <c r="B338" s="92" t="s">
        <v>140</v>
      </c>
      <c r="C338" s="92" t="s">
        <v>141</v>
      </c>
      <c r="D338" s="148">
        <v>45978.0</v>
      </c>
      <c r="E338" s="117" t="s">
        <v>2772</v>
      </c>
      <c r="F338" s="146">
        <v>45753.0</v>
      </c>
      <c r="G338" s="117" t="s">
        <v>31</v>
      </c>
      <c r="H338" s="114">
        <f>IFERROR(__xludf.DUMMYFUNCTION("IF(ISDATE(S338), DATEDIF(S338, TODAY(), ""Y""), """")"),3.0)</f>
        <v>3</v>
      </c>
      <c r="I338" s="117" t="s">
        <v>2773</v>
      </c>
      <c r="J338" s="117" t="s">
        <v>2774</v>
      </c>
      <c r="K338" s="119"/>
      <c r="L338" s="117" t="s">
        <v>2775</v>
      </c>
      <c r="M338" s="117" t="s">
        <v>424</v>
      </c>
      <c r="N338" s="117" t="s">
        <v>44</v>
      </c>
      <c r="O338" s="117" t="s">
        <v>2776</v>
      </c>
      <c r="P338" s="119"/>
      <c r="Q338" s="117" t="s">
        <v>44</v>
      </c>
      <c r="R338" s="114">
        <v>2.36231981E8</v>
      </c>
      <c r="S338" s="148">
        <v>44685.0</v>
      </c>
      <c r="T338" s="117" t="s">
        <v>2777</v>
      </c>
      <c r="U338" s="114" t="s">
        <v>2778</v>
      </c>
      <c r="V338" s="117" t="s">
        <v>2779</v>
      </c>
      <c r="W338" s="147" t="s">
        <v>2780</v>
      </c>
      <c r="X338" s="117" t="s">
        <v>2781</v>
      </c>
      <c r="Y338" s="147" t="s">
        <v>2782</v>
      </c>
      <c r="Z338" s="117" t="s">
        <v>43</v>
      </c>
      <c r="AA338" s="114">
        <v>3.0</v>
      </c>
      <c r="AB338" s="117" t="s">
        <v>2783</v>
      </c>
      <c r="AC338" s="92" t="s">
        <v>156</v>
      </c>
      <c r="AD338" s="119"/>
      <c r="AE338" s="119"/>
      <c r="AF338" s="117" t="s">
        <v>2784</v>
      </c>
    </row>
    <row r="339" hidden="1">
      <c r="A339" s="120" t="s">
        <v>139</v>
      </c>
      <c r="B339" s="120" t="s">
        <v>158</v>
      </c>
      <c r="C339" s="120" t="s">
        <v>159</v>
      </c>
      <c r="D339" s="124" t="s">
        <v>142</v>
      </c>
      <c r="E339" s="128" t="s">
        <v>2785</v>
      </c>
      <c r="F339" s="129">
        <v>44511.0</v>
      </c>
      <c r="G339" s="128" t="s">
        <v>31</v>
      </c>
      <c r="H339" s="130">
        <f>IFERROR(__xludf.DUMMYFUNCTION("IF(ISDATE(S339), DATEDIF(S339, TODAY(), ""Y""), """")"),17.0)</f>
        <v>17</v>
      </c>
      <c r="I339" s="128" t="s">
        <v>2786</v>
      </c>
      <c r="J339" s="128" t="s">
        <v>2172</v>
      </c>
      <c r="K339" s="131">
        <v>5.2744429E8</v>
      </c>
      <c r="L339" s="128" t="s">
        <v>2787</v>
      </c>
      <c r="M339" s="128" t="s">
        <v>2788</v>
      </c>
      <c r="N339" s="128" t="s">
        <v>44</v>
      </c>
      <c r="O339" s="128"/>
      <c r="P339" s="131"/>
      <c r="Q339" s="128" t="s">
        <v>44</v>
      </c>
      <c r="R339" s="128">
        <v>3.32234848E8</v>
      </c>
      <c r="S339" s="132">
        <v>39700.0</v>
      </c>
      <c r="T339" s="128" t="s">
        <v>259</v>
      </c>
      <c r="U339" s="128">
        <v>44474.0</v>
      </c>
      <c r="V339" s="128" t="s">
        <v>2789</v>
      </c>
      <c r="W339" s="128">
        <v>5.27585222E8</v>
      </c>
      <c r="X339" s="128" t="s">
        <v>2790</v>
      </c>
      <c r="Y339" s="128">
        <v>5.2744429E8</v>
      </c>
      <c r="Z339" s="124" t="s">
        <v>43</v>
      </c>
      <c r="AA339" s="133">
        <v>2.0</v>
      </c>
      <c r="AB339" s="134"/>
      <c r="AC339" s="134" t="s">
        <v>169</v>
      </c>
      <c r="AD339" s="131"/>
      <c r="AE339" s="131"/>
      <c r="AF339" s="131"/>
    </row>
    <row r="340" hidden="1">
      <c r="A340" s="92" t="s">
        <v>139</v>
      </c>
      <c r="B340" s="92" t="s">
        <v>158</v>
      </c>
      <c r="C340" s="92" t="s">
        <v>159</v>
      </c>
      <c r="D340" s="117" t="s">
        <v>142</v>
      </c>
      <c r="E340" s="113" t="s">
        <v>2791</v>
      </c>
      <c r="F340" s="137" t="s">
        <v>2792</v>
      </c>
      <c r="G340" s="113" t="s">
        <v>90</v>
      </c>
      <c r="H340" s="114">
        <f>IFERROR(__xludf.DUMMYFUNCTION("IF(ISDATE(S340), DATEDIF(S340, TODAY(), ""Y""), """")"),17.0)</f>
        <v>17</v>
      </c>
      <c r="I340" s="113" t="s">
        <v>2793</v>
      </c>
      <c r="J340" s="113" t="s">
        <v>597</v>
      </c>
      <c r="K340" s="119">
        <v>5.39197687E8</v>
      </c>
      <c r="L340" s="113" t="s">
        <v>164</v>
      </c>
      <c r="M340" s="113"/>
      <c r="N340" s="113" t="s">
        <v>44</v>
      </c>
      <c r="O340" s="113"/>
      <c r="P340" s="119"/>
      <c r="Q340" s="113" t="s">
        <v>36</v>
      </c>
      <c r="R340" s="113">
        <v>3.33042778E8</v>
      </c>
      <c r="S340" s="118">
        <v>39754.0</v>
      </c>
      <c r="T340" s="113" t="s">
        <v>38</v>
      </c>
      <c r="U340" s="113">
        <v>44310.0</v>
      </c>
      <c r="V340" s="113" t="s">
        <v>2794</v>
      </c>
      <c r="W340" s="113">
        <v>5.47982049E8</v>
      </c>
      <c r="X340" s="113" t="s">
        <v>2795</v>
      </c>
      <c r="Y340" s="113">
        <v>5.47891173E8</v>
      </c>
      <c r="Z340" s="117" t="s">
        <v>43</v>
      </c>
      <c r="AA340" s="138">
        <v>3.0</v>
      </c>
      <c r="AB340" s="116"/>
      <c r="AC340" s="116" t="s">
        <v>169</v>
      </c>
      <c r="AD340" s="119"/>
      <c r="AE340" s="119"/>
      <c r="AF340" s="119"/>
    </row>
    <row r="341" hidden="1">
      <c r="A341" s="120" t="s">
        <v>139</v>
      </c>
      <c r="B341" s="120" t="s">
        <v>158</v>
      </c>
      <c r="C341" s="120" t="s">
        <v>159</v>
      </c>
      <c r="D341" s="124" t="s">
        <v>142</v>
      </c>
      <c r="E341" s="128" t="s">
        <v>2796</v>
      </c>
      <c r="F341" s="129">
        <v>44318.0</v>
      </c>
      <c r="G341" s="128" t="s">
        <v>90</v>
      </c>
      <c r="H341" s="130">
        <f>IFERROR(__xludf.DUMMYFUNCTION("IF(ISDATE(S341), DATEDIF(S341, TODAY(), ""Y""), """")"),16.0)</f>
        <v>16</v>
      </c>
      <c r="I341" s="128" t="s">
        <v>2797</v>
      </c>
      <c r="J341" s="128" t="s">
        <v>2798</v>
      </c>
      <c r="K341" s="131"/>
      <c r="L341" s="128" t="s">
        <v>92</v>
      </c>
      <c r="M341" s="128" t="s">
        <v>405</v>
      </c>
      <c r="N341" s="128" t="s">
        <v>44</v>
      </c>
      <c r="O341" s="128"/>
      <c r="P341" s="131"/>
      <c r="Q341" s="128" t="s">
        <v>44</v>
      </c>
      <c r="R341" s="128">
        <v>3.33062438E8</v>
      </c>
      <c r="S341" s="132">
        <v>39855.0</v>
      </c>
      <c r="T341" s="128" t="s">
        <v>82</v>
      </c>
      <c r="U341" s="128">
        <v>44129.0</v>
      </c>
      <c r="V341" s="128" t="s">
        <v>2799</v>
      </c>
      <c r="W341" s="128">
        <v>5.25887603E8</v>
      </c>
      <c r="X341" s="128" t="s">
        <v>110</v>
      </c>
      <c r="Y341" s="128">
        <v>5.29255547E8</v>
      </c>
      <c r="Z341" s="124" t="s">
        <v>43</v>
      </c>
      <c r="AA341" s="133">
        <v>3.0</v>
      </c>
      <c r="AB341" s="134"/>
      <c r="AC341" s="134" t="s">
        <v>169</v>
      </c>
      <c r="AD341" s="131"/>
      <c r="AE341" s="131"/>
      <c r="AF341" s="131"/>
    </row>
    <row r="342" hidden="1">
      <c r="A342" s="92" t="s">
        <v>139</v>
      </c>
      <c r="B342" s="111" t="s">
        <v>158</v>
      </c>
      <c r="C342" s="92" t="s">
        <v>159</v>
      </c>
      <c r="D342" s="117" t="s">
        <v>142</v>
      </c>
      <c r="E342" s="92" t="s">
        <v>2800</v>
      </c>
      <c r="F342" s="183">
        <v>44811.0</v>
      </c>
      <c r="G342" s="92" t="s">
        <v>90</v>
      </c>
      <c r="H342" s="136">
        <f>IFERROR(__xludf.DUMMYFUNCTION("IF(ISDATE(S342), DATEDIF(S342, TODAY(), ""Y""), """")"),17.0)</f>
        <v>17</v>
      </c>
      <c r="I342" s="92" t="s">
        <v>2801</v>
      </c>
      <c r="J342" s="92" t="s">
        <v>2187</v>
      </c>
      <c r="K342" s="111">
        <v>5.39618148E8</v>
      </c>
      <c r="L342" s="92" t="s">
        <v>92</v>
      </c>
      <c r="M342" s="92" t="s">
        <v>2802</v>
      </c>
      <c r="N342" s="111" t="s">
        <v>44</v>
      </c>
      <c r="O342" s="92"/>
      <c r="P342" s="127"/>
      <c r="Q342" s="92" t="s">
        <v>44</v>
      </c>
      <c r="R342" s="111">
        <v>3.33089852E8</v>
      </c>
      <c r="S342" s="126">
        <v>39770.0</v>
      </c>
      <c r="T342" s="92" t="s">
        <v>2803</v>
      </c>
      <c r="U342" s="183">
        <v>44769.0</v>
      </c>
      <c r="V342" s="92" t="s">
        <v>2387</v>
      </c>
      <c r="W342" s="111">
        <v>5.47414068E8</v>
      </c>
      <c r="X342" s="92" t="s">
        <v>2804</v>
      </c>
      <c r="Y342" s="111">
        <v>5.22826907E8</v>
      </c>
      <c r="Z342" s="117" t="s">
        <v>43</v>
      </c>
      <c r="AA342" s="111">
        <v>2.0</v>
      </c>
      <c r="AB342" s="92" t="s">
        <v>2805</v>
      </c>
      <c r="AC342" s="92" t="s">
        <v>169</v>
      </c>
      <c r="AD342" s="92" t="s">
        <v>2806</v>
      </c>
      <c r="AE342" s="92"/>
      <c r="AF342" s="92" t="s">
        <v>2807</v>
      </c>
    </row>
    <row r="343" hidden="1">
      <c r="A343" s="120" t="s">
        <v>139</v>
      </c>
      <c r="B343" s="122" t="s">
        <v>158</v>
      </c>
      <c r="C343" s="120" t="s">
        <v>159</v>
      </c>
      <c r="D343" s="124" t="s">
        <v>142</v>
      </c>
      <c r="E343" s="219" t="s">
        <v>2808</v>
      </c>
      <c r="F343" s="220">
        <v>45595.5395562037</v>
      </c>
      <c r="G343" s="219" t="s">
        <v>90</v>
      </c>
      <c r="H343" s="130">
        <f>IFERROR(__xludf.DUMMYFUNCTION("IF(ISDATE(S343), DATEDIF(S343, TODAY(), ""Y""), """")"),17.0)</f>
        <v>17</v>
      </c>
      <c r="I343" s="219" t="s">
        <v>2809</v>
      </c>
      <c r="J343" s="221" t="s">
        <v>694</v>
      </c>
      <c r="K343" s="222" t="s">
        <v>2810</v>
      </c>
      <c r="L343" s="139"/>
      <c r="M343" s="219" t="s">
        <v>2373</v>
      </c>
      <c r="N343" s="128" t="s">
        <v>44</v>
      </c>
      <c r="O343" s="139"/>
      <c r="P343" s="223">
        <v>39475.0</v>
      </c>
      <c r="Q343" s="139"/>
      <c r="R343" s="219">
        <v>3.3318042E8</v>
      </c>
      <c r="S343" s="224">
        <v>39784.0</v>
      </c>
      <c r="T343" s="219" t="s">
        <v>945</v>
      </c>
      <c r="U343" s="139"/>
      <c r="V343" s="139"/>
      <c r="W343" s="139"/>
      <c r="X343" s="219" t="s">
        <v>1127</v>
      </c>
      <c r="Y343" s="222" t="s">
        <v>2811</v>
      </c>
      <c r="Z343" s="131"/>
      <c r="AA343" s="139"/>
      <c r="AB343" s="225"/>
      <c r="AC343" s="120" t="s">
        <v>169</v>
      </c>
      <c r="AD343" s="139"/>
      <c r="AE343" s="139"/>
      <c r="AF343" s="139"/>
    </row>
    <row r="344" hidden="1">
      <c r="A344" s="92" t="s">
        <v>139</v>
      </c>
      <c r="B344" s="111" t="s">
        <v>158</v>
      </c>
      <c r="C344" s="92" t="s">
        <v>159</v>
      </c>
      <c r="D344" s="117" t="s">
        <v>142</v>
      </c>
      <c r="E344" s="150" t="s">
        <v>2812</v>
      </c>
      <c r="F344" s="151">
        <v>45858.51440579861</v>
      </c>
      <c r="G344" s="150" t="s">
        <v>90</v>
      </c>
      <c r="H344" s="114">
        <f>IFERROR(__xludf.DUMMYFUNCTION("IF(ISDATE(S344), DATEDIF(S344, TODAY(), ""Y""), """")"),17.0)</f>
        <v>17</v>
      </c>
      <c r="I344" s="150" t="s">
        <v>2813</v>
      </c>
      <c r="J344" s="92" t="s">
        <v>1130</v>
      </c>
      <c r="K344" s="152" t="s">
        <v>2814</v>
      </c>
      <c r="L344" s="127"/>
      <c r="M344" s="150" t="s">
        <v>2815</v>
      </c>
      <c r="N344" s="113" t="s">
        <v>44</v>
      </c>
      <c r="O344" s="127"/>
      <c r="P344" s="218">
        <v>45678.0</v>
      </c>
      <c r="Q344" s="127"/>
      <c r="R344" s="157">
        <v>3.33287878E8</v>
      </c>
      <c r="S344" s="153">
        <v>39804.0</v>
      </c>
      <c r="T344" s="150" t="s">
        <v>2816</v>
      </c>
      <c r="U344" s="127"/>
      <c r="V344" s="92" t="s">
        <v>2209</v>
      </c>
      <c r="W344" s="152" t="s">
        <v>2817</v>
      </c>
      <c r="X344" s="150" t="s">
        <v>203</v>
      </c>
      <c r="Y344" s="157">
        <v>5.35306831E8</v>
      </c>
      <c r="Z344" s="119"/>
      <c r="AA344" s="127"/>
      <c r="AB344" s="155"/>
      <c r="AC344" s="92" t="s">
        <v>169</v>
      </c>
      <c r="AD344" s="127"/>
      <c r="AE344" s="127"/>
      <c r="AF344" s="127"/>
    </row>
    <row r="345" hidden="1">
      <c r="A345" s="84" t="s">
        <v>157</v>
      </c>
      <c r="B345" s="120" t="s">
        <v>140</v>
      </c>
      <c r="C345" s="120" t="s">
        <v>238</v>
      </c>
      <c r="D345" s="161">
        <v>45950.0</v>
      </c>
      <c r="E345" s="124" t="s">
        <v>2818</v>
      </c>
      <c r="F345" s="161">
        <v>45950.0</v>
      </c>
      <c r="G345" s="124" t="s">
        <v>31</v>
      </c>
      <c r="H345" s="130">
        <v>3.0</v>
      </c>
      <c r="I345" s="124" t="s">
        <v>2819</v>
      </c>
      <c r="J345" s="124" t="s">
        <v>378</v>
      </c>
      <c r="K345" s="131"/>
      <c r="L345" s="124" t="s">
        <v>49</v>
      </c>
      <c r="M345" s="124" t="s">
        <v>2820</v>
      </c>
      <c r="N345" s="124" t="s">
        <v>36</v>
      </c>
      <c r="O345" s="130" t="s">
        <v>2821</v>
      </c>
      <c r="P345" s="124"/>
      <c r="Q345" s="124" t="s">
        <v>36</v>
      </c>
      <c r="R345" s="130">
        <v>2.3661534E8</v>
      </c>
      <c r="S345" s="156">
        <v>44690.0</v>
      </c>
      <c r="T345" s="124" t="s">
        <v>244</v>
      </c>
      <c r="U345" s="130" t="s">
        <v>2822</v>
      </c>
      <c r="V345" s="124" t="s">
        <v>2823</v>
      </c>
      <c r="W345" s="162" t="s">
        <v>2824</v>
      </c>
      <c r="X345" s="124" t="s">
        <v>2825</v>
      </c>
      <c r="Y345" s="162" t="s">
        <v>2826</v>
      </c>
      <c r="Z345" s="124" t="s">
        <v>43</v>
      </c>
      <c r="AA345" s="130">
        <v>2.0</v>
      </c>
      <c r="AB345" s="124"/>
      <c r="AC345" s="120" t="s">
        <v>169</v>
      </c>
      <c r="AD345" s="131"/>
      <c r="AE345" s="131"/>
      <c r="AF345" s="124"/>
    </row>
    <row r="346" hidden="1">
      <c r="A346" s="108" t="s">
        <v>157</v>
      </c>
      <c r="B346" s="111" t="s">
        <v>140</v>
      </c>
      <c r="C346" s="111" t="s">
        <v>141</v>
      </c>
      <c r="D346" s="126">
        <v>45910.0</v>
      </c>
      <c r="E346" s="92" t="s">
        <v>2827</v>
      </c>
      <c r="F346" s="111" t="s">
        <v>1250</v>
      </c>
      <c r="G346" s="92" t="s">
        <v>31</v>
      </c>
      <c r="H346" s="136">
        <f>IFERROR(__xludf.DUMMYFUNCTION("IF(ISDATE(S346), DATEDIF(S346, TODAY(), ""Y""), """")"),3.0)</f>
        <v>3</v>
      </c>
      <c r="I346" s="119"/>
      <c r="J346" s="92" t="s">
        <v>2662</v>
      </c>
      <c r="K346" s="127"/>
      <c r="L346" s="92" t="s">
        <v>92</v>
      </c>
      <c r="M346" s="92" t="s">
        <v>2828</v>
      </c>
      <c r="N346" s="92" t="s">
        <v>36</v>
      </c>
      <c r="O346" s="92" t="s">
        <v>2776</v>
      </c>
      <c r="P346" s="127"/>
      <c r="Q346" s="92" t="s">
        <v>2829</v>
      </c>
      <c r="R346" s="111">
        <v>2.36786976E8</v>
      </c>
      <c r="S346" s="126">
        <v>44641.0</v>
      </c>
      <c r="T346" s="92" t="s">
        <v>331</v>
      </c>
      <c r="U346" s="111" t="s">
        <v>2830</v>
      </c>
      <c r="V346" s="92" t="s">
        <v>2831</v>
      </c>
      <c r="W346" s="111">
        <v>5.0758022E8</v>
      </c>
      <c r="X346" s="92" t="s">
        <v>2832</v>
      </c>
      <c r="Y346" s="111">
        <v>5.46561056E8</v>
      </c>
      <c r="Z346" s="117" t="s">
        <v>43</v>
      </c>
      <c r="AA346" s="111">
        <v>4.0</v>
      </c>
      <c r="AB346" s="92" t="s">
        <v>2833</v>
      </c>
      <c r="AC346" s="92" t="s">
        <v>169</v>
      </c>
      <c r="AD346" s="92" t="s">
        <v>2834</v>
      </c>
      <c r="AE346" s="92"/>
      <c r="AF346" s="92" t="s">
        <v>2835</v>
      </c>
    </row>
    <row r="347" hidden="1">
      <c r="A347" s="120" t="s">
        <v>157</v>
      </c>
      <c r="B347" s="120" t="s">
        <v>158</v>
      </c>
      <c r="C347" s="120" t="s">
        <v>159</v>
      </c>
      <c r="D347" s="124" t="s">
        <v>142</v>
      </c>
      <c r="E347" s="128" t="s">
        <v>2836</v>
      </c>
      <c r="F347" s="129" t="s">
        <v>2837</v>
      </c>
      <c r="G347" s="128" t="s">
        <v>90</v>
      </c>
      <c r="H347" s="130">
        <f>IFERROR(__xludf.DUMMYFUNCTION("IF(ISDATE(S347), DATEDIF(S347, TODAY(), ""Y""), """")"),16.0)</f>
        <v>16</v>
      </c>
      <c r="I347" s="128" t="s">
        <v>2838</v>
      </c>
      <c r="J347" s="128" t="s">
        <v>2839</v>
      </c>
      <c r="K347" s="131"/>
      <c r="L347" s="128" t="s">
        <v>92</v>
      </c>
      <c r="M347" s="128" t="s">
        <v>2840</v>
      </c>
      <c r="N347" s="128" t="s">
        <v>44</v>
      </c>
      <c r="O347" s="128"/>
      <c r="P347" s="131"/>
      <c r="Q347" s="128" t="s">
        <v>44</v>
      </c>
      <c r="R347" s="128">
        <v>3.33701332E8</v>
      </c>
      <c r="S347" s="132">
        <v>40071.0</v>
      </c>
      <c r="T347" s="128" t="s">
        <v>2841</v>
      </c>
      <c r="U347" s="128">
        <v>43975.0</v>
      </c>
      <c r="V347" s="128" t="s">
        <v>183</v>
      </c>
      <c r="W347" s="128">
        <v>5.29247229E8</v>
      </c>
      <c r="X347" s="128" t="s">
        <v>1569</v>
      </c>
      <c r="Y347" s="128">
        <v>5.42400332E8</v>
      </c>
      <c r="Z347" s="124" t="s">
        <v>43</v>
      </c>
      <c r="AA347" s="133">
        <v>2.0</v>
      </c>
      <c r="AB347" s="134"/>
      <c r="AC347" s="134" t="s">
        <v>169</v>
      </c>
      <c r="AD347" s="131"/>
      <c r="AE347" s="131"/>
      <c r="AF347" s="131"/>
    </row>
    <row r="348" hidden="1">
      <c r="A348" s="92" t="s">
        <v>139</v>
      </c>
      <c r="B348" s="111" t="s">
        <v>158</v>
      </c>
      <c r="C348" s="92" t="s">
        <v>159</v>
      </c>
      <c r="D348" s="117" t="s">
        <v>142</v>
      </c>
      <c r="E348" s="92" t="s">
        <v>2842</v>
      </c>
      <c r="F348" s="111" t="s">
        <v>943</v>
      </c>
      <c r="G348" s="92" t="s">
        <v>31</v>
      </c>
      <c r="H348" s="114">
        <f>IFERROR(__xludf.DUMMYFUNCTION("IF(ISDATE(S348), DATEDIF(S348, TODAY(), ""Y""), """")"),16.0)</f>
        <v>16</v>
      </c>
      <c r="I348" s="92" t="s">
        <v>2843</v>
      </c>
      <c r="J348" s="92" t="s">
        <v>2844</v>
      </c>
      <c r="K348" s="127"/>
      <c r="L348" s="92" t="s">
        <v>92</v>
      </c>
      <c r="M348" s="92" t="s">
        <v>2845</v>
      </c>
      <c r="N348" s="92" t="s">
        <v>44</v>
      </c>
      <c r="O348" s="92" t="s">
        <v>914</v>
      </c>
      <c r="P348" s="111" t="s">
        <v>2846</v>
      </c>
      <c r="Q348" s="92" t="s">
        <v>36</v>
      </c>
      <c r="R348" s="111">
        <v>3.33707123E8</v>
      </c>
      <c r="S348" s="126">
        <v>40015.0</v>
      </c>
      <c r="T348" s="92" t="s">
        <v>2847</v>
      </c>
      <c r="U348" s="111" t="s">
        <v>2848</v>
      </c>
      <c r="V348" s="92" t="s">
        <v>97</v>
      </c>
      <c r="W348" s="111">
        <v>5.04506011E8</v>
      </c>
      <c r="X348" s="92" t="s">
        <v>2849</v>
      </c>
      <c r="Y348" s="111">
        <v>5.05996012E8</v>
      </c>
      <c r="Z348" s="117" t="s">
        <v>168</v>
      </c>
      <c r="AA348" s="111">
        <v>2.0</v>
      </c>
      <c r="AB348" s="92" t="s">
        <v>2850</v>
      </c>
      <c r="AC348" s="92" t="s">
        <v>156</v>
      </c>
      <c r="AD348" s="127"/>
      <c r="AE348" s="127"/>
      <c r="AF348" s="127"/>
    </row>
    <row r="349" hidden="1">
      <c r="A349" s="120" t="s">
        <v>157</v>
      </c>
      <c r="B349" s="120" t="s">
        <v>158</v>
      </c>
      <c r="C349" s="120" t="s">
        <v>159</v>
      </c>
      <c r="D349" s="121">
        <v>45907.0</v>
      </c>
      <c r="E349" s="120" t="s">
        <v>2851</v>
      </c>
      <c r="F349" s="181">
        <v>45634.0</v>
      </c>
      <c r="G349" s="120" t="s">
        <v>90</v>
      </c>
      <c r="H349" s="130">
        <f>IFERROR(__xludf.DUMMYFUNCTION("IF(ISDATE(S349), DATEDIF(S349, TODAY(), ""Y""), """")"),16.0)</f>
        <v>16</v>
      </c>
      <c r="I349" s="120" t="s">
        <v>2852</v>
      </c>
      <c r="J349" s="120" t="s">
        <v>2844</v>
      </c>
      <c r="K349" s="122">
        <v>5.2215577E8</v>
      </c>
      <c r="L349" s="120" t="s">
        <v>610</v>
      </c>
      <c r="M349" s="120" t="s">
        <v>2853</v>
      </c>
      <c r="N349" s="120" t="s">
        <v>44</v>
      </c>
      <c r="O349" s="120"/>
      <c r="P349" s="120" t="s">
        <v>2854</v>
      </c>
      <c r="Q349" s="120" t="s">
        <v>36</v>
      </c>
      <c r="R349" s="122">
        <v>3.33718591E8</v>
      </c>
      <c r="S349" s="121">
        <v>40116.0</v>
      </c>
      <c r="T349" s="120" t="s">
        <v>2855</v>
      </c>
      <c r="U349" s="122">
        <v>15.2</v>
      </c>
      <c r="V349" s="120" t="s">
        <v>2856</v>
      </c>
      <c r="W349" s="122">
        <v>5.04200457E8</v>
      </c>
      <c r="X349" s="120" t="s">
        <v>2857</v>
      </c>
      <c r="Y349" s="122">
        <v>5.46725209E8</v>
      </c>
      <c r="Z349" s="124" t="s">
        <v>43</v>
      </c>
      <c r="AA349" s="122">
        <v>3.0</v>
      </c>
      <c r="AB349" s="120" t="s">
        <v>2858</v>
      </c>
      <c r="AC349" s="120" t="s">
        <v>156</v>
      </c>
      <c r="AD349" s="139"/>
      <c r="AE349" s="139"/>
      <c r="AF349" s="139"/>
    </row>
    <row r="350" hidden="1">
      <c r="A350" s="108" t="s">
        <v>157</v>
      </c>
      <c r="B350" s="92" t="s">
        <v>140</v>
      </c>
      <c r="C350" s="111" t="s">
        <v>141</v>
      </c>
      <c r="D350" s="126">
        <v>45907.0</v>
      </c>
      <c r="E350" s="92" t="s">
        <v>2859</v>
      </c>
      <c r="F350" s="183">
        <v>45055.0</v>
      </c>
      <c r="G350" s="92" t="s">
        <v>90</v>
      </c>
      <c r="H350" s="114">
        <f>IFERROR(__xludf.DUMMYFUNCTION("IF(ISDATE(S350), DATEDIF(S350, TODAY(), ""Y""), """")"),3.0)</f>
        <v>3</v>
      </c>
      <c r="I350" s="92" t="s">
        <v>2860</v>
      </c>
      <c r="J350" s="92" t="s">
        <v>479</v>
      </c>
      <c r="K350" s="127"/>
      <c r="L350" s="92" t="s">
        <v>92</v>
      </c>
      <c r="M350" s="92" t="s">
        <v>2861</v>
      </c>
      <c r="N350" s="92" t="s">
        <v>44</v>
      </c>
      <c r="O350" s="92"/>
      <c r="P350" s="92"/>
      <c r="Q350" s="92" t="s">
        <v>44</v>
      </c>
      <c r="R350" s="111">
        <v>2.36891453E8</v>
      </c>
      <c r="S350" s="126">
        <v>44869.0</v>
      </c>
      <c r="T350" s="92" t="s">
        <v>2862</v>
      </c>
      <c r="U350" s="111" t="s">
        <v>2863</v>
      </c>
      <c r="V350" s="92" t="s">
        <v>31</v>
      </c>
      <c r="W350" s="111">
        <v>5.28912004E8</v>
      </c>
      <c r="X350" s="92" t="s">
        <v>2864</v>
      </c>
      <c r="Y350" s="111">
        <v>5.08807369E8</v>
      </c>
      <c r="Z350" s="117" t="s">
        <v>43</v>
      </c>
      <c r="AA350" s="92" t="s">
        <v>2865</v>
      </c>
      <c r="AB350" s="92" t="s">
        <v>2866</v>
      </c>
      <c r="AC350" s="92" t="s">
        <v>169</v>
      </c>
      <c r="AD350" s="92"/>
      <c r="AE350" s="127"/>
      <c r="AF350" s="92" t="s">
        <v>2867</v>
      </c>
    </row>
    <row r="351" hidden="1">
      <c r="A351" s="120" t="s">
        <v>157</v>
      </c>
      <c r="B351" s="120" t="s">
        <v>158</v>
      </c>
      <c r="C351" s="120" t="s">
        <v>159</v>
      </c>
      <c r="D351" s="124" t="s">
        <v>142</v>
      </c>
      <c r="E351" s="128" t="s">
        <v>2868</v>
      </c>
      <c r="F351" s="129" t="s">
        <v>1668</v>
      </c>
      <c r="G351" s="128" t="s">
        <v>31</v>
      </c>
      <c r="H351" s="130">
        <f>IFERROR(__xludf.DUMMYFUNCTION("IF(ISDATE(S351), DATEDIF(S351, TODAY(), ""Y""), """")"),15.0)</f>
        <v>15</v>
      </c>
      <c r="I351" s="128" t="s">
        <v>2869</v>
      </c>
      <c r="J351" s="128" t="s">
        <v>241</v>
      </c>
      <c r="K351" s="131" t="s">
        <v>198</v>
      </c>
      <c r="L351" s="128" t="s">
        <v>189</v>
      </c>
      <c r="M351" s="128" t="s">
        <v>2870</v>
      </c>
      <c r="N351" s="128" t="s">
        <v>44</v>
      </c>
      <c r="O351" s="128"/>
      <c r="P351" s="131"/>
      <c r="Q351" s="128" t="s">
        <v>36</v>
      </c>
      <c r="R351" s="128">
        <v>3.3418918E8</v>
      </c>
      <c r="S351" s="132">
        <v>40210.0</v>
      </c>
      <c r="T351" s="128"/>
      <c r="U351" s="128" t="s">
        <v>2871</v>
      </c>
      <c r="V351" s="128" t="s">
        <v>2872</v>
      </c>
      <c r="W351" s="128">
        <v>5.48410875E8</v>
      </c>
      <c r="X351" s="128" t="s">
        <v>2873</v>
      </c>
      <c r="Y351" s="128">
        <v>5.04190834E8</v>
      </c>
      <c r="Z351" s="124" t="s">
        <v>43</v>
      </c>
      <c r="AA351" s="133">
        <v>5.0</v>
      </c>
      <c r="AB351" s="134"/>
      <c r="AC351" s="120" t="s">
        <v>169</v>
      </c>
      <c r="AD351" s="131"/>
      <c r="AE351" s="131"/>
      <c r="AF351" s="131"/>
    </row>
    <row r="352" hidden="1">
      <c r="A352" s="92" t="s">
        <v>157</v>
      </c>
      <c r="B352" s="92" t="s">
        <v>158</v>
      </c>
      <c r="C352" s="92" t="s">
        <v>159</v>
      </c>
      <c r="D352" s="126">
        <v>45876.0</v>
      </c>
      <c r="E352" s="92" t="s">
        <v>2874</v>
      </c>
      <c r="F352" s="111" t="s">
        <v>2875</v>
      </c>
      <c r="G352" s="92" t="s">
        <v>90</v>
      </c>
      <c r="H352" s="114">
        <f>IFERROR(__xludf.DUMMYFUNCTION("IF(ISDATE(S352), DATEDIF(S352, TODAY(), ""Y""), """")"),15.0)</f>
        <v>15</v>
      </c>
      <c r="I352" s="92" t="s">
        <v>2876</v>
      </c>
      <c r="J352" s="92" t="s">
        <v>590</v>
      </c>
      <c r="K352" s="111">
        <v>5.05076292E8</v>
      </c>
      <c r="L352" s="92" t="s">
        <v>208</v>
      </c>
      <c r="M352" s="92" t="s">
        <v>379</v>
      </c>
      <c r="N352" s="92" t="s">
        <v>44</v>
      </c>
      <c r="O352" s="127"/>
      <c r="P352" s="127"/>
      <c r="Q352" s="92" t="s">
        <v>44</v>
      </c>
      <c r="R352" s="111">
        <v>3.34296706E8</v>
      </c>
      <c r="S352" s="126">
        <v>40246.0</v>
      </c>
      <c r="T352" s="92" t="s">
        <v>837</v>
      </c>
      <c r="U352" s="183">
        <v>44409.0</v>
      </c>
      <c r="V352" s="111" t="s">
        <v>198</v>
      </c>
      <c r="W352" s="111" t="s">
        <v>198</v>
      </c>
      <c r="X352" s="92" t="s">
        <v>184</v>
      </c>
      <c r="Y352" s="111">
        <v>5.05076292E8</v>
      </c>
      <c r="Z352" s="117" t="s">
        <v>123</v>
      </c>
      <c r="AA352" s="127"/>
      <c r="AB352" s="92" t="s">
        <v>2877</v>
      </c>
      <c r="AC352" s="92" t="s">
        <v>156</v>
      </c>
      <c r="AD352" s="92"/>
      <c r="AE352" s="127"/>
      <c r="AF352" s="127"/>
    </row>
    <row r="353" hidden="1">
      <c r="A353" s="84" t="s">
        <v>157</v>
      </c>
      <c r="B353" s="120" t="s">
        <v>140</v>
      </c>
      <c r="C353" s="120" t="s">
        <v>141</v>
      </c>
      <c r="D353" s="122" t="s">
        <v>2878</v>
      </c>
      <c r="E353" s="164" t="s">
        <v>2879</v>
      </c>
      <c r="F353" s="165">
        <v>45909.0</v>
      </c>
      <c r="G353" s="164" t="s">
        <v>31</v>
      </c>
      <c r="H353" s="130">
        <v>3.0</v>
      </c>
      <c r="I353" s="164" t="s">
        <v>2880</v>
      </c>
      <c r="J353" s="120" t="s">
        <v>241</v>
      </c>
      <c r="K353" s="166"/>
      <c r="L353" s="139" t="s">
        <v>189</v>
      </c>
      <c r="M353" s="164" t="s">
        <v>2828</v>
      </c>
      <c r="N353" s="120" t="s">
        <v>44</v>
      </c>
      <c r="O353" s="139"/>
      <c r="P353" s="139" t="s">
        <v>2881</v>
      </c>
      <c r="Q353" s="139" t="s">
        <v>2882</v>
      </c>
      <c r="R353" s="139">
        <v>2.37311998E8</v>
      </c>
      <c r="S353" s="167">
        <v>44821.0</v>
      </c>
      <c r="T353" s="164" t="s">
        <v>38</v>
      </c>
      <c r="U353" s="168" t="s">
        <v>2883</v>
      </c>
      <c r="V353" s="139" t="s">
        <v>84</v>
      </c>
      <c r="W353" s="168" t="s">
        <v>2884</v>
      </c>
      <c r="X353" s="164" t="s">
        <v>2885</v>
      </c>
      <c r="Y353" s="169" t="s">
        <v>2886</v>
      </c>
      <c r="Z353" s="124" t="s">
        <v>43</v>
      </c>
      <c r="AA353" s="122">
        <v>1.0</v>
      </c>
      <c r="AB353" s="170" t="s">
        <v>2887</v>
      </c>
      <c r="AC353" s="120" t="s">
        <v>156</v>
      </c>
      <c r="AD353" s="139"/>
      <c r="AE353" s="139"/>
      <c r="AF353" s="139"/>
    </row>
    <row r="354" hidden="1">
      <c r="A354" s="84" t="s">
        <v>157</v>
      </c>
      <c r="B354" s="92" t="s">
        <v>140</v>
      </c>
      <c r="C354" s="92" t="s">
        <v>141</v>
      </c>
      <c r="D354" s="114" t="s">
        <v>698</v>
      </c>
      <c r="E354" s="117" t="s">
        <v>2888</v>
      </c>
      <c r="F354" s="114" t="s">
        <v>698</v>
      </c>
      <c r="G354" s="203" t="s">
        <v>31</v>
      </c>
      <c r="H354" s="203">
        <v>2.5</v>
      </c>
      <c r="I354" s="203" t="s">
        <v>2889</v>
      </c>
      <c r="J354" s="203" t="s">
        <v>1192</v>
      </c>
      <c r="K354" s="155"/>
      <c r="L354" s="203" t="s">
        <v>610</v>
      </c>
      <c r="M354" s="205" t="s">
        <v>141</v>
      </c>
      <c r="N354" s="203" t="s">
        <v>36</v>
      </c>
      <c r="O354" s="237" t="s">
        <v>2890</v>
      </c>
      <c r="P354" s="205"/>
      <c r="Q354" s="206" t="s">
        <v>36</v>
      </c>
      <c r="R354" s="203">
        <v>2.37539119E8</v>
      </c>
      <c r="S354" s="206">
        <v>45058.0</v>
      </c>
      <c r="T354" s="205" t="s">
        <v>2891</v>
      </c>
      <c r="U354" s="207" t="s">
        <v>2892</v>
      </c>
      <c r="V354" s="203" t="s">
        <v>635</v>
      </c>
      <c r="W354" s="207" t="s">
        <v>2893</v>
      </c>
      <c r="X354" s="203" t="s">
        <v>2894</v>
      </c>
      <c r="Y354" s="207" t="s">
        <v>2895</v>
      </c>
      <c r="Z354" s="117" t="s">
        <v>43</v>
      </c>
      <c r="AA354" s="238" t="s">
        <v>623</v>
      </c>
      <c r="AB354" s="203"/>
      <c r="AC354" s="205" t="s">
        <v>156</v>
      </c>
      <c r="AD354" s="119"/>
      <c r="AE354" s="119"/>
      <c r="AF354" s="117"/>
    </row>
    <row r="355" hidden="1">
      <c r="A355" s="144" t="s">
        <v>157</v>
      </c>
      <c r="B355" s="120" t="s">
        <v>140</v>
      </c>
      <c r="C355" s="120" t="s">
        <v>141</v>
      </c>
      <c r="D355" s="121" t="s">
        <v>2261</v>
      </c>
      <c r="E355" s="120" t="s">
        <v>2896</v>
      </c>
      <c r="F355" s="122">
        <v>16.12</v>
      </c>
      <c r="G355" s="120" t="s">
        <v>31</v>
      </c>
      <c r="H355" s="130">
        <f>IFERROR(__xludf.DUMMYFUNCTION("IF(ISDATE(S355), DATEDIF(S355, TODAY(), ""Y""), """")"),3.0)</f>
        <v>3</v>
      </c>
      <c r="I355" s="120" t="s">
        <v>2897</v>
      </c>
      <c r="J355" s="120" t="s">
        <v>590</v>
      </c>
      <c r="K355" s="139"/>
      <c r="L355" s="120" t="s">
        <v>92</v>
      </c>
      <c r="M355" s="120" t="s">
        <v>141</v>
      </c>
      <c r="N355" s="120" t="s">
        <v>36</v>
      </c>
      <c r="O355" s="120" t="s">
        <v>2898</v>
      </c>
      <c r="P355" s="120" t="s">
        <v>2899</v>
      </c>
      <c r="Q355" s="120" t="s">
        <v>36</v>
      </c>
      <c r="R355" s="122">
        <v>2.37625587E8</v>
      </c>
      <c r="S355" s="121">
        <v>44888.0</v>
      </c>
      <c r="T355" s="120" t="s">
        <v>331</v>
      </c>
      <c r="U355" s="122" t="s">
        <v>2900</v>
      </c>
      <c r="V355" s="120" t="s">
        <v>2901</v>
      </c>
      <c r="W355" s="122">
        <v>5.07512008E8</v>
      </c>
      <c r="X355" s="120" t="s">
        <v>1510</v>
      </c>
      <c r="Y355" s="122">
        <v>5.49155101E8</v>
      </c>
      <c r="Z355" s="124" t="s">
        <v>43</v>
      </c>
      <c r="AA355" s="122">
        <v>3.0</v>
      </c>
      <c r="AB355" s="120"/>
      <c r="AC355" s="120" t="s">
        <v>156</v>
      </c>
      <c r="AD355" s="120"/>
      <c r="AE355" s="120"/>
      <c r="AF355" s="120" t="s">
        <v>1762</v>
      </c>
    </row>
    <row r="356" hidden="1">
      <c r="A356" s="92" t="s">
        <v>157</v>
      </c>
      <c r="B356" s="92" t="s">
        <v>158</v>
      </c>
      <c r="C356" s="92" t="s">
        <v>159</v>
      </c>
      <c r="D356" s="117" t="s">
        <v>142</v>
      </c>
      <c r="E356" s="113" t="s">
        <v>2902</v>
      </c>
      <c r="F356" s="137" t="s">
        <v>2903</v>
      </c>
      <c r="G356" s="113" t="s">
        <v>31</v>
      </c>
      <c r="H356" s="114">
        <f>IFERROR(__xludf.DUMMYFUNCTION("IF(ISDATE(S356), DATEDIF(S356, TODAY(), ""Y""), """")"),15.0)</f>
        <v>15</v>
      </c>
      <c r="I356" s="113" t="s">
        <v>2904</v>
      </c>
      <c r="J356" s="113" t="s">
        <v>312</v>
      </c>
      <c r="K356" s="119"/>
      <c r="L356" s="113" t="s">
        <v>92</v>
      </c>
      <c r="M356" s="113" t="s">
        <v>424</v>
      </c>
      <c r="N356" s="113" t="s">
        <v>44</v>
      </c>
      <c r="O356" s="113"/>
      <c r="P356" s="119"/>
      <c r="Q356" s="113" t="s">
        <v>36</v>
      </c>
      <c r="R356" s="113">
        <v>3.34561214E8</v>
      </c>
      <c r="S356" s="118">
        <v>40255.0</v>
      </c>
      <c r="T356" s="113" t="s">
        <v>726</v>
      </c>
      <c r="U356" s="113">
        <v>44858.0</v>
      </c>
      <c r="V356" s="113" t="s">
        <v>2665</v>
      </c>
      <c r="W356" s="113">
        <v>5.48887637E8</v>
      </c>
      <c r="X356" s="113" t="s">
        <v>2905</v>
      </c>
      <c r="Y356" s="113">
        <v>5.42428043E8</v>
      </c>
      <c r="Z356" s="117" t="s">
        <v>43</v>
      </c>
      <c r="AA356" s="138"/>
      <c r="AB356" s="116"/>
      <c r="AC356" s="92" t="s">
        <v>169</v>
      </c>
      <c r="AD356" s="119"/>
      <c r="AE356" s="119"/>
      <c r="AF356" s="119"/>
    </row>
    <row r="357" hidden="1">
      <c r="A357" s="120" t="s">
        <v>157</v>
      </c>
      <c r="B357" s="120" t="s">
        <v>158</v>
      </c>
      <c r="C357" s="120" t="s">
        <v>159</v>
      </c>
      <c r="D357" s="124" t="s">
        <v>142</v>
      </c>
      <c r="E357" s="128" t="s">
        <v>2906</v>
      </c>
      <c r="F357" s="129" t="s">
        <v>2907</v>
      </c>
      <c r="G357" s="128" t="s">
        <v>31</v>
      </c>
      <c r="H357" s="130">
        <f>IFERROR(__xludf.DUMMYFUNCTION("IF(ISDATE(S357), DATEDIF(S357, TODAY(), ""Y""), """")"),15.0)</f>
        <v>15</v>
      </c>
      <c r="I357" s="128" t="s">
        <v>2908</v>
      </c>
      <c r="J357" s="128" t="s">
        <v>2909</v>
      </c>
      <c r="K357" s="131"/>
      <c r="L357" s="128" t="s">
        <v>92</v>
      </c>
      <c r="M357" s="128" t="s">
        <v>2910</v>
      </c>
      <c r="N357" s="128" t="s">
        <v>44</v>
      </c>
      <c r="O357" s="128"/>
      <c r="P357" s="131"/>
      <c r="Q357" s="128" t="s">
        <v>44</v>
      </c>
      <c r="R357" s="128">
        <v>3.34801149E8</v>
      </c>
      <c r="S357" s="132">
        <v>40420.0</v>
      </c>
      <c r="T357" s="128" t="s">
        <v>38</v>
      </c>
      <c r="U357" s="128">
        <v>44010.0</v>
      </c>
      <c r="V357" s="128" t="s">
        <v>2911</v>
      </c>
      <c r="W357" s="128">
        <v>5.02361058E8</v>
      </c>
      <c r="X357" s="128" t="s">
        <v>2912</v>
      </c>
      <c r="Y357" s="128">
        <v>5.05845454E8</v>
      </c>
      <c r="Z357" s="124" t="s">
        <v>43</v>
      </c>
      <c r="AA357" s="133">
        <v>2.0</v>
      </c>
      <c r="AB357" s="134"/>
      <c r="AC357" s="134" t="s">
        <v>169</v>
      </c>
      <c r="AD357" s="131"/>
      <c r="AE357" s="131"/>
      <c r="AF357" s="131"/>
    </row>
    <row r="358" hidden="1">
      <c r="A358" s="92" t="s">
        <v>157</v>
      </c>
      <c r="B358" s="92" t="s">
        <v>158</v>
      </c>
      <c r="C358" s="92" t="s">
        <v>159</v>
      </c>
      <c r="D358" s="126" t="s">
        <v>2055</v>
      </c>
      <c r="E358" s="92" t="s">
        <v>2913</v>
      </c>
      <c r="F358" s="111"/>
      <c r="G358" s="92" t="s">
        <v>90</v>
      </c>
      <c r="H358" s="114">
        <f>IFERROR(__xludf.DUMMYFUNCTION("IF(ISDATE(S358), DATEDIF(S358, TODAY(), ""Y""), """")"),14.0)</f>
        <v>14</v>
      </c>
      <c r="I358" s="92" t="s">
        <v>2914</v>
      </c>
      <c r="J358" s="92" t="s">
        <v>2915</v>
      </c>
      <c r="K358" s="111">
        <v>5.46945645E8</v>
      </c>
      <c r="L358" s="92" t="s">
        <v>92</v>
      </c>
      <c r="M358" s="92" t="s">
        <v>2916</v>
      </c>
      <c r="N358" s="92" t="s">
        <v>36</v>
      </c>
      <c r="O358" s="92"/>
      <c r="P358" s="127"/>
      <c r="Q358" s="92" t="s">
        <v>44</v>
      </c>
      <c r="R358" s="111">
        <v>3.34895299E8</v>
      </c>
      <c r="S358" s="126">
        <v>40644.0</v>
      </c>
      <c r="T358" s="92" t="s">
        <v>82</v>
      </c>
      <c r="U358" s="141">
        <v>45361.0</v>
      </c>
      <c r="V358" s="92" t="s">
        <v>2917</v>
      </c>
      <c r="W358" s="136">
        <v>5.45225394E8</v>
      </c>
      <c r="X358" s="92" t="s">
        <v>855</v>
      </c>
      <c r="Y358" s="111">
        <v>5.44894044E8</v>
      </c>
      <c r="Z358" s="117" t="s">
        <v>43</v>
      </c>
      <c r="AA358" s="111">
        <v>3.0</v>
      </c>
      <c r="AB358" s="127"/>
      <c r="AC358" s="92" t="s">
        <v>156</v>
      </c>
      <c r="AD358" s="127"/>
      <c r="AE358" s="127"/>
      <c r="AF358" s="127"/>
    </row>
    <row r="359" hidden="1">
      <c r="A359" s="144" t="s">
        <v>157</v>
      </c>
      <c r="B359" s="122" t="s">
        <v>140</v>
      </c>
      <c r="C359" s="120" t="s">
        <v>141</v>
      </c>
      <c r="D359" s="130" t="s">
        <v>1229</v>
      </c>
      <c r="E359" s="124" t="s">
        <v>2918</v>
      </c>
      <c r="F359" s="130" t="s">
        <v>2096</v>
      </c>
      <c r="G359" s="124" t="s">
        <v>90</v>
      </c>
      <c r="H359" s="123">
        <f>IFERROR(__xludf.DUMMYFUNCTION("IF(ISDATE(S359), DATEDIF(S359, TODAY(), ""Y""), """")"),2.0)</f>
        <v>2</v>
      </c>
      <c r="I359" s="131"/>
      <c r="J359" s="124" t="s">
        <v>806</v>
      </c>
      <c r="K359" s="131"/>
      <c r="L359" s="124" t="s">
        <v>92</v>
      </c>
      <c r="M359" s="124" t="s">
        <v>141</v>
      </c>
      <c r="N359" s="124" t="s">
        <v>44</v>
      </c>
      <c r="O359" s="124" t="s">
        <v>2765</v>
      </c>
      <c r="P359" s="131"/>
      <c r="Q359" s="124" t="s">
        <v>36</v>
      </c>
      <c r="R359" s="130">
        <v>2.37824834E8</v>
      </c>
      <c r="S359" s="156">
        <v>45139.0</v>
      </c>
      <c r="T359" s="124" t="s">
        <v>331</v>
      </c>
      <c r="U359" s="130" t="s">
        <v>2919</v>
      </c>
      <c r="V359" s="124" t="s">
        <v>2799</v>
      </c>
      <c r="W359" s="130">
        <v>5.35798594E8</v>
      </c>
      <c r="X359" s="124" t="s">
        <v>333</v>
      </c>
      <c r="Y359" s="130" t="s">
        <v>2920</v>
      </c>
      <c r="Z359" s="124" t="s">
        <v>43</v>
      </c>
      <c r="AA359" s="130">
        <v>1.0</v>
      </c>
      <c r="AB359" s="124" t="s">
        <v>1570</v>
      </c>
      <c r="AC359" s="124" t="s">
        <v>169</v>
      </c>
      <c r="AD359" s="124" t="s">
        <v>2921</v>
      </c>
      <c r="AE359" s="124"/>
      <c r="AF359" s="124" t="s">
        <v>2922</v>
      </c>
    </row>
    <row r="360" hidden="1">
      <c r="A360" s="135" t="s">
        <v>157</v>
      </c>
      <c r="B360" s="92" t="s">
        <v>140</v>
      </c>
      <c r="C360" s="111" t="s">
        <v>238</v>
      </c>
      <c r="D360" s="126">
        <v>45966.0</v>
      </c>
      <c r="E360" s="111" t="s">
        <v>2923</v>
      </c>
      <c r="F360" s="114" t="s">
        <v>2924</v>
      </c>
      <c r="G360" s="92" t="s">
        <v>31</v>
      </c>
      <c r="H360" s="114">
        <f>IFERROR(__xludf.DUMMYFUNCTION("IF(ISDATE(S360), DATEDIF(S360, TODAY(), ""Y""), """")"),3.0)</f>
        <v>3</v>
      </c>
      <c r="I360" s="92" t="s">
        <v>2925</v>
      </c>
      <c r="J360" s="111" t="s">
        <v>1225</v>
      </c>
      <c r="K360" s="127"/>
      <c r="L360" s="111" t="s">
        <v>92</v>
      </c>
      <c r="M360" s="92" t="s">
        <v>2926</v>
      </c>
      <c r="N360" s="92" t="s">
        <v>36</v>
      </c>
      <c r="O360" s="92" t="s">
        <v>2030</v>
      </c>
      <c r="P360" s="92" t="s">
        <v>2927</v>
      </c>
      <c r="Q360" s="111" t="s">
        <v>36</v>
      </c>
      <c r="R360" s="111">
        <v>2.37925235E8</v>
      </c>
      <c r="S360" s="126">
        <v>44921.0</v>
      </c>
      <c r="T360" s="111" t="s">
        <v>2928</v>
      </c>
      <c r="U360" s="111" t="s">
        <v>1867</v>
      </c>
      <c r="V360" s="111" t="s">
        <v>2929</v>
      </c>
      <c r="W360" s="111">
        <v>5.42289423E8</v>
      </c>
      <c r="X360" s="111" t="s">
        <v>643</v>
      </c>
      <c r="Y360" s="111">
        <v>5.42826388E8</v>
      </c>
      <c r="Z360" s="117" t="s">
        <v>43</v>
      </c>
      <c r="AA360" s="111">
        <v>1.0</v>
      </c>
      <c r="AB360" s="114" t="s">
        <v>2930</v>
      </c>
      <c r="AC360" s="92" t="s">
        <v>156</v>
      </c>
      <c r="AD360" s="127"/>
      <c r="AE360" s="127"/>
      <c r="AF360" s="92" t="s">
        <v>2931</v>
      </c>
    </row>
    <row r="361" hidden="1">
      <c r="A361" s="20" t="s">
        <v>157</v>
      </c>
      <c r="B361" s="20" t="s">
        <v>158</v>
      </c>
      <c r="C361" s="20" t="s">
        <v>159</v>
      </c>
      <c r="D361" s="37">
        <v>45720.0</v>
      </c>
      <c r="E361" s="122" t="s">
        <v>2932</v>
      </c>
      <c r="F361" s="122" t="s">
        <v>2113</v>
      </c>
      <c r="G361" s="120" t="s">
        <v>31</v>
      </c>
      <c r="H361" s="22">
        <f>IFERROR(__xludf.DUMMYFUNCTION("IF(ISDATE(S361), DATEDIF(S361, TODAY(), ""Y""), """")"),15.0)</f>
        <v>15</v>
      </c>
      <c r="I361" s="139"/>
      <c r="J361" s="122" t="s">
        <v>779</v>
      </c>
      <c r="K361" s="139"/>
      <c r="L361" s="25" t="s">
        <v>92</v>
      </c>
      <c r="M361" s="120" t="s">
        <v>2933</v>
      </c>
      <c r="N361" s="120" t="s">
        <v>44</v>
      </c>
      <c r="O361" s="25" t="s">
        <v>914</v>
      </c>
      <c r="P361" s="139"/>
      <c r="Q361" s="25" t="s">
        <v>44</v>
      </c>
      <c r="R361" s="122">
        <v>3.35013587E8</v>
      </c>
      <c r="S361" s="156">
        <v>40464.0</v>
      </c>
      <c r="T361" s="122" t="s">
        <v>38</v>
      </c>
      <c r="U361" s="25" t="s">
        <v>674</v>
      </c>
      <c r="V361" s="25" t="s">
        <v>789</v>
      </c>
      <c r="W361" s="25">
        <v>5.49033399E8</v>
      </c>
      <c r="X361" s="120" t="s">
        <v>2934</v>
      </c>
      <c r="Y361" s="122">
        <v>5.25649583E8</v>
      </c>
      <c r="Z361" s="26" t="s">
        <v>43</v>
      </c>
      <c r="AA361" s="25">
        <v>2.0</v>
      </c>
      <c r="AB361" s="122" t="s">
        <v>1761</v>
      </c>
      <c r="AC361" s="20" t="s">
        <v>169</v>
      </c>
      <c r="AD361" s="20"/>
      <c r="AE361" s="20"/>
      <c r="AF361" s="20"/>
    </row>
    <row r="362" hidden="1">
      <c r="A362" s="108" t="s">
        <v>157</v>
      </c>
      <c r="B362" s="20" t="s">
        <v>140</v>
      </c>
      <c r="C362" s="25" t="s">
        <v>238</v>
      </c>
      <c r="D362" s="95">
        <v>45952.0</v>
      </c>
      <c r="E362" s="113" t="s">
        <v>2935</v>
      </c>
      <c r="F362" s="138" t="s">
        <v>1379</v>
      </c>
      <c r="G362" s="113" t="s">
        <v>31</v>
      </c>
      <c r="H362" s="29" t="s">
        <v>2936</v>
      </c>
      <c r="I362" s="113" t="s">
        <v>2937</v>
      </c>
      <c r="J362" s="113" t="s">
        <v>1225</v>
      </c>
      <c r="K362" s="113"/>
      <c r="L362" s="27" t="s">
        <v>610</v>
      </c>
      <c r="M362" s="116" t="s">
        <v>2938</v>
      </c>
      <c r="N362" s="113" t="s">
        <v>36</v>
      </c>
      <c r="O362" s="26"/>
      <c r="P362" s="113"/>
      <c r="Q362" s="27" t="s">
        <v>36</v>
      </c>
      <c r="R362" s="113">
        <v>2.37938097E8</v>
      </c>
      <c r="S362" s="118">
        <v>44955.0</v>
      </c>
      <c r="T362" s="116" t="s">
        <v>38</v>
      </c>
      <c r="U362" s="27" t="s">
        <v>2939</v>
      </c>
      <c r="V362" s="27" t="s">
        <v>407</v>
      </c>
      <c r="W362" s="33" t="s">
        <v>2940</v>
      </c>
      <c r="X362" s="113" t="s">
        <v>869</v>
      </c>
      <c r="Y362" s="115" t="s">
        <v>2941</v>
      </c>
      <c r="Z362" s="26" t="s">
        <v>43</v>
      </c>
      <c r="AA362" s="27">
        <v>2.0</v>
      </c>
      <c r="AB362" s="117" t="s">
        <v>2942</v>
      </c>
      <c r="AC362" s="20" t="s">
        <v>156</v>
      </c>
      <c r="AD362" s="31"/>
      <c r="AE362" s="31"/>
      <c r="AF362" s="26"/>
    </row>
    <row r="363" hidden="1">
      <c r="A363" s="135" t="s">
        <v>157</v>
      </c>
      <c r="B363" s="20" t="s">
        <v>140</v>
      </c>
      <c r="C363" s="25" t="s">
        <v>238</v>
      </c>
      <c r="D363" s="95" t="s">
        <v>2297</v>
      </c>
      <c r="E363" s="239" t="s">
        <v>2943</v>
      </c>
      <c r="F363" s="161">
        <v>45820.0</v>
      </c>
      <c r="G363" s="124" t="s">
        <v>31</v>
      </c>
      <c r="H363" s="29">
        <f>IFERROR(__xludf.DUMMYFUNCTION("IF(ISDATE(S363), DATEDIF(S363, TODAY(), ""Y""), """")"),2.0)</f>
        <v>2</v>
      </c>
      <c r="I363" s="124" t="s">
        <v>2944</v>
      </c>
      <c r="J363" s="124" t="s">
        <v>779</v>
      </c>
      <c r="K363" s="131"/>
      <c r="L363" s="26" t="s">
        <v>92</v>
      </c>
      <c r="M363" s="124" t="s">
        <v>2945</v>
      </c>
      <c r="N363" s="124" t="s">
        <v>36</v>
      </c>
      <c r="O363" s="26" t="s">
        <v>2946</v>
      </c>
      <c r="P363" s="124"/>
      <c r="Q363" s="26" t="s">
        <v>2947</v>
      </c>
      <c r="R363" s="130">
        <v>2.38150049E8</v>
      </c>
      <c r="S363" s="156">
        <v>44984.0</v>
      </c>
      <c r="T363" s="124" t="s">
        <v>38</v>
      </c>
      <c r="U363" s="29" t="s">
        <v>792</v>
      </c>
      <c r="V363" s="26" t="s">
        <v>2948</v>
      </c>
      <c r="W363" s="94" t="s">
        <v>2949</v>
      </c>
      <c r="X363" s="124" t="s">
        <v>1335</v>
      </c>
      <c r="Y363" s="162" t="s">
        <v>2950</v>
      </c>
      <c r="Z363" s="26" t="s">
        <v>43</v>
      </c>
      <c r="AA363" s="29">
        <v>4.0</v>
      </c>
      <c r="AB363" s="124" t="s">
        <v>2951</v>
      </c>
      <c r="AC363" s="26" t="s">
        <v>169</v>
      </c>
      <c r="AD363" s="31"/>
      <c r="AE363" s="31"/>
      <c r="AF363" s="26"/>
    </row>
    <row r="364" hidden="1">
      <c r="A364" s="20" t="s">
        <v>157</v>
      </c>
      <c r="B364" s="20" t="s">
        <v>158</v>
      </c>
      <c r="C364" s="20" t="s">
        <v>159</v>
      </c>
      <c r="D364" s="26" t="s">
        <v>142</v>
      </c>
      <c r="E364" s="113" t="s">
        <v>2952</v>
      </c>
      <c r="F364" s="137" t="s">
        <v>161</v>
      </c>
      <c r="G364" s="113" t="s">
        <v>90</v>
      </c>
      <c r="H364" s="29">
        <f>IFERROR(__xludf.DUMMYFUNCTION("IF(ISDATE(S364), DATEDIF(S364, TODAY(), ""Y""), """")"),14.0)</f>
        <v>14</v>
      </c>
      <c r="I364" s="113" t="s">
        <v>2953</v>
      </c>
      <c r="J364" s="113" t="s">
        <v>145</v>
      </c>
      <c r="K364" s="119">
        <v>10.0</v>
      </c>
      <c r="L364" s="27" t="s">
        <v>92</v>
      </c>
      <c r="M364" s="113" t="s">
        <v>2954</v>
      </c>
      <c r="N364" s="113" t="s">
        <v>44</v>
      </c>
      <c r="O364" s="27"/>
      <c r="P364" s="119"/>
      <c r="Q364" s="27" t="s">
        <v>36</v>
      </c>
      <c r="R364" s="113">
        <v>3.35228938E8</v>
      </c>
      <c r="S364" s="118">
        <v>40709.0</v>
      </c>
      <c r="T364" s="113" t="s">
        <v>2955</v>
      </c>
      <c r="U364" s="27">
        <v>44112.0</v>
      </c>
      <c r="V364" s="27" t="s">
        <v>2956</v>
      </c>
      <c r="W364" s="27">
        <v>5.48480874E8</v>
      </c>
      <c r="X364" s="113" t="s">
        <v>1168</v>
      </c>
      <c r="Y364" s="113">
        <v>5.48519449E8</v>
      </c>
      <c r="Z364" s="26" t="s">
        <v>43</v>
      </c>
      <c r="AA364" s="34">
        <v>6.0</v>
      </c>
      <c r="AB364" s="116"/>
      <c r="AC364" s="35" t="s">
        <v>169</v>
      </c>
      <c r="AD364" s="31"/>
      <c r="AE364" s="31"/>
      <c r="AF364" s="31"/>
    </row>
    <row r="365" hidden="1">
      <c r="A365" s="108" t="s">
        <v>157</v>
      </c>
      <c r="B365" s="20" t="s">
        <v>140</v>
      </c>
      <c r="C365" s="25" t="s">
        <v>238</v>
      </c>
      <c r="D365" s="95">
        <v>45949.0</v>
      </c>
      <c r="E365" s="124" t="s">
        <v>2957</v>
      </c>
      <c r="F365" s="161">
        <v>45833.0</v>
      </c>
      <c r="G365" s="124" t="s">
        <v>31</v>
      </c>
      <c r="H365" s="29">
        <v>1.1</v>
      </c>
      <c r="I365" s="124" t="s">
        <v>2958</v>
      </c>
      <c r="J365" s="124" t="s">
        <v>2959</v>
      </c>
      <c r="K365" s="131"/>
      <c r="L365" s="26" t="s">
        <v>92</v>
      </c>
      <c r="M365" s="124" t="s">
        <v>2960</v>
      </c>
      <c r="N365" s="124" t="s">
        <v>36</v>
      </c>
      <c r="O365" s="26" t="s">
        <v>1996</v>
      </c>
      <c r="P365" s="124"/>
      <c r="Q365" s="26" t="s">
        <v>36</v>
      </c>
      <c r="R365" s="130">
        <v>2.38161798E8</v>
      </c>
      <c r="S365" s="156">
        <v>45183.0</v>
      </c>
      <c r="T365" s="124" t="s">
        <v>244</v>
      </c>
      <c r="U365" s="29" t="s">
        <v>2961</v>
      </c>
      <c r="V365" s="26" t="s">
        <v>119</v>
      </c>
      <c r="W365" s="94" t="s">
        <v>2962</v>
      </c>
      <c r="X365" s="124" t="s">
        <v>763</v>
      </c>
      <c r="Y365" s="162" t="s">
        <v>2963</v>
      </c>
      <c r="Z365" s="26" t="s">
        <v>43</v>
      </c>
      <c r="AA365" s="29">
        <v>1.0</v>
      </c>
      <c r="AB365" s="124" t="s">
        <v>2964</v>
      </c>
      <c r="AC365" s="20" t="s">
        <v>156</v>
      </c>
      <c r="AD365" s="31"/>
      <c r="AE365" s="31"/>
      <c r="AF365" s="26" t="s">
        <v>2965</v>
      </c>
    </row>
    <row r="366" hidden="1">
      <c r="A366" s="20" t="s">
        <v>157</v>
      </c>
      <c r="B366" s="20" t="s">
        <v>158</v>
      </c>
      <c r="C366" s="20" t="s">
        <v>159</v>
      </c>
      <c r="D366" s="26" t="s">
        <v>142</v>
      </c>
      <c r="E366" s="113" t="s">
        <v>2966</v>
      </c>
      <c r="F366" s="137">
        <v>44318.0</v>
      </c>
      <c r="G366" s="113" t="s">
        <v>90</v>
      </c>
      <c r="H366" s="29">
        <f>IFERROR(__xludf.DUMMYFUNCTION("IF(ISDATE(S366), DATEDIF(S366, TODAY(), ""Y""), """")"),14.0)</f>
        <v>14</v>
      </c>
      <c r="I366" s="113" t="s">
        <v>2967</v>
      </c>
      <c r="J366" s="113" t="s">
        <v>779</v>
      </c>
      <c r="K366" s="119">
        <v>5.26427863E8</v>
      </c>
      <c r="L366" s="27" t="s">
        <v>92</v>
      </c>
      <c r="M366" s="113" t="s">
        <v>2968</v>
      </c>
      <c r="N366" s="113" t="s">
        <v>44</v>
      </c>
      <c r="O366" s="27"/>
      <c r="P366" s="119"/>
      <c r="Q366" s="27" t="s">
        <v>36</v>
      </c>
      <c r="R366" s="113">
        <v>3.35243309E8</v>
      </c>
      <c r="S366" s="118">
        <v>40723.0</v>
      </c>
      <c r="T366" s="113" t="s">
        <v>38</v>
      </c>
      <c r="U366" s="27">
        <v>44133.0</v>
      </c>
      <c r="V366" s="27" t="s">
        <v>2969</v>
      </c>
      <c r="W366" s="27">
        <v>5.26427863E8</v>
      </c>
      <c r="X366" s="113" t="s">
        <v>1836</v>
      </c>
      <c r="Y366" s="113">
        <v>5.26427863E8</v>
      </c>
      <c r="Z366" s="26" t="s">
        <v>43</v>
      </c>
      <c r="AA366" s="34">
        <v>2.0</v>
      </c>
      <c r="AB366" s="116"/>
      <c r="AC366" s="20" t="s">
        <v>169</v>
      </c>
      <c r="AD366" s="31"/>
      <c r="AE366" s="31"/>
      <c r="AF366" s="31"/>
    </row>
    <row r="367" hidden="1">
      <c r="A367" s="84" t="s">
        <v>157</v>
      </c>
      <c r="B367" s="20" t="s">
        <v>140</v>
      </c>
      <c r="C367" s="20" t="s">
        <v>238</v>
      </c>
      <c r="D367" s="20" t="s">
        <v>2970</v>
      </c>
      <c r="E367" s="164" t="s">
        <v>2971</v>
      </c>
      <c r="F367" s="165">
        <v>45908.0</v>
      </c>
      <c r="G367" s="164" t="s">
        <v>90</v>
      </c>
      <c r="H367" s="29">
        <v>3.5</v>
      </c>
      <c r="I367" s="164" t="s">
        <v>2972</v>
      </c>
      <c r="J367" s="120" t="s">
        <v>572</v>
      </c>
      <c r="K367" s="166"/>
      <c r="L367" s="39" t="s">
        <v>92</v>
      </c>
      <c r="M367" s="164" t="s">
        <v>2973</v>
      </c>
      <c r="N367" s="120" t="s">
        <v>36</v>
      </c>
      <c r="O367" s="39" t="s">
        <v>37</v>
      </c>
      <c r="P367" s="139"/>
      <c r="Q367" s="39" t="s">
        <v>2974</v>
      </c>
      <c r="R367" s="139">
        <v>2.38326979E8</v>
      </c>
      <c r="S367" s="167">
        <v>44630.0</v>
      </c>
      <c r="T367" s="164" t="s">
        <v>2975</v>
      </c>
      <c r="U367" s="39" t="s">
        <v>2976</v>
      </c>
      <c r="V367" s="39" t="s">
        <v>1515</v>
      </c>
      <c r="W367" s="73" t="s">
        <v>2977</v>
      </c>
      <c r="X367" s="164" t="s">
        <v>203</v>
      </c>
      <c r="Y367" s="169" t="s">
        <v>2978</v>
      </c>
      <c r="Z367" s="26" t="s">
        <v>43</v>
      </c>
      <c r="AA367" s="25">
        <v>2.0</v>
      </c>
      <c r="AB367" s="170" t="s">
        <v>2979</v>
      </c>
      <c r="AC367" s="20" t="s">
        <v>156</v>
      </c>
      <c r="AD367" s="74"/>
      <c r="AE367" s="39"/>
      <c r="AF367" s="39"/>
    </row>
    <row r="368" hidden="1">
      <c r="A368" s="135" t="s">
        <v>157</v>
      </c>
      <c r="B368" s="20" t="s">
        <v>140</v>
      </c>
      <c r="C368" s="25" t="s">
        <v>141</v>
      </c>
      <c r="D368" s="25" t="s">
        <v>1581</v>
      </c>
      <c r="E368" s="92" t="s">
        <v>2980</v>
      </c>
      <c r="F368" s="111" t="s">
        <v>943</v>
      </c>
      <c r="G368" s="92" t="s">
        <v>90</v>
      </c>
      <c r="H368" s="29">
        <f>IFERROR(__xludf.DUMMYFUNCTION("IF(ISDATE(S368), DATEDIF(S368, TODAY(), ""Y""), """")"),2.0)</f>
        <v>2</v>
      </c>
      <c r="I368" s="92" t="s">
        <v>2981</v>
      </c>
      <c r="J368" s="92" t="s">
        <v>668</v>
      </c>
      <c r="K368" s="127"/>
      <c r="L368" s="20" t="s">
        <v>92</v>
      </c>
      <c r="M368" s="92" t="s">
        <v>2982</v>
      </c>
      <c r="N368" s="92" t="s">
        <v>44</v>
      </c>
      <c r="O368" s="20"/>
      <c r="P368" s="127"/>
      <c r="Q368" s="20" t="s">
        <v>36</v>
      </c>
      <c r="R368" s="111">
        <v>2.38663835E8</v>
      </c>
      <c r="S368" s="126">
        <v>45255.0</v>
      </c>
      <c r="T368" s="92" t="s">
        <v>2983</v>
      </c>
      <c r="U368" s="25" t="s">
        <v>2984</v>
      </c>
      <c r="V368" s="20" t="s">
        <v>2430</v>
      </c>
      <c r="W368" s="25">
        <v>5.43130555E8</v>
      </c>
      <c r="X368" s="92" t="s">
        <v>1631</v>
      </c>
      <c r="Y368" s="111">
        <v>5.45882776E8</v>
      </c>
      <c r="Z368" s="26" t="s">
        <v>43</v>
      </c>
      <c r="AA368" s="25">
        <v>2.0</v>
      </c>
      <c r="AB368" s="92" t="s">
        <v>2985</v>
      </c>
      <c r="AC368" s="20" t="s">
        <v>156</v>
      </c>
      <c r="AD368" s="20" t="s">
        <v>2986</v>
      </c>
      <c r="AE368" s="20"/>
      <c r="AF368" s="20" t="s">
        <v>2987</v>
      </c>
    </row>
    <row r="369" hidden="1">
      <c r="A369" s="135" t="s">
        <v>157</v>
      </c>
      <c r="B369" s="20" t="s">
        <v>158</v>
      </c>
      <c r="C369" s="20" t="s">
        <v>159</v>
      </c>
      <c r="D369" s="25" t="s">
        <v>1256</v>
      </c>
      <c r="E369" s="120" t="s">
        <v>2929</v>
      </c>
      <c r="F369" s="122"/>
      <c r="G369" s="120" t="s">
        <v>31</v>
      </c>
      <c r="H369" s="29">
        <f>IFERROR(__xludf.DUMMYFUNCTION("IF(ISDATE(S369), DATEDIF(S369, TODAY(), ""Y""), """")"),14.0)</f>
        <v>14</v>
      </c>
      <c r="I369" s="120" t="s">
        <v>2988</v>
      </c>
      <c r="J369" s="120" t="s">
        <v>47</v>
      </c>
      <c r="K369" s="139"/>
      <c r="L369" s="20" t="s">
        <v>92</v>
      </c>
      <c r="M369" s="120" t="s">
        <v>2989</v>
      </c>
      <c r="N369" s="120" t="s">
        <v>36</v>
      </c>
      <c r="O369" s="25">
        <v>10.2024</v>
      </c>
      <c r="P369" s="139"/>
      <c r="Q369" s="20" t="s">
        <v>36</v>
      </c>
      <c r="R369" s="122">
        <v>3.35356796E8</v>
      </c>
      <c r="S369" s="121">
        <v>40566.0</v>
      </c>
      <c r="T369" s="120" t="s">
        <v>38</v>
      </c>
      <c r="U369" s="39"/>
      <c r="V369" s="20" t="s">
        <v>2990</v>
      </c>
      <c r="W369" s="22">
        <v>5.37205536E8</v>
      </c>
      <c r="X369" s="120" t="s">
        <v>333</v>
      </c>
      <c r="Y369" s="122">
        <v>5.4228428E8</v>
      </c>
      <c r="Z369" s="26" t="s">
        <v>43</v>
      </c>
      <c r="AA369" s="25">
        <v>1.0</v>
      </c>
      <c r="AB369" s="120" t="s">
        <v>2991</v>
      </c>
      <c r="AC369" s="20" t="s">
        <v>156</v>
      </c>
      <c r="AD369" s="20" t="s">
        <v>2992</v>
      </c>
      <c r="AE369" s="20"/>
      <c r="AF369" s="20" t="s">
        <v>2993</v>
      </c>
    </row>
    <row r="370" hidden="1">
      <c r="A370" s="20" t="s">
        <v>157</v>
      </c>
      <c r="B370" s="20" t="s">
        <v>158</v>
      </c>
      <c r="C370" s="20" t="s">
        <v>159</v>
      </c>
      <c r="D370" s="26" t="s">
        <v>142</v>
      </c>
      <c r="E370" s="113" t="s">
        <v>2994</v>
      </c>
      <c r="F370" s="137"/>
      <c r="G370" s="113" t="s">
        <v>90</v>
      </c>
      <c r="H370" s="29">
        <f>IFERROR(__xludf.DUMMYFUNCTION("IF(ISDATE(S370), DATEDIF(S370, TODAY(), ""Y""), """")"),14.0)</f>
        <v>14</v>
      </c>
      <c r="I370" s="113"/>
      <c r="J370" s="113" t="s">
        <v>2995</v>
      </c>
      <c r="K370" s="119"/>
      <c r="L370" s="27" t="s">
        <v>92</v>
      </c>
      <c r="M370" s="113" t="s">
        <v>2996</v>
      </c>
      <c r="N370" s="113" t="s">
        <v>44</v>
      </c>
      <c r="O370" s="27"/>
      <c r="P370" s="119"/>
      <c r="Q370" s="27" t="s">
        <v>36</v>
      </c>
      <c r="R370" s="113">
        <v>3.35470563E8</v>
      </c>
      <c r="S370" s="118">
        <v>40839.0</v>
      </c>
      <c r="T370" s="113" t="s">
        <v>380</v>
      </c>
      <c r="U370" s="27">
        <v>45207.0</v>
      </c>
      <c r="V370" s="27" t="s">
        <v>1110</v>
      </c>
      <c r="W370" s="27">
        <v>5.29458839E8</v>
      </c>
      <c r="X370" s="113" t="s">
        <v>1006</v>
      </c>
      <c r="Y370" s="113">
        <v>5.25167435E8</v>
      </c>
      <c r="Z370" s="26" t="s">
        <v>43</v>
      </c>
      <c r="AA370" s="34">
        <v>5.0</v>
      </c>
      <c r="AB370" s="116"/>
      <c r="AC370" s="20" t="s">
        <v>169</v>
      </c>
      <c r="AD370" s="31"/>
      <c r="AE370" s="31"/>
      <c r="AF370" s="31"/>
    </row>
    <row r="371" hidden="1">
      <c r="A371" s="144" t="s">
        <v>157</v>
      </c>
      <c r="B371" s="20" t="s">
        <v>140</v>
      </c>
      <c r="C371" s="20" t="s">
        <v>238</v>
      </c>
      <c r="D371" s="25" t="s">
        <v>1229</v>
      </c>
      <c r="E371" s="122" t="s">
        <v>2997</v>
      </c>
      <c r="F371" s="122">
        <v>23.9</v>
      </c>
      <c r="G371" s="120" t="s">
        <v>31</v>
      </c>
      <c r="H371" s="29">
        <f>IFERROR(__xludf.DUMMYFUNCTION("IF(ISDATE(S371), DATEDIF(S371, TODAY(), ""Y""), """")"),1.0)</f>
        <v>1</v>
      </c>
      <c r="I371" s="122" t="s">
        <v>2998</v>
      </c>
      <c r="J371" s="122" t="s">
        <v>145</v>
      </c>
      <c r="K371" s="139"/>
      <c r="L371" s="25" t="s">
        <v>92</v>
      </c>
      <c r="M371" s="120" t="s">
        <v>2999</v>
      </c>
      <c r="N371" s="120" t="s">
        <v>36</v>
      </c>
      <c r="O371" s="20" t="s">
        <v>2457</v>
      </c>
      <c r="P371" s="122"/>
      <c r="Q371" s="25"/>
      <c r="R371" s="122">
        <v>2.38835896E8</v>
      </c>
      <c r="S371" s="121">
        <v>45380.0</v>
      </c>
      <c r="T371" s="122" t="s">
        <v>3000</v>
      </c>
      <c r="U371" s="25" t="s">
        <v>3001</v>
      </c>
      <c r="V371" s="25" t="s">
        <v>1291</v>
      </c>
      <c r="W371" s="25">
        <v>5.44994699E8</v>
      </c>
      <c r="X371" s="122" t="s">
        <v>3002</v>
      </c>
      <c r="Y371" s="122">
        <v>5.27817987E8</v>
      </c>
      <c r="Z371" s="26" t="s">
        <v>43</v>
      </c>
      <c r="AA371" s="25" t="s">
        <v>3003</v>
      </c>
      <c r="AB371" s="139"/>
      <c r="AC371" s="20" t="s">
        <v>156</v>
      </c>
      <c r="AD371" s="20"/>
      <c r="AE371" s="39"/>
      <c r="AF371" s="20" t="s">
        <v>3004</v>
      </c>
    </row>
    <row r="372" hidden="1">
      <c r="A372" s="108" t="s">
        <v>157</v>
      </c>
      <c r="B372" s="20" t="s">
        <v>140</v>
      </c>
      <c r="C372" s="25" t="s">
        <v>238</v>
      </c>
      <c r="D372" s="95">
        <v>45908.0</v>
      </c>
      <c r="E372" s="117" t="s">
        <v>3005</v>
      </c>
      <c r="F372" s="146">
        <v>45361.0</v>
      </c>
      <c r="G372" s="117" t="s">
        <v>31</v>
      </c>
      <c r="H372" s="29" t="s">
        <v>3006</v>
      </c>
      <c r="I372" s="117" t="s">
        <v>3007</v>
      </c>
      <c r="J372" s="117" t="s">
        <v>1575</v>
      </c>
      <c r="K372" s="119"/>
      <c r="L372" s="26" t="s">
        <v>92</v>
      </c>
      <c r="M372" s="117" t="s">
        <v>3008</v>
      </c>
      <c r="N372" s="117" t="s">
        <v>36</v>
      </c>
      <c r="O372" s="26" t="s">
        <v>3009</v>
      </c>
      <c r="P372" s="114">
        <v>2027.0</v>
      </c>
      <c r="Q372" s="26" t="s">
        <v>36</v>
      </c>
      <c r="R372" s="114">
        <v>2.39901366E8</v>
      </c>
      <c r="S372" s="148">
        <v>45361.0</v>
      </c>
      <c r="T372" s="117" t="s">
        <v>38</v>
      </c>
      <c r="U372" s="29" t="s">
        <v>3010</v>
      </c>
      <c r="V372" s="26" t="s">
        <v>3011</v>
      </c>
      <c r="W372" s="94" t="s">
        <v>3012</v>
      </c>
      <c r="X372" s="117" t="s">
        <v>3013</v>
      </c>
      <c r="Y372" s="147" t="s">
        <v>3014</v>
      </c>
      <c r="Z372" s="26" t="s">
        <v>43</v>
      </c>
      <c r="AA372" s="29">
        <v>0.0</v>
      </c>
      <c r="AB372" s="117"/>
      <c r="AC372" s="20" t="s">
        <v>169</v>
      </c>
      <c r="AD372" s="31"/>
      <c r="AE372" s="31"/>
      <c r="AF372" s="26" t="s">
        <v>3015</v>
      </c>
    </row>
    <row r="373" hidden="1">
      <c r="A373" s="20" t="s">
        <v>157</v>
      </c>
      <c r="B373" s="20" t="s">
        <v>158</v>
      </c>
      <c r="C373" s="20" t="s">
        <v>159</v>
      </c>
      <c r="D373" s="26" t="s">
        <v>142</v>
      </c>
      <c r="E373" s="128" t="s">
        <v>3016</v>
      </c>
      <c r="F373" s="129">
        <v>44602.0</v>
      </c>
      <c r="G373" s="128" t="s">
        <v>90</v>
      </c>
      <c r="H373" s="29">
        <f>IFERROR(__xludf.DUMMYFUNCTION("IF(ISDATE(S373), DATEDIF(S373, TODAY(), ""Y""), """")"),14.0)</f>
        <v>14</v>
      </c>
      <c r="I373" s="128" t="s">
        <v>3017</v>
      </c>
      <c r="J373" s="128" t="s">
        <v>779</v>
      </c>
      <c r="K373" s="131">
        <v>5.02720032E8</v>
      </c>
      <c r="L373" s="27" t="s">
        <v>92</v>
      </c>
      <c r="M373" s="128" t="s">
        <v>3018</v>
      </c>
      <c r="N373" s="128" t="s">
        <v>44</v>
      </c>
      <c r="O373" s="27"/>
      <c r="P373" s="131"/>
      <c r="Q373" s="27" t="s">
        <v>44</v>
      </c>
      <c r="R373" s="128">
        <v>3.35505939E8</v>
      </c>
      <c r="S373" s="132">
        <v>40843.0</v>
      </c>
      <c r="T373" s="128" t="s">
        <v>38</v>
      </c>
      <c r="U373" s="27">
        <v>44598.0</v>
      </c>
      <c r="V373" s="27" t="s">
        <v>128</v>
      </c>
      <c r="W373" s="27">
        <v>5.44772E8</v>
      </c>
      <c r="X373" s="128" t="s">
        <v>3019</v>
      </c>
      <c r="Y373" s="128">
        <v>5.28457973E8</v>
      </c>
      <c r="Z373" s="26" t="s">
        <v>43</v>
      </c>
      <c r="AA373" s="34">
        <v>2.0</v>
      </c>
      <c r="AB373" s="134"/>
      <c r="AC373" s="35" t="s">
        <v>169</v>
      </c>
      <c r="AD373" s="31"/>
      <c r="AE373" s="31"/>
      <c r="AF373" s="31"/>
    </row>
    <row r="374" hidden="1">
      <c r="A374" s="20" t="s">
        <v>157</v>
      </c>
      <c r="B374" s="20" t="s">
        <v>158</v>
      </c>
      <c r="C374" s="20" t="s">
        <v>159</v>
      </c>
      <c r="D374" s="37">
        <v>45817.0</v>
      </c>
      <c r="E374" s="92" t="s">
        <v>3020</v>
      </c>
      <c r="F374" s="111"/>
      <c r="G374" s="92" t="s">
        <v>31</v>
      </c>
      <c r="H374" s="22">
        <f>IFERROR(__xludf.DUMMYFUNCTION("IF(ISDATE(S374), DATEDIF(S374, TODAY(), ""Y""), """")"),13.0)</f>
        <v>13</v>
      </c>
      <c r="I374" s="127"/>
      <c r="J374" s="92" t="s">
        <v>3021</v>
      </c>
      <c r="K374" s="127"/>
      <c r="L374" s="20" t="s">
        <v>92</v>
      </c>
      <c r="M374" s="92" t="s">
        <v>3022</v>
      </c>
      <c r="N374" s="92" t="s">
        <v>44</v>
      </c>
      <c r="O374" s="39"/>
      <c r="P374" s="127"/>
      <c r="Q374" s="20" t="s">
        <v>3023</v>
      </c>
      <c r="R374" s="111">
        <v>3.3558305E8</v>
      </c>
      <c r="S374" s="126">
        <v>41017.0</v>
      </c>
      <c r="T374" s="92" t="s">
        <v>3024</v>
      </c>
      <c r="U374" s="96">
        <v>45257.0</v>
      </c>
      <c r="V374" s="20" t="s">
        <v>3025</v>
      </c>
      <c r="W374" s="22">
        <v>5.2394829E8</v>
      </c>
      <c r="X374" s="92" t="s">
        <v>3026</v>
      </c>
      <c r="Y374" s="111">
        <v>5.47543473E8</v>
      </c>
      <c r="Z374" s="26" t="s">
        <v>43</v>
      </c>
      <c r="AA374" s="25">
        <v>3.0</v>
      </c>
      <c r="AB374" s="92" t="s">
        <v>3027</v>
      </c>
      <c r="AC374" s="20" t="s">
        <v>169</v>
      </c>
      <c r="AD374" s="25" t="s">
        <v>3028</v>
      </c>
      <c r="AE374" s="39"/>
      <c r="AF374" s="39"/>
    </row>
    <row r="375" hidden="1">
      <c r="A375" s="84" t="s">
        <v>157</v>
      </c>
      <c r="B375" s="20" t="s">
        <v>140</v>
      </c>
      <c r="C375" s="20" t="s">
        <v>141</v>
      </c>
      <c r="D375" s="29" t="s">
        <v>698</v>
      </c>
      <c r="E375" s="124" t="s">
        <v>3029</v>
      </c>
      <c r="F375" s="130" t="s">
        <v>698</v>
      </c>
      <c r="G375" s="211" t="s">
        <v>90</v>
      </c>
      <c r="H375" s="85">
        <v>1.5</v>
      </c>
      <c r="I375" s="211" t="s">
        <v>3030</v>
      </c>
      <c r="J375" s="211" t="s">
        <v>2006</v>
      </c>
      <c r="K375" s="170"/>
      <c r="L375" s="85" t="s">
        <v>92</v>
      </c>
      <c r="M375" s="178" t="s">
        <v>3031</v>
      </c>
      <c r="N375" s="211" t="s">
        <v>44</v>
      </c>
      <c r="O375" s="88"/>
      <c r="P375" s="178" t="s">
        <v>2317</v>
      </c>
      <c r="Q375" s="89" t="s">
        <v>36</v>
      </c>
      <c r="R375" s="211">
        <v>2.40541722E8</v>
      </c>
      <c r="S375" s="213">
        <v>45381.0</v>
      </c>
      <c r="T375" s="211" t="s">
        <v>38</v>
      </c>
      <c r="U375" s="85" t="s">
        <v>3032</v>
      </c>
      <c r="V375" s="85" t="s">
        <v>3033</v>
      </c>
      <c r="W375" s="90" t="s">
        <v>3034</v>
      </c>
      <c r="X375" s="211" t="s">
        <v>3002</v>
      </c>
      <c r="Y375" s="214" t="s">
        <v>3035</v>
      </c>
      <c r="Z375" s="26" t="s">
        <v>43</v>
      </c>
      <c r="AA375" s="240">
        <v>3.0</v>
      </c>
      <c r="AB375" s="211"/>
      <c r="AC375" s="87" t="s">
        <v>169</v>
      </c>
      <c r="AD375" s="31"/>
      <c r="AE375" s="31"/>
      <c r="AF375" s="26"/>
    </row>
    <row r="376" hidden="1">
      <c r="A376" s="20" t="s">
        <v>157</v>
      </c>
      <c r="B376" s="20" t="s">
        <v>158</v>
      </c>
      <c r="C376" s="20" t="s">
        <v>159</v>
      </c>
      <c r="D376" s="26" t="s">
        <v>142</v>
      </c>
      <c r="E376" s="113" t="s">
        <v>3036</v>
      </c>
      <c r="F376" s="137" t="s">
        <v>666</v>
      </c>
      <c r="G376" s="113" t="s">
        <v>90</v>
      </c>
      <c r="H376" s="29">
        <f>IFERROR(__xludf.DUMMYFUNCTION("IF(ISDATE(S376), DATEDIF(S376, TODAY(), ""Y""), """")"),13.0)</f>
        <v>13</v>
      </c>
      <c r="I376" s="113" t="s">
        <v>3037</v>
      </c>
      <c r="J376" s="113" t="s">
        <v>779</v>
      </c>
      <c r="K376" s="119">
        <v>5.0868022E8</v>
      </c>
      <c r="L376" s="27" t="s">
        <v>92</v>
      </c>
      <c r="M376" s="113" t="s">
        <v>3038</v>
      </c>
      <c r="N376" s="113" t="s">
        <v>44</v>
      </c>
      <c r="O376" s="27"/>
      <c r="P376" s="119"/>
      <c r="Q376" s="27" t="s">
        <v>182</v>
      </c>
      <c r="R376" s="113">
        <v>3.35791067E8</v>
      </c>
      <c r="S376" s="118">
        <v>41035.0</v>
      </c>
      <c r="T376" s="113" t="s">
        <v>3039</v>
      </c>
      <c r="U376" s="27">
        <v>41640.0</v>
      </c>
      <c r="V376" s="27" t="s">
        <v>1709</v>
      </c>
      <c r="W376" s="27">
        <v>5.4811802E8</v>
      </c>
      <c r="X376" s="113" t="s">
        <v>1357</v>
      </c>
      <c r="Y376" s="113">
        <v>5.0868022E8</v>
      </c>
      <c r="Z376" s="26" t="s">
        <v>43</v>
      </c>
      <c r="AA376" s="34">
        <v>3.0</v>
      </c>
      <c r="AB376" s="116"/>
      <c r="AC376" s="20" t="s">
        <v>169</v>
      </c>
      <c r="AD376" s="31"/>
      <c r="AE376" s="31"/>
      <c r="AF376" s="31"/>
    </row>
    <row r="377" hidden="1">
      <c r="A377" s="20" t="s">
        <v>157</v>
      </c>
      <c r="B377" s="20" t="s">
        <v>158</v>
      </c>
      <c r="C377" s="20" t="s">
        <v>159</v>
      </c>
      <c r="D377" s="26" t="s">
        <v>142</v>
      </c>
      <c r="E377" s="128" t="s">
        <v>3040</v>
      </c>
      <c r="F377" s="129">
        <v>44776.0</v>
      </c>
      <c r="G377" s="128" t="s">
        <v>90</v>
      </c>
      <c r="H377" s="29">
        <f>IFERROR(__xludf.DUMMYFUNCTION("IF(ISDATE(S377), DATEDIF(S377, TODAY(), ""Y""), """")"),13.0)</f>
        <v>13</v>
      </c>
      <c r="I377" s="128" t="s">
        <v>3041</v>
      </c>
      <c r="J377" s="128" t="s">
        <v>597</v>
      </c>
      <c r="K377" s="131"/>
      <c r="L377" s="27" t="s">
        <v>92</v>
      </c>
      <c r="M377" s="128" t="s">
        <v>3042</v>
      </c>
      <c r="N377" s="128" t="s">
        <v>44</v>
      </c>
      <c r="O377" s="27"/>
      <c r="P377" s="131"/>
      <c r="Q377" s="27" t="s">
        <v>36</v>
      </c>
      <c r="R377" s="128">
        <v>3.36005897E8</v>
      </c>
      <c r="S377" s="132">
        <v>41098.0</v>
      </c>
      <c r="T377" s="128" t="s">
        <v>38</v>
      </c>
      <c r="U377" s="27">
        <v>44655.0</v>
      </c>
      <c r="V377" s="27" t="s">
        <v>1320</v>
      </c>
      <c r="W377" s="27">
        <v>5.23555376E8</v>
      </c>
      <c r="X377" s="128" t="s">
        <v>2278</v>
      </c>
      <c r="Y377" s="128">
        <v>5.87466893E8</v>
      </c>
      <c r="Z377" s="26" t="s">
        <v>43</v>
      </c>
      <c r="AA377" s="34">
        <v>4.0</v>
      </c>
      <c r="AB377" s="134"/>
      <c r="AC377" s="20" t="s">
        <v>169</v>
      </c>
      <c r="AD377" s="31"/>
      <c r="AE377" s="31"/>
      <c r="AF377" s="31"/>
    </row>
    <row r="378" hidden="1">
      <c r="A378" s="144" t="s">
        <v>157</v>
      </c>
      <c r="B378" s="20" t="s">
        <v>140</v>
      </c>
      <c r="C378" s="20" t="s">
        <v>141</v>
      </c>
      <c r="D378" s="29" t="s">
        <v>1229</v>
      </c>
      <c r="E378" s="117" t="s">
        <v>3043</v>
      </c>
      <c r="F378" s="146">
        <v>45860.0</v>
      </c>
      <c r="G378" s="117" t="s">
        <v>31</v>
      </c>
      <c r="H378" s="29" t="s">
        <v>3044</v>
      </c>
      <c r="I378" s="117" t="s">
        <v>3045</v>
      </c>
      <c r="J378" s="117"/>
      <c r="K378" s="119"/>
      <c r="L378" s="26" t="s">
        <v>92</v>
      </c>
      <c r="M378" s="117" t="s">
        <v>3046</v>
      </c>
      <c r="N378" s="117" t="s">
        <v>44</v>
      </c>
      <c r="O378" s="26"/>
      <c r="P378" s="117"/>
      <c r="Q378" s="26" t="s">
        <v>36</v>
      </c>
      <c r="R378" s="114">
        <v>2.43571528E8</v>
      </c>
      <c r="S378" s="148">
        <v>45624.0</v>
      </c>
      <c r="T378" s="117" t="s">
        <v>380</v>
      </c>
      <c r="U378" s="29" t="s">
        <v>1726</v>
      </c>
      <c r="V378" s="26" t="s">
        <v>3047</v>
      </c>
      <c r="W378" s="94" t="s">
        <v>3048</v>
      </c>
      <c r="X378" s="117" t="s">
        <v>3049</v>
      </c>
      <c r="Y378" s="147" t="s">
        <v>3050</v>
      </c>
      <c r="Z378" s="26" t="s">
        <v>43</v>
      </c>
      <c r="AA378" s="29">
        <v>0.0</v>
      </c>
      <c r="AB378" s="117"/>
      <c r="AC378" s="20" t="s">
        <v>156</v>
      </c>
      <c r="AD378" s="31"/>
      <c r="AE378" s="31"/>
      <c r="AF378" s="26" t="s">
        <v>3051</v>
      </c>
    </row>
    <row r="379" hidden="1">
      <c r="A379" s="20" t="s">
        <v>157</v>
      </c>
      <c r="B379" s="20" t="s">
        <v>158</v>
      </c>
      <c r="C379" s="20" t="s">
        <v>159</v>
      </c>
      <c r="D379" s="26" t="s">
        <v>142</v>
      </c>
      <c r="E379" s="128" t="s">
        <v>3052</v>
      </c>
      <c r="F379" s="129" t="s">
        <v>186</v>
      </c>
      <c r="G379" s="128" t="s">
        <v>31</v>
      </c>
      <c r="H379" s="29">
        <f>IFERROR(__xludf.DUMMYFUNCTION("IF(ISDATE(S379), DATEDIF(S379, TODAY(), ""Y""), """")"),13.0)</f>
        <v>13</v>
      </c>
      <c r="I379" s="128" t="s">
        <v>3053</v>
      </c>
      <c r="J379" s="128" t="s">
        <v>590</v>
      </c>
      <c r="K379" s="131"/>
      <c r="L379" s="27" t="s">
        <v>208</v>
      </c>
      <c r="M379" s="128" t="s">
        <v>3054</v>
      </c>
      <c r="N379" s="128" t="s">
        <v>44</v>
      </c>
      <c r="O379" s="27"/>
      <c r="P379" s="131"/>
      <c r="Q379" s="27" t="s">
        <v>44</v>
      </c>
      <c r="R379" s="128">
        <v>3.36672936E8</v>
      </c>
      <c r="S379" s="132">
        <v>41087.0</v>
      </c>
      <c r="T379" s="128" t="s">
        <v>3055</v>
      </c>
      <c r="U379" s="27">
        <v>43573.0</v>
      </c>
      <c r="V379" s="27" t="s">
        <v>1397</v>
      </c>
      <c r="W379" s="27">
        <v>5.87733377E8</v>
      </c>
      <c r="X379" s="128" t="s">
        <v>2061</v>
      </c>
      <c r="Y379" s="128">
        <v>5.87755577E8</v>
      </c>
      <c r="Z379" s="26" t="s">
        <v>43</v>
      </c>
      <c r="AA379" s="34">
        <v>1.0</v>
      </c>
      <c r="AB379" s="134"/>
      <c r="AC379" s="20" t="s">
        <v>169</v>
      </c>
      <c r="AD379" s="31"/>
      <c r="AE379" s="31"/>
      <c r="AF379" s="31"/>
    </row>
    <row r="380" hidden="1">
      <c r="A380" s="20" t="s">
        <v>157</v>
      </c>
      <c r="B380" s="20" t="s">
        <v>158</v>
      </c>
      <c r="C380" s="20" t="s">
        <v>159</v>
      </c>
      <c r="D380" s="26" t="s">
        <v>142</v>
      </c>
      <c r="E380" s="113" t="s">
        <v>3056</v>
      </c>
      <c r="F380" s="137" t="s">
        <v>3057</v>
      </c>
      <c r="G380" s="113" t="s">
        <v>90</v>
      </c>
      <c r="H380" s="29">
        <f>IFERROR(__xludf.DUMMYFUNCTION("IF(ISDATE(S380), DATEDIF(S380, TODAY(), ""Y""), """")"),13.0)</f>
        <v>13</v>
      </c>
      <c r="I380" s="113" t="s">
        <v>3058</v>
      </c>
      <c r="J380" s="113" t="s">
        <v>3059</v>
      </c>
      <c r="K380" s="119"/>
      <c r="L380" s="27" t="s">
        <v>92</v>
      </c>
      <c r="M380" s="113" t="s">
        <v>3060</v>
      </c>
      <c r="N380" s="113" t="s">
        <v>44</v>
      </c>
      <c r="O380" s="27"/>
      <c r="P380" s="119"/>
      <c r="Q380" s="27" t="s">
        <v>3061</v>
      </c>
      <c r="R380" s="113">
        <v>3.3676573E8</v>
      </c>
      <c r="S380" s="118">
        <v>41127.0</v>
      </c>
      <c r="T380" s="113" t="s">
        <v>1108</v>
      </c>
      <c r="U380" s="27">
        <v>43730.0</v>
      </c>
      <c r="V380" s="27" t="s">
        <v>2450</v>
      </c>
      <c r="W380" s="27">
        <v>5.06541502E8</v>
      </c>
      <c r="X380" s="113" t="s">
        <v>3062</v>
      </c>
      <c r="Y380" s="113">
        <v>5.28334843E8</v>
      </c>
      <c r="Z380" s="26" t="s">
        <v>43</v>
      </c>
      <c r="AA380" s="34">
        <v>3.0</v>
      </c>
      <c r="AB380" s="116"/>
      <c r="AC380" s="35" t="s">
        <v>169</v>
      </c>
      <c r="AD380" s="31"/>
      <c r="AE380" s="31"/>
      <c r="AF380" s="31"/>
    </row>
    <row r="381" hidden="1">
      <c r="A381" s="20" t="s">
        <v>157</v>
      </c>
      <c r="B381" s="20" t="s">
        <v>158</v>
      </c>
      <c r="C381" s="20" t="s">
        <v>159</v>
      </c>
      <c r="D381" s="26" t="s">
        <v>142</v>
      </c>
      <c r="E381" s="128" t="s">
        <v>3063</v>
      </c>
      <c r="F381" s="129" t="s">
        <v>3064</v>
      </c>
      <c r="G381" s="128" t="s">
        <v>90</v>
      </c>
      <c r="H381" s="29">
        <f>IFERROR(__xludf.DUMMYFUNCTION("IF(ISDATE(S381), DATEDIF(S381, TODAY(), ""Y""), """")"),13.0)</f>
        <v>13</v>
      </c>
      <c r="I381" s="128" t="s">
        <v>3065</v>
      </c>
      <c r="J381" s="128" t="s">
        <v>342</v>
      </c>
      <c r="K381" s="131"/>
      <c r="L381" s="27" t="s">
        <v>164</v>
      </c>
      <c r="M381" s="128" t="s">
        <v>3066</v>
      </c>
      <c r="N381" s="128" t="s">
        <v>44</v>
      </c>
      <c r="O381" s="27"/>
      <c r="P381" s="131"/>
      <c r="Q381" s="27" t="s">
        <v>44</v>
      </c>
      <c r="R381" s="128">
        <v>3.3677469E8</v>
      </c>
      <c r="S381" s="132">
        <v>40966.0</v>
      </c>
      <c r="T381" s="128" t="s">
        <v>3067</v>
      </c>
      <c r="U381" s="27">
        <v>44045.0</v>
      </c>
      <c r="V381" s="27" t="s">
        <v>697</v>
      </c>
      <c r="W381" s="27">
        <v>5.2812228E8</v>
      </c>
      <c r="X381" s="128" t="s">
        <v>3068</v>
      </c>
      <c r="Y381" s="128">
        <v>5.23937266E8</v>
      </c>
      <c r="Z381" s="26" t="s">
        <v>43</v>
      </c>
      <c r="AA381" s="34">
        <v>5.0</v>
      </c>
      <c r="AB381" s="134"/>
      <c r="AC381" s="35" t="s">
        <v>169</v>
      </c>
      <c r="AD381" s="31"/>
      <c r="AE381" s="31"/>
      <c r="AF381" s="31"/>
    </row>
    <row r="382" hidden="1">
      <c r="A382" s="20" t="s">
        <v>157</v>
      </c>
      <c r="B382" s="20" t="s">
        <v>158</v>
      </c>
      <c r="C382" s="20" t="s">
        <v>159</v>
      </c>
      <c r="D382" s="26" t="s">
        <v>142</v>
      </c>
      <c r="E382" s="113" t="s">
        <v>3069</v>
      </c>
      <c r="F382" s="137">
        <v>44535.0</v>
      </c>
      <c r="G382" s="113" t="s">
        <v>90</v>
      </c>
      <c r="H382" s="29">
        <f>IFERROR(__xludf.DUMMYFUNCTION("IF(ISDATE(S382), DATEDIF(S382, TODAY(), ""Y""), """")"),15.0)</f>
        <v>15</v>
      </c>
      <c r="I382" s="113" t="s">
        <v>3070</v>
      </c>
      <c r="J382" s="113" t="s">
        <v>590</v>
      </c>
      <c r="K382" s="119"/>
      <c r="L382" s="27" t="s">
        <v>92</v>
      </c>
      <c r="M382" s="113"/>
      <c r="N382" s="113" t="s">
        <v>44</v>
      </c>
      <c r="O382" s="27"/>
      <c r="P382" s="119"/>
      <c r="Q382" s="27" t="s">
        <v>44</v>
      </c>
      <c r="R382" s="113">
        <v>3.36820311E8</v>
      </c>
      <c r="S382" s="118">
        <v>40402.0</v>
      </c>
      <c r="T382" s="113" t="s">
        <v>3071</v>
      </c>
      <c r="U382" s="27">
        <v>44318.0</v>
      </c>
      <c r="V382" s="27" t="s">
        <v>721</v>
      </c>
      <c r="W382" s="27">
        <v>5.24802881E8</v>
      </c>
      <c r="X382" s="113" t="s">
        <v>1111</v>
      </c>
      <c r="Y382" s="113">
        <v>5.2635051E7</v>
      </c>
      <c r="Z382" s="26" t="s">
        <v>43</v>
      </c>
      <c r="AA382" s="34">
        <v>2.0</v>
      </c>
      <c r="AB382" s="116"/>
      <c r="AC382" s="35" t="s">
        <v>169</v>
      </c>
      <c r="AD382" s="31"/>
      <c r="AE382" s="31"/>
      <c r="AF382" s="31"/>
    </row>
    <row r="383" hidden="1">
      <c r="A383" s="135" t="s">
        <v>157</v>
      </c>
      <c r="B383" s="20" t="s">
        <v>140</v>
      </c>
      <c r="C383" s="25" t="s">
        <v>141</v>
      </c>
      <c r="D383" s="37" t="s">
        <v>1283</v>
      </c>
      <c r="E383" s="120" t="s">
        <v>3072</v>
      </c>
      <c r="F383" s="122" t="s">
        <v>3073</v>
      </c>
      <c r="G383" s="120" t="s">
        <v>31</v>
      </c>
      <c r="H383" s="29">
        <f>IFERROR(__xludf.DUMMYFUNCTION("IF(ISDATE(S383), DATEDIF(S383, TODAY(), ""Y""), """")"),4.0)</f>
        <v>4</v>
      </c>
      <c r="I383" s="120" t="s">
        <v>3074</v>
      </c>
      <c r="J383" s="120" t="s">
        <v>572</v>
      </c>
      <c r="K383" s="122">
        <v>5.09095939E8</v>
      </c>
      <c r="L383" s="20" t="s">
        <v>208</v>
      </c>
      <c r="M383" s="120" t="s">
        <v>3075</v>
      </c>
      <c r="N383" s="120" t="s">
        <v>44</v>
      </c>
      <c r="O383" s="39"/>
      <c r="P383" s="139"/>
      <c r="Q383" s="20" t="s">
        <v>3076</v>
      </c>
      <c r="R383" s="122">
        <v>3.28506043E8</v>
      </c>
      <c r="S383" s="121">
        <v>44435.0</v>
      </c>
      <c r="T383" s="120" t="s">
        <v>3077</v>
      </c>
      <c r="U383" s="38">
        <v>44435.0</v>
      </c>
      <c r="V383" s="20" t="s">
        <v>2387</v>
      </c>
      <c r="W383" s="25">
        <v>5.08800147E8</v>
      </c>
      <c r="X383" s="120" t="s">
        <v>1335</v>
      </c>
      <c r="Y383" s="122">
        <v>5.36208122E8</v>
      </c>
      <c r="Z383" s="26" t="s">
        <v>43</v>
      </c>
      <c r="AA383" s="25">
        <v>4.0</v>
      </c>
      <c r="AB383" s="120" t="s">
        <v>3078</v>
      </c>
      <c r="AC383" s="20" t="s">
        <v>156</v>
      </c>
      <c r="AD383" s="20"/>
      <c r="AE383" s="39"/>
      <c r="AF383" s="39"/>
    </row>
    <row r="384" hidden="1">
      <c r="A384" s="20" t="s">
        <v>157</v>
      </c>
      <c r="B384" s="20" t="s">
        <v>158</v>
      </c>
      <c r="C384" s="20" t="s">
        <v>159</v>
      </c>
      <c r="D384" s="26" t="s">
        <v>142</v>
      </c>
      <c r="E384" s="113" t="s">
        <v>3079</v>
      </c>
      <c r="F384" s="137">
        <v>45115.0</v>
      </c>
      <c r="G384" s="113" t="s">
        <v>90</v>
      </c>
      <c r="H384" s="29">
        <f>IFERROR(__xludf.DUMMYFUNCTION("IF(ISDATE(S384), DATEDIF(S384, TODAY(), ""Y""), """")"),6.0)</f>
        <v>6</v>
      </c>
      <c r="I384" s="113" t="s">
        <v>3080</v>
      </c>
      <c r="J384" s="113" t="s">
        <v>590</v>
      </c>
      <c r="K384" s="119"/>
      <c r="L384" s="27" t="s">
        <v>92</v>
      </c>
      <c r="M384" s="113" t="s">
        <v>3081</v>
      </c>
      <c r="N384" s="113" t="s">
        <v>44</v>
      </c>
      <c r="O384" s="27"/>
      <c r="P384" s="119"/>
      <c r="Q384" s="27" t="s">
        <v>44</v>
      </c>
      <c r="R384" s="113">
        <v>3.36834155E8</v>
      </c>
      <c r="S384" s="118">
        <v>43803.0</v>
      </c>
      <c r="T384" s="113" t="s">
        <v>38</v>
      </c>
      <c r="U384" s="27">
        <v>44662.0</v>
      </c>
      <c r="V384" s="27" t="s">
        <v>97</v>
      </c>
      <c r="W384" s="27">
        <v>5.05800319E8</v>
      </c>
      <c r="X384" s="113" t="s">
        <v>525</v>
      </c>
      <c r="Y384" s="113">
        <v>5.03800319E8</v>
      </c>
      <c r="Z384" s="26" t="s">
        <v>43</v>
      </c>
      <c r="AA384" s="34">
        <v>1.0</v>
      </c>
      <c r="AB384" s="116"/>
      <c r="AC384" s="20" t="s">
        <v>169</v>
      </c>
      <c r="AD384" s="31"/>
      <c r="AE384" s="31"/>
      <c r="AF384" s="31"/>
    </row>
    <row r="385" hidden="1">
      <c r="A385" s="108" t="s">
        <v>157</v>
      </c>
      <c r="B385" s="20" t="s">
        <v>140</v>
      </c>
      <c r="C385" s="25" t="s">
        <v>409</v>
      </c>
      <c r="D385" s="37">
        <v>45928.0</v>
      </c>
      <c r="E385" s="120" t="s">
        <v>3082</v>
      </c>
      <c r="F385" s="122" t="s">
        <v>186</v>
      </c>
      <c r="G385" s="120" t="s">
        <v>90</v>
      </c>
      <c r="H385" s="29">
        <f>IFERROR(__xludf.DUMMYFUNCTION("IF(ISDATE(S385), DATEDIF(S385, TODAY(), ""Y""), """")"),15.0)</f>
        <v>15</v>
      </c>
      <c r="I385" s="120" t="s">
        <v>3083</v>
      </c>
      <c r="J385" s="120" t="s">
        <v>3084</v>
      </c>
      <c r="K385" s="122">
        <v>5.85658181E8</v>
      </c>
      <c r="L385" s="20" t="s">
        <v>92</v>
      </c>
      <c r="M385" s="120" t="s">
        <v>3085</v>
      </c>
      <c r="N385" s="120" t="s">
        <v>44</v>
      </c>
      <c r="O385" s="39"/>
      <c r="P385" s="120" t="s">
        <v>3086</v>
      </c>
      <c r="Q385" s="20" t="s">
        <v>44</v>
      </c>
      <c r="R385" s="122">
        <v>3.33640472E8</v>
      </c>
      <c r="S385" s="121">
        <v>40245.0</v>
      </c>
      <c r="T385" s="122" t="s">
        <v>3087</v>
      </c>
      <c r="U385" s="38">
        <v>44125.0</v>
      </c>
      <c r="V385" s="20" t="s">
        <v>211</v>
      </c>
      <c r="W385" s="25">
        <v>5.24088895E8</v>
      </c>
      <c r="X385" s="120" t="s">
        <v>86</v>
      </c>
      <c r="Y385" s="122">
        <v>5.25650924E8</v>
      </c>
      <c r="Z385" s="26" t="s">
        <v>43</v>
      </c>
      <c r="AA385" s="25">
        <v>5.0</v>
      </c>
      <c r="AB385" s="120" t="s">
        <v>3088</v>
      </c>
      <c r="AC385" s="20" t="s">
        <v>156</v>
      </c>
      <c r="AD385" s="20" t="s">
        <v>3089</v>
      </c>
      <c r="AE385" s="39"/>
      <c r="AF385" s="20" t="s">
        <v>3090</v>
      </c>
    </row>
    <row r="386" hidden="1">
      <c r="A386" s="20" t="s">
        <v>157</v>
      </c>
      <c r="B386" s="20" t="s">
        <v>158</v>
      </c>
      <c r="C386" s="20" t="s">
        <v>159</v>
      </c>
      <c r="D386" s="26" t="s">
        <v>142</v>
      </c>
      <c r="E386" s="113" t="s">
        <v>3091</v>
      </c>
      <c r="F386" s="137">
        <v>44479.0</v>
      </c>
      <c r="G386" s="113" t="s">
        <v>31</v>
      </c>
      <c r="H386" s="29">
        <f>IFERROR(__xludf.DUMMYFUNCTION("IF(ISDATE(S386), DATEDIF(S386, TODAY(), ""Y""), """")"),11.0)</f>
        <v>11</v>
      </c>
      <c r="I386" s="113" t="s">
        <v>3092</v>
      </c>
      <c r="J386" s="113" t="s">
        <v>3093</v>
      </c>
      <c r="K386" s="119"/>
      <c r="L386" s="27" t="s">
        <v>92</v>
      </c>
      <c r="M386" s="113" t="s">
        <v>3094</v>
      </c>
      <c r="N386" s="113" t="s">
        <v>44</v>
      </c>
      <c r="O386" s="27"/>
      <c r="P386" s="119"/>
      <c r="Q386" s="27" t="s">
        <v>44</v>
      </c>
      <c r="R386" s="113">
        <v>3.36960133E8</v>
      </c>
      <c r="S386" s="118">
        <v>41670.0</v>
      </c>
      <c r="T386" s="113" t="s">
        <v>38</v>
      </c>
      <c r="U386" s="27">
        <v>44248.0</v>
      </c>
      <c r="V386" s="27" t="s">
        <v>3095</v>
      </c>
      <c r="W386" s="27">
        <v>5.44769777E8</v>
      </c>
      <c r="X386" s="113" t="s">
        <v>1110</v>
      </c>
      <c r="Y386" s="113">
        <v>5.27966435E8</v>
      </c>
      <c r="Z386" s="26" t="s">
        <v>43</v>
      </c>
      <c r="AA386" s="34">
        <v>2.0</v>
      </c>
      <c r="AB386" s="116"/>
      <c r="AC386" s="35" t="s">
        <v>169</v>
      </c>
      <c r="AD386" s="31"/>
      <c r="AE386" s="31"/>
      <c r="AF386" s="31"/>
    </row>
    <row r="387" hidden="1">
      <c r="A387" s="144" t="s">
        <v>157</v>
      </c>
      <c r="B387" s="20" t="s">
        <v>140</v>
      </c>
      <c r="C387" s="25" t="s">
        <v>141</v>
      </c>
      <c r="D387" s="95" t="s">
        <v>2261</v>
      </c>
      <c r="E387" s="134" t="s">
        <v>3096</v>
      </c>
      <c r="F387" s="241">
        <v>45718.0</v>
      </c>
      <c r="G387" s="128" t="s">
        <v>90</v>
      </c>
      <c r="H387" s="29">
        <f>IFERROR(__xludf.DUMMYFUNCTION("IF(ISDATE(S387), DATEDIF(S387, TODAY(), ""Y""), """")"),15.0)</f>
        <v>15</v>
      </c>
      <c r="I387" s="128" t="s">
        <v>3097</v>
      </c>
      <c r="J387" s="128" t="s">
        <v>517</v>
      </c>
      <c r="K387" s="130">
        <v>5.34744811E8</v>
      </c>
      <c r="L387" s="27" t="s">
        <v>49</v>
      </c>
      <c r="M387" s="134" t="s">
        <v>141</v>
      </c>
      <c r="N387" s="134" t="s">
        <v>44</v>
      </c>
      <c r="O387" s="35" t="s">
        <v>3098</v>
      </c>
      <c r="P387" s="124" t="s">
        <v>2765</v>
      </c>
      <c r="Q387" s="35" t="s">
        <v>44</v>
      </c>
      <c r="R387" s="128">
        <v>3.34340411E8</v>
      </c>
      <c r="S387" s="132">
        <v>40287.0</v>
      </c>
      <c r="T387" s="128" t="s">
        <v>331</v>
      </c>
      <c r="U387" s="33" t="s">
        <v>3099</v>
      </c>
      <c r="V387" s="27" t="s">
        <v>3100</v>
      </c>
      <c r="W387" s="33" t="s">
        <v>3101</v>
      </c>
      <c r="X387" s="128" t="s">
        <v>3102</v>
      </c>
      <c r="Y387" s="143" t="s">
        <v>3103</v>
      </c>
      <c r="Z387" s="26" t="s">
        <v>43</v>
      </c>
      <c r="AA387" s="27">
        <v>6.0</v>
      </c>
      <c r="AB387" s="134" t="s">
        <v>3104</v>
      </c>
      <c r="AC387" s="20" t="s">
        <v>156</v>
      </c>
      <c r="AD387" s="31"/>
      <c r="AE387" s="31"/>
      <c r="AF387" s="26" t="s">
        <v>1762</v>
      </c>
    </row>
    <row r="388" hidden="1">
      <c r="A388" s="20" t="s">
        <v>157</v>
      </c>
      <c r="B388" s="20" t="s">
        <v>158</v>
      </c>
      <c r="C388" s="20" t="s">
        <v>159</v>
      </c>
      <c r="D388" s="37">
        <v>45876.0</v>
      </c>
      <c r="E388" s="92" t="s">
        <v>3105</v>
      </c>
      <c r="F388" s="111"/>
      <c r="G388" s="92" t="s">
        <v>31</v>
      </c>
      <c r="H388" s="29">
        <f>IFERROR(__xludf.DUMMYFUNCTION("IF(ISDATE(S388), DATEDIF(S388, TODAY(), ""Y""), """")"),13.0)</f>
        <v>13</v>
      </c>
      <c r="I388" s="92" t="s">
        <v>3106</v>
      </c>
      <c r="J388" s="92" t="s">
        <v>47</v>
      </c>
      <c r="K388" s="111">
        <v>5.26994431E8</v>
      </c>
      <c r="L388" s="20" t="s">
        <v>92</v>
      </c>
      <c r="M388" s="92" t="s">
        <v>3107</v>
      </c>
      <c r="N388" s="92" t="s">
        <v>44</v>
      </c>
      <c r="O388" s="20"/>
      <c r="P388" s="92" t="s">
        <v>3108</v>
      </c>
      <c r="Q388" s="20" t="s">
        <v>44</v>
      </c>
      <c r="R388" s="111">
        <v>3.371721E8</v>
      </c>
      <c r="S388" s="126">
        <v>40976.0</v>
      </c>
      <c r="T388" s="92" t="s">
        <v>3109</v>
      </c>
      <c r="U388" s="96">
        <v>45050.0</v>
      </c>
      <c r="V388" s="20" t="s">
        <v>3110</v>
      </c>
      <c r="W388" s="22">
        <v>5.46450555E8</v>
      </c>
      <c r="X388" s="92" t="s">
        <v>2061</v>
      </c>
      <c r="Y388" s="111">
        <v>5.08262275E8</v>
      </c>
      <c r="Z388" s="20" t="s">
        <v>43</v>
      </c>
      <c r="AA388" s="25">
        <v>3.0</v>
      </c>
      <c r="AB388" s="92"/>
      <c r="AC388" s="20" t="s">
        <v>156</v>
      </c>
      <c r="AD388" s="20"/>
      <c r="AE388" s="39"/>
      <c r="AF388" s="39"/>
    </row>
    <row r="389" hidden="1">
      <c r="A389" s="20" t="s">
        <v>157</v>
      </c>
      <c r="B389" s="20" t="s">
        <v>158</v>
      </c>
      <c r="C389" s="20" t="s">
        <v>159</v>
      </c>
      <c r="D389" s="26" t="s">
        <v>142</v>
      </c>
      <c r="E389" s="128" t="s">
        <v>3111</v>
      </c>
      <c r="F389" s="129">
        <v>44901.0</v>
      </c>
      <c r="G389" s="128" t="s">
        <v>90</v>
      </c>
      <c r="H389" s="29">
        <f>IFERROR(__xludf.DUMMYFUNCTION("IF(ISDATE(S389), DATEDIF(S389, TODAY(), ""Y""), """")"),13.0)</f>
        <v>13</v>
      </c>
      <c r="I389" s="128" t="s">
        <v>3112</v>
      </c>
      <c r="J389" s="128" t="s">
        <v>321</v>
      </c>
      <c r="K389" s="131">
        <v>5.37352348E8</v>
      </c>
      <c r="L389" s="27" t="s">
        <v>103</v>
      </c>
      <c r="M389" s="128" t="s">
        <v>3113</v>
      </c>
      <c r="N389" s="128" t="s">
        <v>44</v>
      </c>
      <c r="O389" s="27"/>
      <c r="P389" s="131"/>
      <c r="Q389" s="27" t="s">
        <v>182</v>
      </c>
      <c r="R389" s="128">
        <v>3.37175517E8</v>
      </c>
      <c r="S389" s="132">
        <v>40934.0</v>
      </c>
      <c r="T389" s="128" t="s">
        <v>38</v>
      </c>
      <c r="U389" s="27">
        <v>44216.0</v>
      </c>
      <c r="V389" s="27" t="s">
        <v>119</v>
      </c>
      <c r="W389" s="27">
        <v>5.44671917E8</v>
      </c>
      <c r="X389" s="128" t="s">
        <v>3114</v>
      </c>
      <c r="Y389" s="128">
        <v>5.43044974E8</v>
      </c>
      <c r="Z389" s="26" t="s">
        <v>43</v>
      </c>
      <c r="AA389" s="34">
        <v>3.0</v>
      </c>
      <c r="AB389" s="134"/>
      <c r="AC389" s="35" t="s">
        <v>169</v>
      </c>
      <c r="AD389" s="31"/>
      <c r="AE389" s="31"/>
      <c r="AF389" s="31"/>
    </row>
    <row r="390" hidden="1">
      <c r="A390" s="20" t="s">
        <v>157</v>
      </c>
      <c r="B390" s="20" t="s">
        <v>158</v>
      </c>
      <c r="C390" s="20" t="s">
        <v>159</v>
      </c>
      <c r="D390" s="26" t="s">
        <v>142</v>
      </c>
      <c r="E390" s="113" t="s">
        <v>3115</v>
      </c>
      <c r="F390" s="137" t="s">
        <v>3064</v>
      </c>
      <c r="G390" s="113" t="s">
        <v>31</v>
      </c>
      <c r="H390" s="29">
        <f>IFERROR(__xludf.DUMMYFUNCTION("IF(ISDATE(S390), DATEDIF(S390, TODAY(), ""Y""), """")"),12.0)</f>
        <v>12</v>
      </c>
      <c r="I390" s="113" t="s">
        <v>3116</v>
      </c>
      <c r="J390" s="113" t="s">
        <v>590</v>
      </c>
      <c r="K390" s="119">
        <v>5.29040503E8</v>
      </c>
      <c r="L390" s="27" t="s">
        <v>164</v>
      </c>
      <c r="M390" s="113" t="s">
        <v>3117</v>
      </c>
      <c r="N390" s="113" t="s">
        <v>44</v>
      </c>
      <c r="O390" s="27"/>
      <c r="P390" s="119"/>
      <c r="Q390" s="27" t="s">
        <v>36</v>
      </c>
      <c r="R390" s="113">
        <v>3.37188635E8</v>
      </c>
      <c r="S390" s="118">
        <v>41492.0</v>
      </c>
      <c r="T390" s="113" t="s">
        <v>38</v>
      </c>
      <c r="U390" s="27">
        <v>44019.0</v>
      </c>
      <c r="V390" s="27"/>
      <c r="W390" s="27">
        <v>0.0</v>
      </c>
      <c r="X390" s="113" t="s">
        <v>3118</v>
      </c>
      <c r="Y390" s="113">
        <v>5.29040503E8</v>
      </c>
      <c r="Z390" s="26" t="s">
        <v>123</v>
      </c>
      <c r="AA390" s="34">
        <v>1.0</v>
      </c>
      <c r="AB390" s="116"/>
      <c r="AC390" s="35" t="s">
        <v>169</v>
      </c>
      <c r="AD390" s="31"/>
      <c r="AE390" s="31"/>
      <c r="AF390" s="31"/>
    </row>
    <row r="391" hidden="1">
      <c r="A391" s="20" t="s">
        <v>157</v>
      </c>
      <c r="B391" s="20" t="s">
        <v>158</v>
      </c>
      <c r="C391" s="20" t="s">
        <v>159</v>
      </c>
      <c r="D391" s="26" t="s">
        <v>142</v>
      </c>
      <c r="E391" s="128" t="s">
        <v>3119</v>
      </c>
      <c r="F391" s="129" t="s">
        <v>3120</v>
      </c>
      <c r="G391" s="128" t="s">
        <v>31</v>
      </c>
      <c r="H391" s="29">
        <f>IFERROR(__xludf.DUMMYFUNCTION("IF(ISDATE(S391), DATEDIF(S391, TODAY(), ""Y""), """")"),14.0)</f>
        <v>14</v>
      </c>
      <c r="I391" s="128" t="s">
        <v>3121</v>
      </c>
      <c r="J391" s="128" t="s">
        <v>742</v>
      </c>
      <c r="K391" s="131"/>
      <c r="L391" s="27" t="s">
        <v>92</v>
      </c>
      <c r="M391" s="128" t="s">
        <v>3122</v>
      </c>
      <c r="N391" s="128" t="s">
        <v>44</v>
      </c>
      <c r="O391" s="27"/>
      <c r="P391" s="131"/>
      <c r="Q391" s="27" t="s">
        <v>36</v>
      </c>
      <c r="R391" s="128">
        <v>3.37312011E8</v>
      </c>
      <c r="S391" s="132">
        <v>40919.0</v>
      </c>
      <c r="T391" s="128" t="s">
        <v>1261</v>
      </c>
      <c r="U391" s="27">
        <v>44766.0</v>
      </c>
      <c r="V391" s="27" t="s">
        <v>3123</v>
      </c>
      <c r="W391" s="27">
        <v>5.25975597E8</v>
      </c>
      <c r="X391" s="128" t="s">
        <v>771</v>
      </c>
      <c r="Y391" s="128">
        <v>5.26376329E8</v>
      </c>
      <c r="Z391" s="26" t="s">
        <v>43</v>
      </c>
      <c r="AA391" s="34">
        <v>2.0</v>
      </c>
      <c r="AB391" s="134"/>
      <c r="AC391" s="35" t="s">
        <v>169</v>
      </c>
      <c r="AD391" s="31"/>
      <c r="AE391" s="31"/>
      <c r="AF391" s="31"/>
    </row>
    <row r="392" hidden="1">
      <c r="A392" s="20" t="s">
        <v>157</v>
      </c>
      <c r="B392" s="20" t="s">
        <v>158</v>
      </c>
      <c r="C392" s="20" t="s">
        <v>159</v>
      </c>
      <c r="D392" s="26" t="s">
        <v>142</v>
      </c>
      <c r="E392" s="113" t="s">
        <v>3124</v>
      </c>
      <c r="F392" s="137" t="s">
        <v>3125</v>
      </c>
      <c r="G392" s="113" t="s">
        <v>31</v>
      </c>
      <c r="H392" s="29">
        <f>IFERROR(__xludf.DUMMYFUNCTION("IF(ISDATE(S392), DATEDIF(S392, TODAY(), ""Y""), """")"),13.0)</f>
        <v>13</v>
      </c>
      <c r="I392" s="113" t="s">
        <v>3126</v>
      </c>
      <c r="J392" s="113" t="s">
        <v>2673</v>
      </c>
      <c r="K392" s="119">
        <v>5.07771437E8</v>
      </c>
      <c r="L392" s="27" t="s">
        <v>92</v>
      </c>
      <c r="M392" s="113" t="s">
        <v>3127</v>
      </c>
      <c r="N392" s="113" t="s">
        <v>44</v>
      </c>
      <c r="O392" s="27"/>
      <c r="P392" s="119"/>
      <c r="Q392" s="27" t="s">
        <v>44</v>
      </c>
      <c r="R392" s="113">
        <v>3.37386536E8</v>
      </c>
      <c r="S392" s="118">
        <v>41134.0</v>
      </c>
      <c r="T392" s="113" t="s">
        <v>3128</v>
      </c>
      <c r="U392" s="27">
        <v>44299.0</v>
      </c>
      <c r="V392" s="27" t="s">
        <v>1568</v>
      </c>
      <c r="W392" s="27">
        <v>5.45787482E8</v>
      </c>
      <c r="X392" s="113" t="s">
        <v>301</v>
      </c>
      <c r="Y392" s="113">
        <v>5.45787484E8</v>
      </c>
      <c r="Z392" s="26" t="s">
        <v>43</v>
      </c>
      <c r="AA392" s="34">
        <v>1.0</v>
      </c>
      <c r="AB392" s="116"/>
      <c r="AC392" s="35" t="s">
        <v>169</v>
      </c>
      <c r="AD392" s="31"/>
      <c r="AE392" s="31"/>
      <c r="AF392" s="31"/>
    </row>
    <row r="393" hidden="1">
      <c r="A393" s="84" t="s">
        <v>157</v>
      </c>
      <c r="B393" s="20" t="s">
        <v>140</v>
      </c>
      <c r="C393" s="20" t="s">
        <v>238</v>
      </c>
      <c r="D393" s="149"/>
      <c r="E393" s="242" t="s">
        <v>3129</v>
      </c>
      <c r="F393" s="185">
        <v>45925.0</v>
      </c>
      <c r="G393" s="184" t="s">
        <v>31</v>
      </c>
      <c r="H393" s="100">
        <v>15.0</v>
      </c>
      <c r="I393" s="184" t="s">
        <v>3130</v>
      </c>
      <c r="J393" s="184" t="s">
        <v>3131</v>
      </c>
      <c r="K393" s="187" t="s">
        <v>3132</v>
      </c>
      <c r="L393" s="98" t="s">
        <v>92</v>
      </c>
      <c r="M393" s="184" t="s">
        <v>3133</v>
      </c>
      <c r="N393" s="184" t="s">
        <v>36</v>
      </c>
      <c r="O393" s="98" t="s">
        <v>582</v>
      </c>
      <c r="P393" s="188"/>
      <c r="Q393" s="98" t="s">
        <v>44</v>
      </c>
      <c r="R393" s="186">
        <v>3.34928884E8</v>
      </c>
      <c r="S393" s="185">
        <v>40456.0</v>
      </c>
      <c r="T393" s="184" t="s">
        <v>3134</v>
      </c>
      <c r="U393" s="98" t="s">
        <v>3135</v>
      </c>
      <c r="V393" s="98" t="s">
        <v>57</v>
      </c>
      <c r="W393" s="103" t="s">
        <v>3136</v>
      </c>
      <c r="X393" s="184" t="s">
        <v>1037</v>
      </c>
      <c r="Y393" s="187" t="s">
        <v>3137</v>
      </c>
      <c r="Z393" s="98" t="s">
        <v>168</v>
      </c>
      <c r="AA393" s="100">
        <v>3.0</v>
      </c>
      <c r="AB393" s="188"/>
      <c r="AC393" s="20" t="s">
        <v>156</v>
      </c>
      <c r="AD393" s="102"/>
      <c r="AE393" s="102"/>
      <c r="AF393" s="102"/>
    </row>
    <row r="394" hidden="1">
      <c r="A394" s="20" t="s">
        <v>157</v>
      </c>
      <c r="B394" s="20" t="s">
        <v>158</v>
      </c>
      <c r="C394" s="20" t="s">
        <v>159</v>
      </c>
      <c r="D394" s="26" t="s">
        <v>142</v>
      </c>
      <c r="E394" s="113" t="s">
        <v>3138</v>
      </c>
      <c r="F394" s="137" t="s">
        <v>3139</v>
      </c>
      <c r="G394" s="113" t="s">
        <v>31</v>
      </c>
      <c r="H394" s="29">
        <f>IFERROR(__xludf.DUMMYFUNCTION("IF(ISDATE(S394), DATEDIF(S394, TODAY(), ""Y""), """")"),11.0)</f>
        <v>11</v>
      </c>
      <c r="I394" s="113" t="s">
        <v>3140</v>
      </c>
      <c r="J394" s="113" t="s">
        <v>806</v>
      </c>
      <c r="K394" s="119">
        <v>5.26737723E8</v>
      </c>
      <c r="L394" s="27" t="s">
        <v>92</v>
      </c>
      <c r="M394" s="113" t="s">
        <v>3141</v>
      </c>
      <c r="N394" s="113" t="s">
        <v>44</v>
      </c>
      <c r="O394" s="27"/>
      <c r="P394" s="119"/>
      <c r="Q394" s="27" t="s">
        <v>36</v>
      </c>
      <c r="R394" s="113">
        <v>3.38173107E8</v>
      </c>
      <c r="S394" s="118">
        <v>41976.0</v>
      </c>
      <c r="T394" s="113" t="s">
        <v>1578</v>
      </c>
      <c r="U394" s="27">
        <v>44623.0</v>
      </c>
      <c r="V394" s="27" t="s">
        <v>682</v>
      </c>
      <c r="W394" s="27">
        <v>5.24413224E8</v>
      </c>
      <c r="X394" s="113" t="s">
        <v>3142</v>
      </c>
      <c r="Y394" s="113">
        <v>5.26737723E8</v>
      </c>
      <c r="Z394" s="26" t="s">
        <v>43</v>
      </c>
      <c r="AA394" s="34">
        <v>2.0</v>
      </c>
      <c r="AB394" s="116"/>
      <c r="AC394" s="35" t="s">
        <v>169</v>
      </c>
      <c r="AD394" s="31"/>
      <c r="AE394" s="31"/>
      <c r="AF394" s="31"/>
    </row>
    <row r="395" hidden="1">
      <c r="A395" s="20" t="s">
        <v>157</v>
      </c>
      <c r="B395" s="20" t="s">
        <v>158</v>
      </c>
      <c r="C395" s="20" t="s">
        <v>159</v>
      </c>
      <c r="D395" s="26" t="s">
        <v>142</v>
      </c>
      <c r="E395" s="124" t="s">
        <v>3143</v>
      </c>
      <c r="F395" s="161">
        <v>45805.0</v>
      </c>
      <c r="G395" s="124" t="s">
        <v>90</v>
      </c>
      <c r="H395" s="22">
        <f>IFERROR(__xludf.DUMMYFUNCTION("IF(ISDATE(S395), DATEDIF(S395, TODAY(), ""Y""), """")"),12.0)</f>
        <v>12</v>
      </c>
      <c r="I395" s="124" t="s">
        <v>3144</v>
      </c>
      <c r="J395" s="124" t="s">
        <v>180</v>
      </c>
      <c r="K395" s="162" t="s">
        <v>3145</v>
      </c>
      <c r="L395" s="26" t="s">
        <v>103</v>
      </c>
      <c r="M395" s="124" t="s">
        <v>704</v>
      </c>
      <c r="N395" s="124" t="s">
        <v>44</v>
      </c>
      <c r="O395" s="31"/>
      <c r="P395" s="130" t="s">
        <v>3146</v>
      </c>
      <c r="Q395" s="26" t="s">
        <v>3147</v>
      </c>
      <c r="R395" s="130">
        <v>3.38372394E8</v>
      </c>
      <c r="S395" s="156">
        <v>41340.0</v>
      </c>
      <c r="T395" s="124" t="s">
        <v>1280</v>
      </c>
      <c r="U395" s="29" t="s">
        <v>3148</v>
      </c>
      <c r="V395" s="26" t="s">
        <v>1568</v>
      </c>
      <c r="W395" s="94" t="s">
        <v>3149</v>
      </c>
      <c r="X395" s="124" t="s">
        <v>3150</v>
      </c>
      <c r="Y395" s="162" t="s">
        <v>3151</v>
      </c>
      <c r="Z395" s="26" t="s">
        <v>43</v>
      </c>
      <c r="AA395" s="29">
        <v>2.0</v>
      </c>
      <c r="AB395" s="124" t="s">
        <v>3152</v>
      </c>
      <c r="AC395" s="20" t="s">
        <v>169</v>
      </c>
      <c r="AD395" s="31"/>
      <c r="AE395" s="31"/>
      <c r="AF395" s="31"/>
    </row>
    <row r="396" hidden="1">
      <c r="A396" s="108" t="s">
        <v>157</v>
      </c>
      <c r="B396" s="20" t="s">
        <v>140</v>
      </c>
      <c r="C396" s="25" t="s">
        <v>238</v>
      </c>
      <c r="D396" s="95" t="s">
        <v>3153</v>
      </c>
      <c r="E396" s="113" t="s">
        <v>3154</v>
      </c>
      <c r="F396" s="138" t="s">
        <v>1884</v>
      </c>
      <c r="G396" s="113" t="s">
        <v>31</v>
      </c>
      <c r="H396" s="29">
        <v>15.0</v>
      </c>
      <c r="I396" s="113" t="s">
        <v>3155</v>
      </c>
      <c r="J396" s="113" t="s">
        <v>779</v>
      </c>
      <c r="K396" s="115" t="s">
        <v>3156</v>
      </c>
      <c r="L396" s="27" t="s">
        <v>92</v>
      </c>
      <c r="M396" s="116" t="s">
        <v>3157</v>
      </c>
      <c r="N396" s="113" t="s">
        <v>36</v>
      </c>
      <c r="O396" s="26" t="s">
        <v>3158</v>
      </c>
      <c r="P396" s="113"/>
      <c r="Q396" s="27" t="s">
        <v>3159</v>
      </c>
      <c r="R396" s="113">
        <v>3.35006045E8</v>
      </c>
      <c r="S396" s="118">
        <v>45957.0</v>
      </c>
      <c r="T396" s="116" t="s">
        <v>3160</v>
      </c>
      <c r="U396" s="27" t="s">
        <v>3161</v>
      </c>
      <c r="V396" s="27" t="s">
        <v>1036</v>
      </c>
      <c r="W396" s="33" t="s">
        <v>3162</v>
      </c>
      <c r="X396" s="113" t="s">
        <v>301</v>
      </c>
      <c r="Y396" s="115" t="s">
        <v>3163</v>
      </c>
      <c r="Z396" s="26" t="s">
        <v>43</v>
      </c>
      <c r="AA396" s="27">
        <v>3.0</v>
      </c>
      <c r="AB396" s="117"/>
      <c r="AC396" s="20" t="s">
        <v>156</v>
      </c>
      <c r="AD396" s="31"/>
      <c r="AE396" s="31"/>
      <c r="AF396" s="26"/>
    </row>
    <row r="397" hidden="1">
      <c r="A397" s="20" t="s">
        <v>157</v>
      </c>
      <c r="B397" s="20" t="s">
        <v>158</v>
      </c>
      <c r="C397" s="20" t="s">
        <v>159</v>
      </c>
      <c r="D397" s="26" t="s">
        <v>142</v>
      </c>
      <c r="E397" s="128" t="s">
        <v>3164</v>
      </c>
      <c r="F397" s="129">
        <v>44411.0</v>
      </c>
      <c r="G397" s="128" t="s">
        <v>90</v>
      </c>
      <c r="H397" s="29">
        <f>IFERROR(__xludf.DUMMYFUNCTION("IF(ISDATE(S397), DATEDIF(S397, TODAY(), ""Y""), """")"),12.0)</f>
        <v>12</v>
      </c>
      <c r="I397" s="128" t="s">
        <v>3165</v>
      </c>
      <c r="J397" s="128" t="s">
        <v>47</v>
      </c>
      <c r="K397" s="131">
        <v>5.02300124E8</v>
      </c>
      <c r="L397" s="27" t="s">
        <v>92</v>
      </c>
      <c r="M397" s="128" t="s">
        <v>3166</v>
      </c>
      <c r="N397" s="128" t="s">
        <v>44</v>
      </c>
      <c r="O397" s="27"/>
      <c r="P397" s="131"/>
      <c r="Q397" s="27" t="s">
        <v>44</v>
      </c>
      <c r="R397" s="128">
        <v>3.3844029E8</v>
      </c>
      <c r="S397" s="132">
        <v>41495.0</v>
      </c>
      <c r="T397" s="128" t="s">
        <v>3167</v>
      </c>
      <c r="U397" s="27">
        <v>42829.0</v>
      </c>
      <c r="V397" s="27" t="s">
        <v>84</v>
      </c>
      <c r="W397" s="27">
        <v>5.02300124E8</v>
      </c>
      <c r="X397" s="128" t="s">
        <v>333</v>
      </c>
      <c r="Y397" s="128">
        <v>5.02300124E8</v>
      </c>
      <c r="Z397" s="26"/>
      <c r="AA397" s="34">
        <v>2.0</v>
      </c>
      <c r="AB397" s="134"/>
      <c r="AC397" s="35" t="s">
        <v>169</v>
      </c>
      <c r="AD397" s="31"/>
      <c r="AE397" s="31"/>
      <c r="AF397" s="31"/>
    </row>
    <row r="398" hidden="1">
      <c r="A398" s="135" t="s">
        <v>157</v>
      </c>
      <c r="B398" s="25" t="s">
        <v>140</v>
      </c>
      <c r="C398" s="25" t="s">
        <v>238</v>
      </c>
      <c r="D398" s="37" t="s">
        <v>3168</v>
      </c>
      <c r="E398" s="92" t="s">
        <v>3169</v>
      </c>
      <c r="F398" s="111" t="s">
        <v>1486</v>
      </c>
      <c r="G398" s="92" t="s">
        <v>31</v>
      </c>
      <c r="H398" s="22">
        <f>IFERROR(__xludf.DUMMYFUNCTION("IF(ISDATE(S398), DATEDIF(S398, TODAY(), ""Y""), """")"),14.0)</f>
        <v>14</v>
      </c>
      <c r="I398" s="127"/>
      <c r="J398" s="92" t="s">
        <v>3170</v>
      </c>
      <c r="K398" s="127"/>
      <c r="L398" s="20" t="s">
        <v>610</v>
      </c>
      <c r="M398" s="111" t="s">
        <v>3171</v>
      </c>
      <c r="N398" s="92" t="s">
        <v>36</v>
      </c>
      <c r="O398" s="39"/>
      <c r="P398" s="127"/>
      <c r="Q398" s="20" t="s">
        <v>3172</v>
      </c>
      <c r="R398" s="111">
        <v>3.35092789E8</v>
      </c>
      <c r="S398" s="126">
        <v>40830.0</v>
      </c>
      <c r="T398" s="92" t="s">
        <v>244</v>
      </c>
      <c r="U398" s="20" t="s">
        <v>3173</v>
      </c>
      <c r="V398" s="20" t="s">
        <v>3174</v>
      </c>
      <c r="W398" s="25">
        <v>5.45541958E8</v>
      </c>
      <c r="X398" s="92" t="s">
        <v>2430</v>
      </c>
      <c r="Y398" s="111">
        <v>5.4559968E8</v>
      </c>
      <c r="Z398" s="26" t="s">
        <v>43</v>
      </c>
      <c r="AA398" s="25">
        <v>2.0</v>
      </c>
      <c r="AB398" s="92" t="s">
        <v>3175</v>
      </c>
      <c r="AC398" s="25" t="s">
        <v>169</v>
      </c>
      <c r="AD398" s="20"/>
      <c r="AE398" s="39"/>
      <c r="AF398" s="39"/>
    </row>
    <row r="399" hidden="1">
      <c r="A399" s="108" t="s">
        <v>157</v>
      </c>
      <c r="B399" s="20" t="s">
        <v>140</v>
      </c>
      <c r="C399" s="25" t="s">
        <v>238</v>
      </c>
      <c r="D399" s="37">
        <v>45845.0</v>
      </c>
      <c r="E399" s="243" t="s">
        <v>3176</v>
      </c>
      <c r="F399" s="244">
        <v>45810.0</v>
      </c>
      <c r="G399" s="139" t="s">
        <v>31</v>
      </c>
      <c r="H399" s="29">
        <f>IFERROR(__xludf.DUMMYFUNCTION("IF(ISDATE(S399), DATEDIF(S399, TODAY(), ""Y""), """")"),14.0)</f>
        <v>14</v>
      </c>
      <c r="I399" s="139" t="s">
        <v>3177</v>
      </c>
      <c r="J399" s="139" t="s">
        <v>846</v>
      </c>
      <c r="K399" s="168" t="s">
        <v>3178</v>
      </c>
      <c r="L399" s="39" t="s">
        <v>189</v>
      </c>
      <c r="M399" s="139" t="s">
        <v>3179</v>
      </c>
      <c r="N399" s="139" t="s">
        <v>36</v>
      </c>
      <c r="O399" s="39" t="s">
        <v>3180</v>
      </c>
      <c r="P399" s="139"/>
      <c r="Q399" s="39" t="s">
        <v>36</v>
      </c>
      <c r="R399" s="139">
        <v>3.35189585E8</v>
      </c>
      <c r="S399" s="163">
        <v>40616.0</v>
      </c>
      <c r="T399" s="139" t="s">
        <v>3181</v>
      </c>
      <c r="U399" s="39" t="s">
        <v>3182</v>
      </c>
      <c r="V399" s="39" t="s">
        <v>3183</v>
      </c>
      <c r="W399" s="39">
        <v>5.87148883E8</v>
      </c>
      <c r="X399" s="139" t="s">
        <v>3184</v>
      </c>
      <c r="Y399" s="168" t="s">
        <v>3185</v>
      </c>
      <c r="Z399" s="26" t="s">
        <v>43</v>
      </c>
      <c r="AA399" s="39">
        <v>1.0</v>
      </c>
      <c r="AB399" s="139"/>
      <c r="AC399" s="20" t="s">
        <v>156</v>
      </c>
      <c r="AD399" s="39"/>
      <c r="AE399" s="39"/>
      <c r="AF399" s="20" t="s">
        <v>3186</v>
      </c>
    </row>
    <row r="400" hidden="1">
      <c r="A400" s="20" t="s">
        <v>157</v>
      </c>
      <c r="B400" s="20" t="s">
        <v>158</v>
      </c>
      <c r="C400" s="20" t="s">
        <v>159</v>
      </c>
      <c r="D400" s="26" t="s">
        <v>142</v>
      </c>
      <c r="E400" s="113" t="s">
        <v>3187</v>
      </c>
      <c r="F400" s="137" t="s">
        <v>3188</v>
      </c>
      <c r="G400" s="113" t="s">
        <v>31</v>
      </c>
      <c r="H400" s="29">
        <f>IFERROR(__xludf.DUMMYFUNCTION("IF(ISDATE(S400), DATEDIF(S400, TODAY(), ""Y""), """")"),11.0)</f>
        <v>11</v>
      </c>
      <c r="I400" s="113" t="s">
        <v>3189</v>
      </c>
      <c r="J400" s="113" t="s">
        <v>1225</v>
      </c>
      <c r="K400" s="119"/>
      <c r="L400" s="27" t="s">
        <v>92</v>
      </c>
      <c r="M400" s="113" t="s">
        <v>3190</v>
      </c>
      <c r="N400" s="113" t="s">
        <v>44</v>
      </c>
      <c r="O400" s="27"/>
      <c r="P400" s="119"/>
      <c r="Q400" s="27" t="s">
        <v>44</v>
      </c>
      <c r="R400" s="113">
        <v>3.38566821E8</v>
      </c>
      <c r="S400" s="118">
        <v>41692.0</v>
      </c>
      <c r="T400" s="113" t="s">
        <v>38</v>
      </c>
      <c r="U400" s="27"/>
      <c r="V400" s="27" t="s">
        <v>3191</v>
      </c>
      <c r="W400" s="27"/>
      <c r="X400" s="113" t="s">
        <v>3192</v>
      </c>
      <c r="Y400" s="113">
        <v>5.34245143E8</v>
      </c>
      <c r="Z400" s="26" t="s">
        <v>43</v>
      </c>
      <c r="AA400" s="34">
        <v>5.0</v>
      </c>
      <c r="AB400" s="116"/>
      <c r="AC400" s="20" t="s">
        <v>169</v>
      </c>
      <c r="AD400" s="31"/>
      <c r="AE400" s="31"/>
      <c r="AF400" s="31"/>
    </row>
    <row r="401" hidden="1">
      <c r="A401" s="20" t="s">
        <v>157</v>
      </c>
      <c r="B401" s="20" t="s">
        <v>158</v>
      </c>
      <c r="C401" s="20" t="s">
        <v>159</v>
      </c>
      <c r="D401" s="37" t="s">
        <v>1283</v>
      </c>
      <c r="E401" s="120" t="s">
        <v>3193</v>
      </c>
      <c r="F401" s="130" t="s">
        <v>1285</v>
      </c>
      <c r="G401" s="120" t="s">
        <v>31</v>
      </c>
      <c r="H401" s="29">
        <f>IFERROR(__xludf.DUMMYFUNCTION("IF(ISDATE(S401), DATEDIF(S401, TODAY(), ""Y""), """")"),11.0)</f>
        <v>11</v>
      </c>
      <c r="I401" s="139"/>
      <c r="J401" s="120" t="s">
        <v>2929</v>
      </c>
      <c r="K401" s="139"/>
      <c r="L401" s="20" t="s">
        <v>92</v>
      </c>
      <c r="M401" s="120" t="s">
        <v>141</v>
      </c>
      <c r="N401" s="120" t="s">
        <v>44</v>
      </c>
      <c r="O401" s="20" t="s">
        <v>1287</v>
      </c>
      <c r="P401" s="122" t="s">
        <v>3194</v>
      </c>
      <c r="Q401" s="20" t="s">
        <v>44</v>
      </c>
      <c r="R401" s="122">
        <v>3.38573199E8</v>
      </c>
      <c r="S401" s="121">
        <v>41701.0</v>
      </c>
      <c r="T401" s="120" t="s">
        <v>38</v>
      </c>
      <c r="U401" s="25" t="s">
        <v>3195</v>
      </c>
      <c r="V401" s="20" t="s">
        <v>585</v>
      </c>
      <c r="W401" s="25">
        <v>5.06661181E8</v>
      </c>
      <c r="X401" s="120" t="s">
        <v>1031</v>
      </c>
      <c r="Y401" s="122">
        <v>5.23649418E8</v>
      </c>
      <c r="Z401" s="26" t="s">
        <v>1112</v>
      </c>
      <c r="AA401" s="25">
        <v>3.0</v>
      </c>
      <c r="AB401" s="120" t="s">
        <v>3196</v>
      </c>
      <c r="AC401" s="20" t="s">
        <v>156</v>
      </c>
      <c r="AD401" s="39"/>
      <c r="AE401" s="39"/>
      <c r="AF401" s="39"/>
    </row>
    <row r="402" hidden="1">
      <c r="A402" s="20" t="s">
        <v>157</v>
      </c>
      <c r="B402" s="20" t="s">
        <v>158</v>
      </c>
      <c r="C402" s="20" t="s">
        <v>159</v>
      </c>
      <c r="D402" s="26" t="s">
        <v>142</v>
      </c>
      <c r="E402" s="113" t="s">
        <v>3197</v>
      </c>
      <c r="F402" s="137" t="s">
        <v>3198</v>
      </c>
      <c r="G402" s="113" t="s">
        <v>31</v>
      </c>
      <c r="H402" s="29">
        <f>IFERROR(__xludf.DUMMYFUNCTION("IF(ISDATE(S402), DATEDIF(S402, TODAY(), ""Y""), """")"),12.0)</f>
        <v>12</v>
      </c>
      <c r="I402" s="113" t="s">
        <v>3199</v>
      </c>
      <c r="J402" s="113" t="s">
        <v>225</v>
      </c>
      <c r="K402" s="119"/>
      <c r="L402" s="27" t="s">
        <v>164</v>
      </c>
      <c r="M402" s="113" t="s">
        <v>3200</v>
      </c>
      <c r="N402" s="113" t="s">
        <v>44</v>
      </c>
      <c r="O402" s="27"/>
      <c r="P402" s="119"/>
      <c r="Q402" s="27" t="s">
        <v>3201</v>
      </c>
      <c r="R402" s="113">
        <v>3.38697519E8</v>
      </c>
      <c r="S402" s="118">
        <v>41604.0</v>
      </c>
      <c r="T402" s="113" t="s">
        <v>3202</v>
      </c>
      <c r="U402" s="27">
        <v>44110.0</v>
      </c>
      <c r="V402" s="27" t="s">
        <v>789</v>
      </c>
      <c r="W402" s="27">
        <v>5.44440703E8</v>
      </c>
      <c r="X402" s="113" t="s">
        <v>3203</v>
      </c>
      <c r="Y402" s="113">
        <v>5.09282624E8</v>
      </c>
      <c r="Z402" s="26" t="s">
        <v>43</v>
      </c>
      <c r="AA402" s="34">
        <v>4.0</v>
      </c>
      <c r="AB402" s="116"/>
      <c r="AC402" s="35" t="s">
        <v>169</v>
      </c>
      <c r="AD402" s="31"/>
      <c r="AE402" s="31"/>
      <c r="AF402" s="31"/>
    </row>
    <row r="403" hidden="1">
      <c r="A403" s="20" t="s">
        <v>157</v>
      </c>
      <c r="B403" s="20" t="s">
        <v>158</v>
      </c>
      <c r="C403" s="20" t="s">
        <v>159</v>
      </c>
      <c r="D403" s="26" t="s">
        <v>142</v>
      </c>
      <c r="E403" s="128" t="s">
        <v>3204</v>
      </c>
      <c r="F403" s="129" t="s">
        <v>3205</v>
      </c>
      <c r="G403" s="128" t="s">
        <v>31</v>
      </c>
      <c r="H403" s="29">
        <f>IFERROR(__xludf.DUMMYFUNCTION("IF(ISDATE(S403), DATEDIF(S403, TODAY(), ""Y""), """")"),11.0)</f>
        <v>11</v>
      </c>
      <c r="I403" s="128" t="s">
        <v>3206</v>
      </c>
      <c r="J403" s="128" t="s">
        <v>779</v>
      </c>
      <c r="K403" s="131">
        <v>5.52421444E8</v>
      </c>
      <c r="L403" s="27" t="s">
        <v>92</v>
      </c>
      <c r="M403" s="128" t="s">
        <v>3207</v>
      </c>
      <c r="N403" s="128" t="s">
        <v>44</v>
      </c>
      <c r="O403" s="27"/>
      <c r="P403" s="131"/>
      <c r="Q403" s="27" t="s">
        <v>44</v>
      </c>
      <c r="R403" s="128">
        <v>3.38737018E8</v>
      </c>
      <c r="S403" s="132">
        <v>41874.0</v>
      </c>
      <c r="T403" s="128" t="s">
        <v>3208</v>
      </c>
      <c r="U403" s="27">
        <v>44472.0</v>
      </c>
      <c r="V403" s="27" t="s">
        <v>2244</v>
      </c>
      <c r="W403" s="27">
        <v>5.23228944E8</v>
      </c>
      <c r="X403" s="128" t="s">
        <v>3209</v>
      </c>
      <c r="Y403" s="128">
        <v>5.28693309E8</v>
      </c>
      <c r="Z403" s="26" t="s">
        <v>43</v>
      </c>
      <c r="AA403" s="34">
        <v>2.0</v>
      </c>
      <c r="AB403" s="134"/>
      <c r="AC403" s="35" t="s">
        <v>169</v>
      </c>
      <c r="AD403" s="31"/>
      <c r="AE403" s="31"/>
      <c r="AF403" s="31"/>
    </row>
    <row r="404" hidden="1">
      <c r="A404" s="108" t="s">
        <v>157</v>
      </c>
      <c r="B404" s="20" t="s">
        <v>140</v>
      </c>
      <c r="C404" s="20" t="s">
        <v>141</v>
      </c>
      <c r="D404" s="37">
        <v>45946.0</v>
      </c>
      <c r="E404" s="92" t="s">
        <v>3210</v>
      </c>
      <c r="F404" s="111"/>
      <c r="G404" s="92" t="s">
        <v>90</v>
      </c>
      <c r="H404" s="22">
        <f>IFERROR(__xludf.DUMMYFUNCTION("IF(ISDATE(S404), DATEDIF(S404, TODAY(), ""Y""), """")"),14.0)</f>
        <v>14</v>
      </c>
      <c r="I404" s="127"/>
      <c r="J404" s="92" t="s">
        <v>487</v>
      </c>
      <c r="K404" s="127"/>
      <c r="L404" s="20" t="s">
        <v>92</v>
      </c>
      <c r="M404" s="92" t="s">
        <v>3211</v>
      </c>
      <c r="N404" s="92" t="s">
        <v>44</v>
      </c>
      <c r="O404" s="20" t="s">
        <v>3212</v>
      </c>
      <c r="P404" s="127"/>
      <c r="Q404" s="20" t="s">
        <v>44</v>
      </c>
      <c r="R404" s="111">
        <v>3.3547581E8</v>
      </c>
      <c r="S404" s="126">
        <v>40788.0</v>
      </c>
      <c r="T404" s="92" t="s">
        <v>38</v>
      </c>
      <c r="U404" s="39"/>
      <c r="V404" s="20" t="s">
        <v>3213</v>
      </c>
      <c r="W404" s="22">
        <v>5.38878855E8</v>
      </c>
      <c r="X404" s="92" t="s">
        <v>3214</v>
      </c>
      <c r="Y404" s="111">
        <v>5.08878855E8</v>
      </c>
      <c r="Z404" s="26" t="s">
        <v>43</v>
      </c>
      <c r="AA404" s="25">
        <v>5.0</v>
      </c>
      <c r="AB404" s="92" t="s">
        <v>3215</v>
      </c>
      <c r="AC404" s="20" t="s">
        <v>169</v>
      </c>
      <c r="AD404" s="20" t="s">
        <v>3216</v>
      </c>
      <c r="AE404" s="20"/>
      <c r="AF404" s="20" t="s">
        <v>3217</v>
      </c>
    </row>
    <row r="405" hidden="1">
      <c r="A405" s="20" t="s">
        <v>157</v>
      </c>
      <c r="B405" s="20" t="s">
        <v>158</v>
      </c>
      <c r="C405" s="20" t="s">
        <v>159</v>
      </c>
      <c r="D405" s="37">
        <v>45937.0</v>
      </c>
      <c r="E405" s="120" t="s">
        <v>3218</v>
      </c>
      <c r="F405" s="158">
        <v>44567.0</v>
      </c>
      <c r="G405" s="120" t="s">
        <v>90</v>
      </c>
      <c r="H405" s="29">
        <f>IFERROR(__xludf.DUMMYFUNCTION("IF(ISDATE(S405), DATEDIF(S405, TODAY(), ""Y""), """")"),11.0)</f>
        <v>11</v>
      </c>
      <c r="I405" s="120" t="s">
        <v>3219</v>
      </c>
      <c r="J405" s="120" t="s">
        <v>487</v>
      </c>
      <c r="K405" s="122">
        <v>5.33255852E8</v>
      </c>
      <c r="L405" s="20" t="s">
        <v>92</v>
      </c>
      <c r="M405" s="120" t="s">
        <v>3220</v>
      </c>
      <c r="N405" s="120" t="s">
        <v>44</v>
      </c>
      <c r="O405" s="39"/>
      <c r="P405" s="120" t="s">
        <v>3221</v>
      </c>
      <c r="Q405" s="20" t="s">
        <v>44</v>
      </c>
      <c r="R405" s="122">
        <v>3.39009748E8</v>
      </c>
      <c r="S405" s="121">
        <v>41771.0</v>
      </c>
      <c r="T405" s="120" t="s">
        <v>3222</v>
      </c>
      <c r="U405" s="38">
        <v>44745.0</v>
      </c>
      <c r="V405" s="20" t="s">
        <v>3223</v>
      </c>
      <c r="W405" s="25">
        <v>5.04074218E8</v>
      </c>
      <c r="X405" s="120" t="s">
        <v>672</v>
      </c>
      <c r="Y405" s="122">
        <v>5.06866215E8</v>
      </c>
      <c r="Z405" s="26" t="s">
        <v>43</v>
      </c>
      <c r="AA405" s="25">
        <v>2.0</v>
      </c>
      <c r="AB405" s="120" t="s">
        <v>3224</v>
      </c>
      <c r="AC405" s="20" t="s">
        <v>156</v>
      </c>
      <c r="AD405" s="39"/>
      <c r="AE405" s="39"/>
      <c r="AF405" s="39"/>
    </row>
    <row r="406" hidden="1">
      <c r="A406" s="20" t="s">
        <v>157</v>
      </c>
      <c r="B406" s="20" t="s">
        <v>158</v>
      </c>
      <c r="C406" s="20" t="s">
        <v>159</v>
      </c>
      <c r="D406" s="26" t="s">
        <v>142</v>
      </c>
      <c r="E406" s="113" t="s">
        <v>3225</v>
      </c>
      <c r="F406" s="137" t="s">
        <v>3226</v>
      </c>
      <c r="G406" s="113" t="s">
        <v>90</v>
      </c>
      <c r="H406" s="29">
        <f>IFERROR(__xludf.DUMMYFUNCTION("IF(ISDATE(S406), DATEDIF(S406, TODAY(), ""Y""), """")"),11.0)</f>
        <v>11</v>
      </c>
      <c r="I406" s="113" t="s">
        <v>3227</v>
      </c>
      <c r="J406" s="113" t="s">
        <v>145</v>
      </c>
      <c r="K406" s="119">
        <v>5.25642018E8</v>
      </c>
      <c r="L406" s="27" t="s">
        <v>92</v>
      </c>
      <c r="M406" s="113" t="s">
        <v>704</v>
      </c>
      <c r="N406" s="113" t="s">
        <v>44</v>
      </c>
      <c r="O406" s="27"/>
      <c r="P406" s="119"/>
      <c r="Q406" s="27" t="s">
        <v>3228</v>
      </c>
      <c r="R406" s="113">
        <v>3.39017873E8</v>
      </c>
      <c r="S406" s="118">
        <v>41891.0</v>
      </c>
      <c r="T406" s="113" t="s">
        <v>3229</v>
      </c>
      <c r="U406" s="27">
        <v>43914.0</v>
      </c>
      <c r="V406" s="27" t="s">
        <v>202</v>
      </c>
      <c r="W406" s="27">
        <v>5.25642019E8</v>
      </c>
      <c r="X406" s="113" t="s">
        <v>745</v>
      </c>
      <c r="Y406" s="113">
        <v>5.25642018E8</v>
      </c>
      <c r="Z406" s="26" t="s">
        <v>43</v>
      </c>
      <c r="AA406" s="34">
        <v>5.0</v>
      </c>
      <c r="AB406" s="116"/>
      <c r="AC406" s="35" t="s">
        <v>169</v>
      </c>
      <c r="AD406" s="31"/>
      <c r="AE406" s="31"/>
      <c r="AF406" s="31"/>
    </row>
    <row r="407" hidden="1">
      <c r="A407" s="20" t="s">
        <v>157</v>
      </c>
      <c r="B407" s="20" t="s">
        <v>158</v>
      </c>
      <c r="C407" s="20" t="s">
        <v>159</v>
      </c>
      <c r="D407" s="26" t="s">
        <v>142</v>
      </c>
      <c r="E407" s="128" t="s">
        <v>3230</v>
      </c>
      <c r="F407" s="129">
        <v>44872.0</v>
      </c>
      <c r="G407" s="128" t="s">
        <v>90</v>
      </c>
      <c r="H407" s="29">
        <f>IFERROR(__xludf.DUMMYFUNCTION("IF(ISDATE(S407), DATEDIF(S407, TODAY(), ""Y""), """")"),9.0)</f>
        <v>9</v>
      </c>
      <c r="I407" s="128" t="s">
        <v>3231</v>
      </c>
      <c r="J407" s="128" t="s">
        <v>180</v>
      </c>
      <c r="K407" s="131">
        <v>5.42550687E8</v>
      </c>
      <c r="L407" s="27" t="s">
        <v>92</v>
      </c>
      <c r="M407" s="128" t="s">
        <v>3232</v>
      </c>
      <c r="N407" s="128" t="s">
        <v>44</v>
      </c>
      <c r="O407" s="27"/>
      <c r="P407" s="131"/>
      <c r="Q407" s="27" t="s">
        <v>44</v>
      </c>
      <c r="R407" s="128">
        <v>3.39078784E8</v>
      </c>
      <c r="S407" s="132">
        <v>42647.0</v>
      </c>
      <c r="T407" s="128" t="s">
        <v>38</v>
      </c>
      <c r="U407" s="27">
        <v>44871.0</v>
      </c>
      <c r="V407" s="27" t="s">
        <v>40</v>
      </c>
      <c r="W407" s="27">
        <v>5.04470066E8</v>
      </c>
      <c r="X407" s="128" t="s">
        <v>869</v>
      </c>
      <c r="Y407" s="128">
        <v>5.42550687E8</v>
      </c>
      <c r="Z407" s="26" t="s">
        <v>1112</v>
      </c>
      <c r="AA407" s="34">
        <v>3.0</v>
      </c>
      <c r="AB407" s="134"/>
      <c r="AC407" s="20" t="s">
        <v>169</v>
      </c>
      <c r="AD407" s="31"/>
      <c r="AE407" s="31"/>
      <c r="AF407" s="31"/>
    </row>
    <row r="408" hidden="1">
      <c r="A408" s="20" t="s">
        <v>157</v>
      </c>
      <c r="B408" s="20" t="s">
        <v>158</v>
      </c>
      <c r="C408" s="20" t="s">
        <v>159</v>
      </c>
      <c r="D408" s="26" t="s">
        <v>142</v>
      </c>
      <c r="E408" s="113" t="s">
        <v>3233</v>
      </c>
      <c r="F408" s="137" t="s">
        <v>1506</v>
      </c>
      <c r="G408" s="113" t="s">
        <v>31</v>
      </c>
      <c r="H408" s="29">
        <f>IFERROR(__xludf.DUMMYFUNCTION("IF(ISDATE(S408), DATEDIF(S408, TODAY(), ""Y""), """")"),11.0)</f>
        <v>11</v>
      </c>
      <c r="I408" s="113" t="s">
        <v>3234</v>
      </c>
      <c r="J408" s="113" t="s">
        <v>3235</v>
      </c>
      <c r="K408" s="119">
        <v>5.48442714E8</v>
      </c>
      <c r="L408" s="27" t="s">
        <v>164</v>
      </c>
      <c r="M408" s="113" t="s">
        <v>686</v>
      </c>
      <c r="N408" s="113" t="s">
        <v>44</v>
      </c>
      <c r="O408" s="27"/>
      <c r="P408" s="119"/>
      <c r="Q408" s="27" t="s">
        <v>44</v>
      </c>
      <c r="R408" s="113">
        <v>3.39141137E8</v>
      </c>
      <c r="S408" s="118">
        <v>41803.0</v>
      </c>
      <c r="T408" s="113" t="s">
        <v>3236</v>
      </c>
      <c r="U408" s="27">
        <v>43104.0</v>
      </c>
      <c r="V408" s="27" t="s">
        <v>3237</v>
      </c>
      <c r="W408" s="27">
        <v>5.06877573E8</v>
      </c>
      <c r="X408" s="113" t="s">
        <v>1363</v>
      </c>
      <c r="Y408" s="113">
        <v>5.48442714E8</v>
      </c>
      <c r="Z408" s="26" t="s">
        <v>43</v>
      </c>
      <c r="AA408" s="34">
        <v>3.0</v>
      </c>
      <c r="AB408" s="116"/>
      <c r="AC408" s="20" t="s">
        <v>169</v>
      </c>
      <c r="AD408" s="31"/>
      <c r="AE408" s="31"/>
      <c r="AF408" s="31"/>
    </row>
    <row r="409" hidden="1">
      <c r="A409" s="20" t="s">
        <v>157</v>
      </c>
      <c r="B409" s="20" t="s">
        <v>158</v>
      </c>
      <c r="C409" s="20" t="s">
        <v>159</v>
      </c>
      <c r="D409" s="26" t="s">
        <v>142</v>
      </c>
      <c r="E409" s="128" t="s">
        <v>3238</v>
      </c>
      <c r="F409" s="129" t="s">
        <v>713</v>
      </c>
      <c r="G409" s="128" t="s">
        <v>31</v>
      </c>
      <c r="H409" s="29">
        <f>IFERROR(__xludf.DUMMYFUNCTION("IF(ISDATE(S409), DATEDIF(S409, TODAY(), ""Y""), """")"),9.0)</f>
        <v>9</v>
      </c>
      <c r="I409" s="128" t="s">
        <v>3239</v>
      </c>
      <c r="J409" s="128" t="s">
        <v>430</v>
      </c>
      <c r="K409" s="131">
        <v>5.46747549E8</v>
      </c>
      <c r="L409" s="27" t="s">
        <v>649</v>
      </c>
      <c r="M409" s="128" t="s">
        <v>3240</v>
      </c>
      <c r="N409" s="128" t="s">
        <v>44</v>
      </c>
      <c r="O409" s="27"/>
      <c r="P409" s="131"/>
      <c r="Q409" s="27" t="s">
        <v>44</v>
      </c>
      <c r="R409" s="128">
        <v>3.39182875E8</v>
      </c>
      <c r="S409" s="132">
        <v>42383.0</v>
      </c>
      <c r="T409" s="128" t="s">
        <v>244</v>
      </c>
      <c r="U409" s="27">
        <v>44156.0</v>
      </c>
      <c r="V409" s="27" t="s">
        <v>3241</v>
      </c>
      <c r="W409" s="27">
        <v>5.23670749E8</v>
      </c>
      <c r="X409" s="128" t="s">
        <v>1320</v>
      </c>
      <c r="Y409" s="128">
        <v>5.46747549E8</v>
      </c>
      <c r="Z409" s="26" t="s">
        <v>1429</v>
      </c>
      <c r="AA409" s="34">
        <v>1.0</v>
      </c>
      <c r="AB409" s="134"/>
      <c r="AC409" s="35" t="s">
        <v>169</v>
      </c>
      <c r="AD409" s="31"/>
      <c r="AE409" s="31"/>
      <c r="AF409" s="31"/>
    </row>
    <row r="410" hidden="1">
      <c r="A410" s="20" t="s">
        <v>157</v>
      </c>
      <c r="B410" s="20" t="s">
        <v>158</v>
      </c>
      <c r="C410" s="20" t="s">
        <v>159</v>
      </c>
      <c r="D410" s="26" t="s">
        <v>142</v>
      </c>
      <c r="E410" s="113" t="s">
        <v>3242</v>
      </c>
      <c r="F410" s="137" t="s">
        <v>3243</v>
      </c>
      <c r="G410" s="113" t="s">
        <v>90</v>
      </c>
      <c r="H410" s="29">
        <f>IFERROR(__xludf.DUMMYFUNCTION("IF(ISDATE(S410), DATEDIF(S410, TODAY(), ""Y""), """")"),11.0)</f>
        <v>11</v>
      </c>
      <c r="I410" s="113" t="s">
        <v>3244</v>
      </c>
      <c r="J410" s="113" t="s">
        <v>2844</v>
      </c>
      <c r="K410" s="119"/>
      <c r="L410" s="27" t="s">
        <v>92</v>
      </c>
      <c r="M410" s="113" t="s">
        <v>3245</v>
      </c>
      <c r="N410" s="113" t="s">
        <v>44</v>
      </c>
      <c r="O410" s="27"/>
      <c r="P410" s="119"/>
      <c r="Q410" s="27" t="s">
        <v>44</v>
      </c>
      <c r="R410" s="113">
        <v>3.39320632E8</v>
      </c>
      <c r="S410" s="118">
        <v>41958.0</v>
      </c>
      <c r="T410" s="113" t="s">
        <v>38</v>
      </c>
      <c r="U410" s="27">
        <v>44470.0</v>
      </c>
      <c r="V410" s="27" t="s">
        <v>3246</v>
      </c>
      <c r="W410" s="27">
        <v>5.42572896E8</v>
      </c>
      <c r="X410" s="113" t="s">
        <v>1686</v>
      </c>
      <c r="Y410" s="113">
        <v>5.02618279E8</v>
      </c>
      <c r="Z410" s="26" t="s">
        <v>43</v>
      </c>
      <c r="AA410" s="34">
        <v>2.0</v>
      </c>
      <c r="AB410" s="116"/>
      <c r="AC410" s="20" t="s">
        <v>169</v>
      </c>
      <c r="AD410" s="31"/>
      <c r="AE410" s="31"/>
      <c r="AF410" s="31"/>
    </row>
    <row r="411" hidden="1">
      <c r="A411" s="20" t="s">
        <v>157</v>
      </c>
      <c r="B411" s="20" t="s">
        <v>158</v>
      </c>
      <c r="C411" s="20" t="s">
        <v>159</v>
      </c>
      <c r="D411" s="26" t="s">
        <v>142</v>
      </c>
      <c r="E411" s="128" t="s">
        <v>3247</v>
      </c>
      <c r="F411" s="129" t="s">
        <v>3248</v>
      </c>
      <c r="G411" s="128" t="s">
        <v>90</v>
      </c>
      <c r="H411" s="29">
        <f>IFERROR(__xludf.DUMMYFUNCTION("IF(ISDATE(S411), DATEDIF(S411, TODAY(), ""Y""), """")"),10.0)</f>
        <v>10</v>
      </c>
      <c r="I411" s="128" t="s">
        <v>3249</v>
      </c>
      <c r="J411" s="128" t="s">
        <v>779</v>
      </c>
      <c r="K411" s="131">
        <v>5.08161852E8</v>
      </c>
      <c r="L411" s="27" t="s">
        <v>92</v>
      </c>
      <c r="M411" s="128"/>
      <c r="N411" s="128" t="s">
        <v>44</v>
      </c>
      <c r="O411" s="27"/>
      <c r="P411" s="131"/>
      <c r="Q411" s="27" t="s">
        <v>36</v>
      </c>
      <c r="R411" s="128">
        <v>3.39594798E8</v>
      </c>
      <c r="S411" s="132">
        <v>42124.0</v>
      </c>
      <c r="T411" s="128" t="s">
        <v>38</v>
      </c>
      <c r="U411" s="27">
        <v>44861.0</v>
      </c>
      <c r="V411" s="27" t="s">
        <v>957</v>
      </c>
      <c r="W411" s="27">
        <v>5.23745325E8</v>
      </c>
      <c r="X411" s="128" t="s">
        <v>3250</v>
      </c>
      <c r="Y411" s="128">
        <v>5.08161852E8</v>
      </c>
      <c r="Z411" s="26" t="s">
        <v>43</v>
      </c>
      <c r="AA411" s="34">
        <v>2.0</v>
      </c>
      <c r="AB411" s="134"/>
      <c r="AC411" s="20" t="s">
        <v>169</v>
      </c>
      <c r="AD411" s="31"/>
      <c r="AE411" s="31"/>
      <c r="AF411" s="31"/>
    </row>
    <row r="412" hidden="1">
      <c r="A412" s="20" t="s">
        <v>157</v>
      </c>
      <c r="B412" s="20" t="s">
        <v>158</v>
      </c>
      <c r="C412" s="20" t="s">
        <v>159</v>
      </c>
      <c r="D412" s="26" t="s">
        <v>142</v>
      </c>
      <c r="E412" s="113" t="s">
        <v>3251</v>
      </c>
      <c r="F412" s="137">
        <v>44318.0</v>
      </c>
      <c r="G412" s="113" t="s">
        <v>90</v>
      </c>
      <c r="H412" s="29">
        <f>IFERROR(__xludf.DUMMYFUNCTION("IF(ISDATE(S412), DATEDIF(S412, TODAY(), ""Y""), """")"),9.0)</f>
        <v>9</v>
      </c>
      <c r="I412" s="113" t="s">
        <v>3252</v>
      </c>
      <c r="J412" s="113" t="s">
        <v>3253</v>
      </c>
      <c r="K412" s="119"/>
      <c r="L412" s="27" t="s">
        <v>92</v>
      </c>
      <c r="M412" s="113" t="s">
        <v>3254</v>
      </c>
      <c r="N412" s="113" t="s">
        <v>44</v>
      </c>
      <c r="O412" s="27"/>
      <c r="P412" s="119"/>
      <c r="Q412" s="27" t="s">
        <v>36</v>
      </c>
      <c r="R412" s="113">
        <v>3.39816894E8</v>
      </c>
      <c r="S412" s="118">
        <v>42642.0</v>
      </c>
      <c r="T412" s="113" t="s">
        <v>244</v>
      </c>
      <c r="U412" s="27">
        <v>44217.0</v>
      </c>
      <c r="V412" s="27" t="s">
        <v>3255</v>
      </c>
      <c r="W412" s="27">
        <v>5.33397754E8</v>
      </c>
      <c r="X412" s="113" t="s">
        <v>3256</v>
      </c>
      <c r="Y412" s="113">
        <v>5.56697606E8</v>
      </c>
      <c r="Z412" s="26" t="s">
        <v>43</v>
      </c>
      <c r="AA412" s="34"/>
      <c r="AB412" s="116"/>
      <c r="AC412" s="20" t="s">
        <v>169</v>
      </c>
      <c r="AD412" s="31"/>
      <c r="AE412" s="31"/>
      <c r="AF412" s="31"/>
    </row>
    <row r="413" hidden="1">
      <c r="A413" s="20" t="s">
        <v>157</v>
      </c>
      <c r="B413" s="20" t="s">
        <v>158</v>
      </c>
      <c r="C413" s="20" t="s">
        <v>159</v>
      </c>
      <c r="D413" s="26" t="s">
        <v>142</v>
      </c>
      <c r="E413" s="128" t="s">
        <v>1485</v>
      </c>
      <c r="F413" s="129"/>
      <c r="G413" s="128" t="s">
        <v>31</v>
      </c>
      <c r="H413" s="29">
        <f>IFERROR(__xludf.DUMMYFUNCTION("IF(ISDATE(S413), DATEDIF(S413, TODAY(), ""Y""), """")"),10.0)</f>
        <v>10</v>
      </c>
      <c r="I413" s="128"/>
      <c r="J413" s="128" t="s">
        <v>3257</v>
      </c>
      <c r="K413" s="131"/>
      <c r="L413" s="27" t="s">
        <v>92</v>
      </c>
      <c r="M413" s="128" t="s">
        <v>3258</v>
      </c>
      <c r="N413" s="128" t="s">
        <v>44</v>
      </c>
      <c r="O413" s="27"/>
      <c r="P413" s="131"/>
      <c r="Q413" s="27" t="s">
        <v>44</v>
      </c>
      <c r="R413" s="128">
        <v>3.39950875E8</v>
      </c>
      <c r="S413" s="132">
        <v>42189.0</v>
      </c>
      <c r="T413" s="128" t="s">
        <v>38</v>
      </c>
      <c r="U413" s="27">
        <v>45147.0</v>
      </c>
      <c r="V413" s="27" t="s">
        <v>3259</v>
      </c>
      <c r="W413" s="27">
        <v>5.4E8</v>
      </c>
      <c r="X413" s="128" t="s">
        <v>3260</v>
      </c>
      <c r="Y413" s="128">
        <v>5.45419984E8</v>
      </c>
      <c r="Z413" s="26" t="s">
        <v>123</v>
      </c>
      <c r="AA413" s="34">
        <v>1.0</v>
      </c>
      <c r="AB413" s="134"/>
      <c r="AC413" s="20" t="s">
        <v>169</v>
      </c>
      <c r="AD413" s="31"/>
      <c r="AE413" s="31"/>
      <c r="AF413" s="31"/>
    </row>
    <row r="414" hidden="1">
      <c r="A414" s="135" t="s">
        <v>157</v>
      </c>
      <c r="B414" s="20" t="s">
        <v>1143</v>
      </c>
      <c r="C414" s="20" t="s">
        <v>238</v>
      </c>
      <c r="D414" s="37">
        <v>45949.0</v>
      </c>
      <c r="E414" s="92" t="s">
        <v>3261</v>
      </c>
      <c r="F414" s="111" t="s">
        <v>1486</v>
      </c>
      <c r="G414" s="92" t="s">
        <v>90</v>
      </c>
      <c r="H414" s="22">
        <f>IFERROR(__xludf.DUMMYFUNCTION("IF(ISDATE(S414), DATEDIF(S414, TODAY(), ""Y""), """")"),3.0)</f>
        <v>3</v>
      </c>
      <c r="I414" s="127"/>
      <c r="J414" s="92" t="s">
        <v>590</v>
      </c>
      <c r="K414" s="127"/>
      <c r="L414" s="20" t="s">
        <v>610</v>
      </c>
      <c r="M414" s="92" t="s">
        <v>3262</v>
      </c>
      <c r="N414" s="92" t="s">
        <v>36</v>
      </c>
      <c r="O414" s="20"/>
      <c r="P414" s="127"/>
      <c r="Q414" s="39"/>
      <c r="R414" s="111">
        <v>2.37486659E8</v>
      </c>
      <c r="S414" s="126">
        <v>44902.0</v>
      </c>
      <c r="T414" s="92" t="s">
        <v>3263</v>
      </c>
      <c r="U414" s="25">
        <v>14.11</v>
      </c>
      <c r="V414" s="20" t="s">
        <v>3264</v>
      </c>
      <c r="W414" s="25">
        <v>5.2828608E8</v>
      </c>
      <c r="X414" s="92" t="s">
        <v>1127</v>
      </c>
      <c r="Y414" s="111">
        <v>5.27977858E8</v>
      </c>
      <c r="Z414" s="26" t="s">
        <v>43</v>
      </c>
      <c r="AA414" s="25">
        <v>3.0</v>
      </c>
      <c r="AB414" s="92" t="s">
        <v>3265</v>
      </c>
      <c r="AC414" s="20" t="s">
        <v>978</v>
      </c>
      <c r="AD414" s="20" t="s">
        <v>3266</v>
      </c>
      <c r="AE414" s="39"/>
      <c r="AF414" s="20" t="s">
        <v>3267</v>
      </c>
    </row>
    <row r="415" hidden="1">
      <c r="A415" s="20" t="s">
        <v>157</v>
      </c>
      <c r="B415" s="20" t="s">
        <v>158</v>
      </c>
      <c r="C415" s="20" t="s">
        <v>159</v>
      </c>
      <c r="D415" s="26" t="s">
        <v>142</v>
      </c>
      <c r="E415" s="128" t="s">
        <v>3268</v>
      </c>
      <c r="F415" s="129" t="s">
        <v>1001</v>
      </c>
      <c r="G415" s="128" t="s">
        <v>90</v>
      </c>
      <c r="H415" s="29">
        <f>IFERROR(__xludf.DUMMYFUNCTION("IF(ISDATE(S415), DATEDIF(S415, TODAY(), ""Y""), """")"),11.0)</f>
        <v>11</v>
      </c>
      <c r="I415" s="128" t="s">
        <v>3269</v>
      </c>
      <c r="J415" s="128" t="s">
        <v>3270</v>
      </c>
      <c r="K415" s="131"/>
      <c r="L415" s="27" t="s">
        <v>649</v>
      </c>
      <c r="M415" s="128" t="s">
        <v>2585</v>
      </c>
      <c r="N415" s="128" t="s">
        <v>44</v>
      </c>
      <c r="O415" s="27"/>
      <c r="P415" s="131"/>
      <c r="Q415" s="27" t="s">
        <v>44</v>
      </c>
      <c r="R415" s="128">
        <v>3.40155761E8</v>
      </c>
      <c r="S415" s="132">
        <v>41886.0</v>
      </c>
      <c r="T415" s="128" t="s">
        <v>3271</v>
      </c>
      <c r="U415" s="27">
        <v>43753.0</v>
      </c>
      <c r="V415" s="27" t="s">
        <v>2134</v>
      </c>
      <c r="W415" s="27">
        <v>5.271151E8</v>
      </c>
      <c r="X415" s="128" t="s">
        <v>1335</v>
      </c>
      <c r="Y415" s="128">
        <v>5.27657689E8</v>
      </c>
      <c r="Z415" s="26" t="s">
        <v>43</v>
      </c>
      <c r="AA415" s="34"/>
      <c r="AB415" s="134"/>
      <c r="AC415" s="20" t="s">
        <v>169</v>
      </c>
      <c r="AD415" s="31"/>
      <c r="AE415" s="31"/>
      <c r="AF415" s="31"/>
    </row>
    <row r="416" hidden="1">
      <c r="A416" s="84" t="s">
        <v>157</v>
      </c>
      <c r="B416" s="20" t="s">
        <v>158</v>
      </c>
      <c r="C416" s="20" t="s">
        <v>159</v>
      </c>
      <c r="D416" s="97" t="s">
        <v>2144</v>
      </c>
      <c r="E416" s="191" t="s">
        <v>3272</v>
      </c>
      <c r="F416" s="192">
        <v>45987.0</v>
      </c>
      <c r="G416" s="191" t="s">
        <v>31</v>
      </c>
      <c r="H416" s="100">
        <v>11.0</v>
      </c>
      <c r="I416" s="191" t="s">
        <v>3273</v>
      </c>
      <c r="J416" s="191" t="s">
        <v>656</v>
      </c>
      <c r="K416" s="194" t="s">
        <v>3274</v>
      </c>
      <c r="L416" s="98" t="s">
        <v>49</v>
      </c>
      <c r="M416" s="191" t="s">
        <v>2555</v>
      </c>
      <c r="N416" s="191" t="s">
        <v>44</v>
      </c>
      <c r="O416" s="98"/>
      <c r="P416" s="194" t="s">
        <v>727</v>
      </c>
      <c r="Q416" s="98" t="s">
        <v>44</v>
      </c>
      <c r="R416" s="193">
        <v>3.40165943E8</v>
      </c>
      <c r="S416" s="192">
        <v>41973.0</v>
      </c>
      <c r="T416" s="193" t="s">
        <v>1578</v>
      </c>
      <c r="U416" s="100" t="s">
        <v>3275</v>
      </c>
      <c r="V416" s="98" t="s">
        <v>3276</v>
      </c>
      <c r="W416" s="103" t="s">
        <v>3277</v>
      </c>
      <c r="X416" s="191" t="s">
        <v>1357</v>
      </c>
      <c r="Y416" s="195" t="s">
        <v>3278</v>
      </c>
      <c r="Z416" s="31" t="s">
        <v>43</v>
      </c>
      <c r="AA416" s="98">
        <v>4.0</v>
      </c>
      <c r="AB416" s="196"/>
      <c r="AC416" s="20" t="s">
        <v>156</v>
      </c>
      <c r="AD416" s="105"/>
      <c r="AE416" s="102"/>
      <c r="AF416" s="102"/>
    </row>
    <row r="417" hidden="1">
      <c r="A417" s="20" t="s">
        <v>157</v>
      </c>
      <c r="B417" s="20" t="s">
        <v>158</v>
      </c>
      <c r="C417" s="20" t="s">
        <v>159</v>
      </c>
      <c r="D417" s="26" t="s">
        <v>142</v>
      </c>
      <c r="E417" s="128" t="s">
        <v>3279</v>
      </c>
      <c r="F417" s="129" t="s">
        <v>1001</v>
      </c>
      <c r="G417" s="128" t="s">
        <v>90</v>
      </c>
      <c r="H417" s="29">
        <f>IFERROR(__xludf.DUMMYFUNCTION("IF(ISDATE(S417), DATEDIF(S417, TODAY(), ""Y""), """")"),10.0)</f>
        <v>10</v>
      </c>
      <c r="I417" s="128" t="s">
        <v>3280</v>
      </c>
      <c r="J417" s="128" t="s">
        <v>3281</v>
      </c>
      <c r="K417" s="131"/>
      <c r="L417" s="27" t="s">
        <v>649</v>
      </c>
      <c r="M417" s="128" t="s">
        <v>3282</v>
      </c>
      <c r="N417" s="128" t="s">
        <v>44</v>
      </c>
      <c r="O417" s="27"/>
      <c r="P417" s="131"/>
      <c r="Q417" s="27" t="s">
        <v>44</v>
      </c>
      <c r="R417" s="128">
        <v>3.40168889E8</v>
      </c>
      <c r="S417" s="132">
        <v>42142.0</v>
      </c>
      <c r="T417" s="128" t="s">
        <v>3283</v>
      </c>
      <c r="U417" s="27">
        <v>43479.0</v>
      </c>
      <c r="V417" s="27" t="s">
        <v>3284</v>
      </c>
      <c r="W417" s="27">
        <v>5.2401195E8</v>
      </c>
      <c r="X417" s="128" t="s">
        <v>1050</v>
      </c>
      <c r="Y417" s="128">
        <v>5.26177479E8</v>
      </c>
      <c r="Z417" s="26" t="s">
        <v>43</v>
      </c>
      <c r="AA417" s="34"/>
      <c r="AB417" s="134"/>
      <c r="AC417" s="35" t="s">
        <v>169</v>
      </c>
      <c r="AD417" s="31"/>
      <c r="AE417" s="31"/>
      <c r="AF417" s="31"/>
    </row>
    <row r="418" hidden="1">
      <c r="A418" s="20" t="s">
        <v>157</v>
      </c>
      <c r="B418" s="20" t="s">
        <v>158</v>
      </c>
      <c r="C418" s="20" t="s">
        <v>159</v>
      </c>
      <c r="D418" s="26" t="s">
        <v>142</v>
      </c>
      <c r="E418" s="113" t="s">
        <v>3285</v>
      </c>
      <c r="F418" s="137" t="s">
        <v>2537</v>
      </c>
      <c r="G418" s="113" t="s">
        <v>31</v>
      </c>
      <c r="H418" s="29">
        <f>IFERROR(__xludf.DUMMYFUNCTION("IF(ISDATE(S418), DATEDIF(S418, TODAY(), ""Y""), """")"),10.0)</f>
        <v>10</v>
      </c>
      <c r="I418" s="113" t="s">
        <v>3286</v>
      </c>
      <c r="J418" s="113" t="s">
        <v>225</v>
      </c>
      <c r="K418" s="119">
        <v>5.24869469E8</v>
      </c>
      <c r="L418" s="27" t="s">
        <v>92</v>
      </c>
      <c r="M418" s="113" t="s">
        <v>3287</v>
      </c>
      <c r="N418" s="113" t="s">
        <v>44</v>
      </c>
      <c r="O418" s="27"/>
      <c r="P418" s="119"/>
      <c r="Q418" s="27" t="s">
        <v>44</v>
      </c>
      <c r="R418" s="113">
        <v>3.40211242E8</v>
      </c>
      <c r="S418" s="118">
        <v>42302.0</v>
      </c>
      <c r="T418" s="113" t="s">
        <v>38</v>
      </c>
      <c r="U418" s="27">
        <v>44321.0</v>
      </c>
      <c r="V418" s="27" t="s">
        <v>1110</v>
      </c>
      <c r="W418" s="27">
        <v>5.42688614E8</v>
      </c>
      <c r="X418" s="113" t="s">
        <v>745</v>
      </c>
      <c r="Y418" s="113">
        <v>5.24869469E8</v>
      </c>
      <c r="Z418" s="26" t="s">
        <v>43</v>
      </c>
      <c r="AA418" s="34">
        <v>1.0</v>
      </c>
      <c r="AB418" s="116"/>
      <c r="AC418" s="35" t="s">
        <v>169</v>
      </c>
      <c r="AD418" s="31"/>
      <c r="AE418" s="31"/>
      <c r="AF418" s="31"/>
    </row>
    <row r="419" hidden="1">
      <c r="A419" s="20" t="s">
        <v>157</v>
      </c>
      <c r="B419" s="20" t="s">
        <v>158</v>
      </c>
      <c r="C419" s="20" t="s">
        <v>159</v>
      </c>
      <c r="D419" s="26" t="s">
        <v>142</v>
      </c>
      <c r="E419" s="128" t="s">
        <v>3288</v>
      </c>
      <c r="F419" s="129" t="s">
        <v>528</v>
      </c>
      <c r="G419" s="128" t="s">
        <v>31</v>
      </c>
      <c r="H419" s="29">
        <f>IFERROR(__xludf.DUMMYFUNCTION("IF(ISDATE(S419), DATEDIF(S419, TODAY(), ""Y""), """")"),10.0)</f>
        <v>10</v>
      </c>
      <c r="I419" s="128">
        <v>2.0</v>
      </c>
      <c r="J419" s="128" t="s">
        <v>3289</v>
      </c>
      <c r="K419" s="131">
        <v>5.48115943E8</v>
      </c>
      <c r="L419" s="27" t="s">
        <v>92</v>
      </c>
      <c r="M419" s="128" t="s">
        <v>3290</v>
      </c>
      <c r="N419" s="128" t="s">
        <v>44</v>
      </c>
      <c r="O419" s="27"/>
      <c r="P419" s="131"/>
      <c r="Q419" s="27" t="s">
        <v>44</v>
      </c>
      <c r="R419" s="128">
        <v>3.40231828E8</v>
      </c>
      <c r="S419" s="132">
        <v>42127.0</v>
      </c>
      <c r="T419" s="128" t="s">
        <v>3291</v>
      </c>
      <c r="U419" s="27">
        <v>44073.0</v>
      </c>
      <c r="V419" s="27" t="s">
        <v>560</v>
      </c>
      <c r="W419" s="27">
        <v>5.86066001E8</v>
      </c>
      <c r="X419" s="128" t="s">
        <v>2092</v>
      </c>
      <c r="Y419" s="128">
        <v>5.48115943E8</v>
      </c>
      <c r="Z419" s="26" t="s">
        <v>43</v>
      </c>
      <c r="AA419" s="34">
        <v>1.0</v>
      </c>
      <c r="AB419" s="134"/>
      <c r="AC419" s="35" t="s">
        <v>169</v>
      </c>
      <c r="AD419" s="31"/>
      <c r="AE419" s="31"/>
      <c r="AF419" s="31"/>
    </row>
    <row r="420" hidden="1">
      <c r="A420" s="20" t="s">
        <v>157</v>
      </c>
      <c r="B420" s="20" t="s">
        <v>158</v>
      </c>
      <c r="C420" s="20" t="s">
        <v>159</v>
      </c>
      <c r="D420" s="26" t="s">
        <v>142</v>
      </c>
      <c r="E420" s="113" t="s">
        <v>3292</v>
      </c>
      <c r="F420" s="137">
        <v>44412.0</v>
      </c>
      <c r="G420" s="113" t="s">
        <v>31</v>
      </c>
      <c r="H420" s="29">
        <f>IFERROR(__xludf.DUMMYFUNCTION("IF(ISDATE(S420), DATEDIF(S420, TODAY(), ""Y""), """")"),11.0)</f>
        <v>11</v>
      </c>
      <c r="I420" s="113" t="s">
        <v>3293</v>
      </c>
      <c r="J420" s="113" t="s">
        <v>597</v>
      </c>
      <c r="K420" s="119">
        <v>5.04307687E8</v>
      </c>
      <c r="L420" s="27" t="s">
        <v>92</v>
      </c>
      <c r="M420" s="113" t="s">
        <v>3294</v>
      </c>
      <c r="N420" s="113" t="s">
        <v>44</v>
      </c>
      <c r="O420" s="27"/>
      <c r="P420" s="119"/>
      <c r="Q420" s="27" t="s">
        <v>36</v>
      </c>
      <c r="R420" s="113">
        <v>3.40240621E8</v>
      </c>
      <c r="S420" s="118">
        <v>41930.0</v>
      </c>
      <c r="T420" s="113" t="s">
        <v>3295</v>
      </c>
      <c r="U420" s="27">
        <v>44014.0</v>
      </c>
      <c r="V420" s="27" t="s">
        <v>3296</v>
      </c>
      <c r="W420" s="27">
        <v>5.26042464E8</v>
      </c>
      <c r="X420" s="113" t="s">
        <v>3297</v>
      </c>
      <c r="Y420" s="113">
        <v>5.04307687E8</v>
      </c>
      <c r="Z420" s="26" t="s">
        <v>43</v>
      </c>
      <c r="AA420" s="34">
        <v>3.0</v>
      </c>
      <c r="AB420" s="116"/>
      <c r="AC420" s="35" t="s">
        <v>169</v>
      </c>
      <c r="AD420" s="31"/>
      <c r="AE420" s="31"/>
      <c r="AF420" s="31"/>
    </row>
    <row r="421" hidden="1">
      <c r="A421" s="20" t="s">
        <v>157</v>
      </c>
      <c r="B421" s="20" t="s">
        <v>158</v>
      </c>
      <c r="C421" s="20" t="s">
        <v>159</v>
      </c>
      <c r="D421" s="26" t="s">
        <v>142</v>
      </c>
      <c r="E421" s="128" t="s">
        <v>3298</v>
      </c>
      <c r="F421" s="129">
        <v>44535.0</v>
      </c>
      <c r="G421" s="128" t="s">
        <v>31</v>
      </c>
      <c r="H421" s="29">
        <f>IFERROR(__xludf.DUMMYFUNCTION("IF(ISDATE(S421), DATEDIF(S421, TODAY(), ""Y""), """")"),11.0)</f>
        <v>11</v>
      </c>
      <c r="I421" s="128" t="s">
        <v>3299</v>
      </c>
      <c r="J421" s="128" t="s">
        <v>102</v>
      </c>
      <c r="K421" s="131">
        <v>5.27839057E8</v>
      </c>
      <c r="L421" s="27" t="s">
        <v>92</v>
      </c>
      <c r="M421" s="128" t="s">
        <v>3300</v>
      </c>
      <c r="N421" s="128" t="s">
        <v>44</v>
      </c>
      <c r="O421" s="27"/>
      <c r="P421" s="131"/>
      <c r="Q421" s="27" t="s">
        <v>44</v>
      </c>
      <c r="R421" s="128">
        <v>3.40243575E8</v>
      </c>
      <c r="S421" s="132">
        <v>41984.0</v>
      </c>
      <c r="T421" s="128" t="s">
        <v>38</v>
      </c>
      <c r="U421" s="27">
        <v>44039.0</v>
      </c>
      <c r="V421" s="27" t="s">
        <v>3301</v>
      </c>
      <c r="W421" s="27">
        <v>5.26685519E8</v>
      </c>
      <c r="X421" s="128" t="s">
        <v>1407</v>
      </c>
      <c r="Y421" s="128">
        <v>5.27839057E8</v>
      </c>
      <c r="Z421" s="26" t="s">
        <v>43</v>
      </c>
      <c r="AA421" s="34">
        <v>2.0</v>
      </c>
      <c r="AB421" s="134"/>
      <c r="AC421" s="35" t="s">
        <v>169</v>
      </c>
      <c r="AD421" s="31"/>
      <c r="AE421" s="31"/>
      <c r="AF421" s="31"/>
    </row>
    <row r="422" hidden="1">
      <c r="A422" s="20" t="s">
        <v>157</v>
      </c>
      <c r="B422" s="20" t="s">
        <v>158</v>
      </c>
      <c r="C422" s="20" t="s">
        <v>159</v>
      </c>
      <c r="D422" s="37">
        <v>45907.0</v>
      </c>
      <c r="E422" s="92" t="s">
        <v>3302</v>
      </c>
      <c r="F422" s="183">
        <v>44662.0</v>
      </c>
      <c r="G422" s="92" t="s">
        <v>90</v>
      </c>
      <c r="H422" s="29">
        <f>IFERROR(__xludf.DUMMYFUNCTION("IF(ISDATE(S422), DATEDIF(S422, TODAY(), ""Y""), """")"),11.0)</f>
        <v>11</v>
      </c>
      <c r="I422" s="92" t="s">
        <v>3303</v>
      </c>
      <c r="J422" s="92" t="s">
        <v>597</v>
      </c>
      <c r="K422" s="111">
        <v>5.52956735E8</v>
      </c>
      <c r="L422" s="20" t="s">
        <v>92</v>
      </c>
      <c r="M422" s="92" t="s">
        <v>686</v>
      </c>
      <c r="N422" s="92" t="s">
        <v>44</v>
      </c>
      <c r="O422" s="39"/>
      <c r="P422" s="92" t="s">
        <v>3304</v>
      </c>
      <c r="Q422" s="20" t="s">
        <v>44</v>
      </c>
      <c r="R422" s="111">
        <v>3.40264456E8</v>
      </c>
      <c r="S422" s="126">
        <v>41829.0</v>
      </c>
      <c r="T422" s="92" t="s">
        <v>3305</v>
      </c>
      <c r="U422" s="38">
        <v>44249.0</v>
      </c>
      <c r="V422" s="20" t="s">
        <v>3306</v>
      </c>
      <c r="W422" s="25">
        <v>5.07372228E8</v>
      </c>
      <c r="X422" s="92" t="s">
        <v>3307</v>
      </c>
      <c r="Y422" s="111">
        <v>5.07939966E8</v>
      </c>
      <c r="Z422" s="26" t="s">
        <v>168</v>
      </c>
      <c r="AA422" s="25">
        <v>4.0</v>
      </c>
      <c r="AB422" s="92" t="s">
        <v>3308</v>
      </c>
      <c r="AC422" s="20" t="s">
        <v>169</v>
      </c>
      <c r="AD422" s="20"/>
      <c r="AE422" s="20"/>
      <c r="AF422" s="20"/>
    </row>
    <row r="423" hidden="1">
      <c r="A423" s="20" t="s">
        <v>157</v>
      </c>
      <c r="B423" s="20" t="s">
        <v>158</v>
      </c>
      <c r="C423" s="20" t="s">
        <v>159</v>
      </c>
      <c r="D423" s="37" t="s">
        <v>2297</v>
      </c>
      <c r="E423" s="120" t="s">
        <v>3309</v>
      </c>
      <c r="F423" s="158">
        <v>44235.0</v>
      </c>
      <c r="G423" s="120" t="s">
        <v>90</v>
      </c>
      <c r="H423" s="29">
        <f>IFERROR(__xludf.DUMMYFUNCTION("IF(ISDATE(S423), DATEDIF(S423, TODAY(), ""Y""), """")"),10.0)</f>
        <v>10</v>
      </c>
      <c r="I423" s="120" t="s">
        <v>3310</v>
      </c>
      <c r="J423" s="120" t="s">
        <v>517</v>
      </c>
      <c r="K423" s="122">
        <v>5.23022822E8</v>
      </c>
      <c r="L423" s="20" t="s">
        <v>610</v>
      </c>
      <c r="M423" s="120" t="s">
        <v>3311</v>
      </c>
      <c r="N423" s="120" t="s">
        <v>36</v>
      </c>
      <c r="O423" s="39"/>
      <c r="P423" s="139"/>
      <c r="Q423" s="20" t="s">
        <v>44</v>
      </c>
      <c r="R423" s="122">
        <v>3.40510585E8</v>
      </c>
      <c r="S423" s="121">
        <v>42223.0</v>
      </c>
      <c r="T423" s="120" t="s">
        <v>3312</v>
      </c>
      <c r="U423" s="38">
        <v>43924.0</v>
      </c>
      <c r="V423" s="20" t="s">
        <v>3313</v>
      </c>
      <c r="W423" s="25">
        <v>5.23022822E8</v>
      </c>
      <c r="X423" s="120" t="s">
        <v>3314</v>
      </c>
      <c r="Y423" s="122">
        <v>5.23022822E8</v>
      </c>
      <c r="Z423" s="26" t="s">
        <v>43</v>
      </c>
      <c r="AA423" s="25">
        <v>3.0</v>
      </c>
      <c r="AB423" s="120" t="s">
        <v>3315</v>
      </c>
      <c r="AC423" s="20" t="s">
        <v>169</v>
      </c>
      <c r="AD423" s="20"/>
      <c r="AE423" s="39"/>
      <c r="AF423" s="39"/>
    </row>
    <row r="424" hidden="1">
      <c r="A424" s="20" t="s">
        <v>157</v>
      </c>
      <c r="B424" s="20" t="s">
        <v>158</v>
      </c>
      <c r="C424" s="20" t="s">
        <v>159</v>
      </c>
      <c r="D424" s="37">
        <v>45966.0</v>
      </c>
      <c r="E424" s="92" t="s">
        <v>3316</v>
      </c>
      <c r="F424" s="111" t="s">
        <v>992</v>
      </c>
      <c r="G424" s="92" t="s">
        <v>31</v>
      </c>
      <c r="H424" s="29">
        <f>IFERROR(__xludf.DUMMYFUNCTION("IF(ISDATE(S424), DATEDIF(S424, TODAY(), ""Y""), """")"),6.0)</f>
        <v>6</v>
      </c>
      <c r="I424" s="127"/>
      <c r="J424" s="92" t="s">
        <v>47</v>
      </c>
      <c r="K424" s="127"/>
      <c r="L424" s="20" t="s">
        <v>49</v>
      </c>
      <c r="M424" s="92" t="s">
        <v>3317</v>
      </c>
      <c r="N424" s="92" t="s">
        <v>44</v>
      </c>
      <c r="O424" s="31"/>
      <c r="P424" s="20" t="s">
        <v>3318</v>
      </c>
      <c r="Q424" s="20" t="s">
        <v>44</v>
      </c>
      <c r="R424" s="111">
        <v>3.40610898E8</v>
      </c>
      <c r="S424" s="126">
        <v>43753.0</v>
      </c>
      <c r="T424" s="92" t="s">
        <v>266</v>
      </c>
      <c r="U424" s="20" t="s">
        <v>1290</v>
      </c>
      <c r="V424" s="20" t="s">
        <v>1281</v>
      </c>
      <c r="W424" s="25" t="s">
        <v>198</v>
      </c>
      <c r="X424" s="92" t="s">
        <v>3319</v>
      </c>
      <c r="Y424" s="111">
        <v>5.22766109E8</v>
      </c>
      <c r="Z424" s="23"/>
      <c r="AA424" s="25">
        <v>2.0</v>
      </c>
      <c r="AB424" s="92" t="s">
        <v>3320</v>
      </c>
      <c r="AC424" s="20" t="s">
        <v>156</v>
      </c>
      <c r="AD424" s="39"/>
      <c r="AE424" s="39"/>
      <c r="AF424" s="39"/>
    </row>
    <row r="425" hidden="1">
      <c r="A425" s="20" t="s">
        <v>157</v>
      </c>
      <c r="B425" s="20" t="s">
        <v>158</v>
      </c>
      <c r="C425" s="20" t="s">
        <v>159</v>
      </c>
      <c r="D425" s="26" t="s">
        <v>142</v>
      </c>
      <c r="E425" s="128" t="s">
        <v>3321</v>
      </c>
      <c r="F425" s="129" t="s">
        <v>3322</v>
      </c>
      <c r="G425" s="128" t="s">
        <v>90</v>
      </c>
      <c r="H425" s="29">
        <f>IFERROR(__xludf.DUMMYFUNCTION("IF(ISDATE(S425), DATEDIF(S425, TODAY(), ""Y""), """")"),10.0)</f>
        <v>10</v>
      </c>
      <c r="I425" s="128" t="s">
        <v>3323</v>
      </c>
      <c r="J425" s="128" t="s">
        <v>3324</v>
      </c>
      <c r="K425" s="131">
        <v>5.06332646E8</v>
      </c>
      <c r="L425" s="27" t="s">
        <v>92</v>
      </c>
      <c r="M425" s="128" t="s">
        <v>79</v>
      </c>
      <c r="N425" s="128" t="s">
        <v>44</v>
      </c>
      <c r="O425" s="27"/>
      <c r="P425" s="31"/>
      <c r="Q425" s="27" t="s">
        <v>36</v>
      </c>
      <c r="R425" s="27">
        <v>3.40677137E8</v>
      </c>
      <c r="S425" s="132">
        <v>42227.0</v>
      </c>
      <c r="T425" s="128" t="s">
        <v>1028</v>
      </c>
      <c r="U425" s="27">
        <v>44623.0</v>
      </c>
      <c r="V425" s="27" t="s">
        <v>3301</v>
      </c>
      <c r="W425" s="27">
        <v>5.05614191E8</v>
      </c>
      <c r="X425" s="128" t="s">
        <v>2233</v>
      </c>
      <c r="Y425" s="128">
        <v>5.06332646E8</v>
      </c>
      <c r="Z425" s="26" t="s">
        <v>43</v>
      </c>
      <c r="AA425" s="34">
        <v>1.0</v>
      </c>
      <c r="AB425" s="134"/>
      <c r="AC425" s="20" t="s">
        <v>169</v>
      </c>
      <c r="AD425" s="31"/>
      <c r="AE425" s="31"/>
      <c r="AF425" s="31"/>
    </row>
    <row r="426" hidden="1">
      <c r="A426" s="120" t="s">
        <v>157</v>
      </c>
      <c r="B426" s="120" t="s">
        <v>158</v>
      </c>
      <c r="C426" s="120" t="s">
        <v>159</v>
      </c>
      <c r="D426" s="121">
        <v>45937.0</v>
      </c>
      <c r="E426" s="122" t="s">
        <v>3325</v>
      </c>
      <c r="F426" s="122">
        <v>23.9</v>
      </c>
      <c r="G426" s="122" t="s">
        <v>31</v>
      </c>
      <c r="H426" s="130">
        <f>IFERROR(__xludf.DUMMYFUNCTION("IF(ISDATE(S426), DATEDIF(S426, TODAY(), ""Y""), """")"),10.0)</f>
        <v>10</v>
      </c>
      <c r="I426" s="120" t="s">
        <v>3326</v>
      </c>
      <c r="J426" s="122" t="s">
        <v>1952</v>
      </c>
      <c r="K426" s="139"/>
      <c r="L426" s="122" t="s">
        <v>92</v>
      </c>
      <c r="M426" s="120" t="s">
        <v>3327</v>
      </c>
      <c r="N426" s="120" t="s">
        <v>44</v>
      </c>
      <c r="O426" s="122"/>
      <c r="P426" s="120" t="s">
        <v>2271</v>
      </c>
      <c r="Q426" s="120" t="s">
        <v>44</v>
      </c>
      <c r="R426" s="122">
        <v>3.40735687E8</v>
      </c>
      <c r="S426" s="121">
        <v>42140.0</v>
      </c>
      <c r="T426" s="122" t="s">
        <v>3328</v>
      </c>
      <c r="U426" s="122" t="s">
        <v>3329</v>
      </c>
      <c r="V426" s="122" t="s">
        <v>3330</v>
      </c>
      <c r="W426" s="139"/>
      <c r="X426" s="122" t="s">
        <v>3331</v>
      </c>
      <c r="Y426" s="122">
        <v>5.2330963E8</v>
      </c>
      <c r="Z426" s="124" t="s">
        <v>123</v>
      </c>
      <c r="AA426" s="122" t="s">
        <v>3003</v>
      </c>
      <c r="AB426" s="120" t="s">
        <v>3332</v>
      </c>
      <c r="AC426" s="120" t="s">
        <v>156</v>
      </c>
      <c r="AD426" s="120" t="s">
        <v>3333</v>
      </c>
      <c r="AE426" s="20"/>
      <c r="AF426" s="20"/>
    </row>
    <row r="427" hidden="1">
      <c r="A427" s="108" t="s">
        <v>157</v>
      </c>
      <c r="B427" s="92" t="s">
        <v>140</v>
      </c>
      <c r="C427" s="92" t="s">
        <v>409</v>
      </c>
      <c r="D427" s="148">
        <v>45901.0</v>
      </c>
      <c r="E427" s="117" t="s">
        <v>3334</v>
      </c>
      <c r="F427" s="146">
        <v>45819.0</v>
      </c>
      <c r="G427" s="117" t="s">
        <v>31</v>
      </c>
      <c r="H427" s="136">
        <f>IFERROR(__xludf.DUMMYFUNCTION("IF(ISDATE(S427), DATEDIF(S427, TODAY(), ""Y""), """")"),13.0)</f>
        <v>13</v>
      </c>
      <c r="I427" s="117" t="s">
        <v>3335</v>
      </c>
      <c r="J427" s="117" t="s">
        <v>1130</v>
      </c>
      <c r="K427" s="199" t="s">
        <v>3336</v>
      </c>
      <c r="L427" s="117" t="s">
        <v>3337</v>
      </c>
      <c r="M427" s="117" t="s">
        <v>3338</v>
      </c>
      <c r="N427" s="117" t="s">
        <v>36</v>
      </c>
      <c r="O427" s="119" t="s">
        <v>3339</v>
      </c>
      <c r="P427" s="117"/>
      <c r="Q427" s="117" t="s">
        <v>3340</v>
      </c>
      <c r="R427" s="114">
        <v>3.36638739E8</v>
      </c>
      <c r="S427" s="148">
        <v>41129.0</v>
      </c>
      <c r="T427" s="117" t="s">
        <v>3341</v>
      </c>
      <c r="U427" s="114" t="s">
        <v>3342</v>
      </c>
      <c r="V427" s="117" t="s">
        <v>796</v>
      </c>
      <c r="W427" s="147" t="s">
        <v>3343</v>
      </c>
      <c r="X427" s="117" t="s">
        <v>946</v>
      </c>
      <c r="Y427" s="147" t="s">
        <v>3336</v>
      </c>
      <c r="Z427" s="117" t="s">
        <v>168</v>
      </c>
      <c r="AA427" s="114">
        <v>2.0</v>
      </c>
      <c r="AB427" s="119"/>
      <c r="AC427" s="117" t="s">
        <v>156</v>
      </c>
      <c r="AD427" s="119"/>
      <c r="AE427" s="31"/>
      <c r="AF427" s="26" t="s">
        <v>3344</v>
      </c>
    </row>
    <row r="428" hidden="1">
      <c r="A428" s="108" t="s">
        <v>157</v>
      </c>
      <c r="B428" s="120" t="s">
        <v>140</v>
      </c>
      <c r="C428" s="122" t="s">
        <v>238</v>
      </c>
      <c r="D428" s="156" t="s">
        <v>2539</v>
      </c>
      <c r="E428" s="128" t="s">
        <v>3345</v>
      </c>
      <c r="F428" s="175">
        <v>45958.0</v>
      </c>
      <c r="G428" s="128" t="s">
        <v>31</v>
      </c>
      <c r="H428" s="130">
        <v>13.0</v>
      </c>
      <c r="I428" s="128" t="s">
        <v>3346</v>
      </c>
      <c r="J428" s="128" t="s">
        <v>3347</v>
      </c>
      <c r="K428" s="128"/>
      <c r="L428" s="128" t="s">
        <v>92</v>
      </c>
      <c r="M428" s="134" t="s">
        <v>3348</v>
      </c>
      <c r="N428" s="128" t="s">
        <v>36</v>
      </c>
      <c r="O428" s="124" t="s">
        <v>2091</v>
      </c>
      <c r="P428" s="128"/>
      <c r="Q428" s="128" t="s">
        <v>44</v>
      </c>
      <c r="R428" s="128">
        <v>3.36829106E8</v>
      </c>
      <c r="S428" s="132">
        <v>41153.0</v>
      </c>
      <c r="T428" s="134" t="s">
        <v>3349</v>
      </c>
      <c r="U428" s="128" t="s">
        <v>1476</v>
      </c>
      <c r="V428" s="128" t="s">
        <v>635</v>
      </c>
      <c r="W428" s="143" t="s">
        <v>3350</v>
      </c>
      <c r="X428" s="128" t="s">
        <v>3351</v>
      </c>
      <c r="Y428" s="143" t="s">
        <v>3352</v>
      </c>
      <c r="Z428" s="124" t="s">
        <v>43</v>
      </c>
      <c r="AA428" s="128">
        <v>5.0</v>
      </c>
      <c r="AB428" s="124" t="s">
        <v>3353</v>
      </c>
      <c r="AC428" s="120" t="s">
        <v>156</v>
      </c>
      <c r="AD428" s="131"/>
      <c r="AE428" s="31"/>
      <c r="AF428" s="26"/>
    </row>
    <row r="429" hidden="1">
      <c r="A429" s="92" t="s">
        <v>157</v>
      </c>
      <c r="B429" s="92" t="s">
        <v>158</v>
      </c>
      <c r="C429" s="92" t="s">
        <v>159</v>
      </c>
      <c r="D429" s="126">
        <v>45907.0</v>
      </c>
      <c r="E429" s="92" t="s">
        <v>3354</v>
      </c>
      <c r="F429" s="183">
        <v>44837.0</v>
      </c>
      <c r="G429" s="92" t="s">
        <v>31</v>
      </c>
      <c r="H429" s="114">
        <f>IFERROR(__xludf.DUMMYFUNCTION("IF(ISDATE(S429), DATEDIF(S429, TODAY(), ""Y""), """")"),9.0)</f>
        <v>9</v>
      </c>
      <c r="I429" s="92" t="s">
        <v>3355</v>
      </c>
      <c r="J429" s="92" t="s">
        <v>452</v>
      </c>
      <c r="K429" s="111">
        <v>5.28689282E8</v>
      </c>
      <c r="L429" s="92" t="s">
        <v>92</v>
      </c>
      <c r="M429" s="92" t="s">
        <v>3356</v>
      </c>
      <c r="N429" s="92" t="s">
        <v>44</v>
      </c>
      <c r="O429" s="127"/>
      <c r="P429" s="92" t="s">
        <v>677</v>
      </c>
      <c r="Q429" s="92" t="s">
        <v>44</v>
      </c>
      <c r="R429" s="111">
        <v>3.4175693E8</v>
      </c>
      <c r="S429" s="126">
        <v>42539.0</v>
      </c>
      <c r="T429" s="92" t="s">
        <v>38</v>
      </c>
      <c r="U429" s="183">
        <v>44870.0</v>
      </c>
      <c r="V429" s="92" t="s">
        <v>3357</v>
      </c>
      <c r="W429" s="111">
        <v>5.28689992E8</v>
      </c>
      <c r="X429" s="92" t="s">
        <v>906</v>
      </c>
      <c r="Y429" s="111">
        <v>5.23272963E8</v>
      </c>
      <c r="Z429" s="117" t="s">
        <v>43</v>
      </c>
      <c r="AA429" s="111">
        <v>2.0</v>
      </c>
      <c r="AB429" s="92"/>
      <c r="AC429" s="92" t="s">
        <v>156</v>
      </c>
      <c r="AD429" s="92"/>
      <c r="AE429" s="39"/>
      <c r="AF429" s="39"/>
    </row>
    <row r="430" hidden="1">
      <c r="A430" s="120" t="s">
        <v>157</v>
      </c>
      <c r="B430" s="120" t="s">
        <v>158</v>
      </c>
      <c r="C430" s="120" t="s">
        <v>159</v>
      </c>
      <c r="D430" s="124" t="s">
        <v>142</v>
      </c>
      <c r="E430" s="128" t="s">
        <v>3358</v>
      </c>
      <c r="F430" s="129">
        <v>43990.0</v>
      </c>
      <c r="G430" s="128" t="s">
        <v>90</v>
      </c>
      <c r="H430" s="130">
        <f>IFERROR(__xludf.DUMMYFUNCTION("IF(ISDATE(S430), DATEDIF(S430, TODAY(), ""Y""), """")"),9.0)</f>
        <v>9</v>
      </c>
      <c r="I430" s="128" t="s">
        <v>3359</v>
      </c>
      <c r="J430" s="128" t="s">
        <v>3360</v>
      </c>
      <c r="K430" s="131">
        <v>5.43975982E8</v>
      </c>
      <c r="L430" s="128" t="s">
        <v>92</v>
      </c>
      <c r="M430" s="128" t="s">
        <v>3361</v>
      </c>
      <c r="N430" s="128" t="s">
        <v>44</v>
      </c>
      <c r="O430" s="128"/>
      <c r="P430" s="131"/>
      <c r="Q430" s="128" t="s">
        <v>44</v>
      </c>
      <c r="R430" s="128">
        <v>3.41799914E8</v>
      </c>
      <c r="S430" s="132">
        <v>42568.0</v>
      </c>
      <c r="T430" s="128" t="s">
        <v>38</v>
      </c>
      <c r="U430" s="128">
        <v>43937.0</v>
      </c>
      <c r="V430" s="128" t="s">
        <v>3362</v>
      </c>
      <c r="W430" s="128">
        <v>5.43975963E8</v>
      </c>
      <c r="X430" s="128" t="s">
        <v>525</v>
      </c>
      <c r="Y430" s="128">
        <v>5.43975982E8</v>
      </c>
      <c r="Z430" s="124" t="s">
        <v>43</v>
      </c>
      <c r="AA430" s="133">
        <v>3.0</v>
      </c>
      <c r="AB430" s="134"/>
      <c r="AC430" s="134" t="s">
        <v>169</v>
      </c>
      <c r="AD430" s="131"/>
      <c r="AE430" s="31"/>
      <c r="AF430" s="31"/>
    </row>
    <row r="431" hidden="1">
      <c r="A431" s="92" t="s">
        <v>157</v>
      </c>
      <c r="B431" s="92" t="s">
        <v>158</v>
      </c>
      <c r="C431" s="92" t="s">
        <v>159</v>
      </c>
      <c r="D431" s="117" t="s">
        <v>142</v>
      </c>
      <c r="E431" s="113" t="s">
        <v>3363</v>
      </c>
      <c r="F431" s="137" t="s">
        <v>747</v>
      </c>
      <c r="G431" s="113" t="s">
        <v>31</v>
      </c>
      <c r="H431" s="114">
        <f>IFERROR(__xludf.DUMMYFUNCTION("IF(ISDATE(S431), DATEDIF(S431, TODAY(), ""Y""), """")"),9.0)</f>
        <v>9</v>
      </c>
      <c r="I431" s="113">
        <v>1.0</v>
      </c>
      <c r="J431" s="113" t="s">
        <v>3364</v>
      </c>
      <c r="K431" s="119">
        <v>5.09067394E8</v>
      </c>
      <c r="L431" s="113" t="s">
        <v>92</v>
      </c>
      <c r="M431" s="113" t="s">
        <v>565</v>
      </c>
      <c r="N431" s="113" t="s">
        <v>44</v>
      </c>
      <c r="O431" s="113"/>
      <c r="P431" s="119"/>
      <c r="Q431" s="113" t="s">
        <v>36</v>
      </c>
      <c r="R431" s="113">
        <v>3.41812931E8</v>
      </c>
      <c r="S431" s="118">
        <v>42656.0</v>
      </c>
      <c r="T431" s="113" t="s">
        <v>2350</v>
      </c>
      <c r="U431" s="113">
        <v>44305.0</v>
      </c>
      <c r="V431" s="113" t="s">
        <v>3365</v>
      </c>
      <c r="W431" s="113">
        <v>5.09067393E8</v>
      </c>
      <c r="X431" s="113" t="s">
        <v>3366</v>
      </c>
      <c r="Y431" s="113">
        <v>5.09967394E8</v>
      </c>
      <c r="Z431" s="117" t="s">
        <v>43</v>
      </c>
      <c r="AA431" s="138">
        <v>4.0</v>
      </c>
      <c r="AB431" s="116"/>
      <c r="AC431" s="92" t="s">
        <v>169</v>
      </c>
      <c r="AD431" s="119"/>
      <c r="AE431" s="31"/>
      <c r="AF431" s="31"/>
    </row>
    <row r="432" hidden="1">
      <c r="A432" s="120" t="s">
        <v>157</v>
      </c>
      <c r="B432" s="120" t="s">
        <v>158</v>
      </c>
      <c r="C432" s="120" t="s">
        <v>159</v>
      </c>
      <c r="D432" s="124" t="s">
        <v>142</v>
      </c>
      <c r="E432" s="128" t="s">
        <v>3367</v>
      </c>
      <c r="F432" s="129" t="s">
        <v>1250</v>
      </c>
      <c r="G432" s="128" t="s">
        <v>90</v>
      </c>
      <c r="H432" s="130">
        <f>IFERROR(__xludf.DUMMYFUNCTION("IF(ISDATE(S432), DATEDIF(S432, TODAY(), ""Y""), """")"),9.0)</f>
        <v>9</v>
      </c>
      <c r="I432" s="128"/>
      <c r="J432" s="128" t="s">
        <v>1130</v>
      </c>
      <c r="K432" s="131"/>
      <c r="L432" s="128" t="s">
        <v>610</v>
      </c>
      <c r="M432" s="128" t="s">
        <v>238</v>
      </c>
      <c r="N432" s="128" t="s">
        <v>44</v>
      </c>
      <c r="O432" s="128"/>
      <c r="P432" s="131"/>
      <c r="Q432" s="128" t="s">
        <v>36</v>
      </c>
      <c r="R432" s="128">
        <v>3.41833358E8</v>
      </c>
      <c r="S432" s="132">
        <v>42571.0</v>
      </c>
      <c r="T432" s="128" t="s">
        <v>788</v>
      </c>
      <c r="U432" s="128" t="s">
        <v>3368</v>
      </c>
      <c r="V432" s="128" t="s">
        <v>3369</v>
      </c>
      <c r="W432" s="128">
        <v>5.05748123E8</v>
      </c>
      <c r="X432" s="128" t="s">
        <v>176</v>
      </c>
      <c r="Y432" s="128">
        <v>5.26870098E8</v>
      </c>
      <c r="Z432" s="124" t="s">
        <v>43</v>
      </c>
      <c r="AA432" s="133">
        <v>2.0</v>
      </c>
      <c r="AB432" s="134"/>
      <c r="AC432" s="120" t="s">
        <v>169</v>
      </c>
      <c r="AD432" s="131"/>
      <c r="AE432" s="31"/>
      <c r="AF432" s="31"/>
    </row>
    <row r="433" hidden="1">
      <c r="A433" s="92" t="s">
        <v>157</v>
      </c>
      <c r="B433" s="92" t="s">
        <v>158</v>
      </c>
      <c r="C433" s="92" t="s">
        <v>159</v>
      </c>
      <c r="D433" s="117" t="s">
        <v>142</v>
      </c>
      <c r="E433" s="113" t="s">
        <v>3370</v>
      </c>
      <c r="F433" s="137" t="s">
        <v>2181</v>
      </c>
      <c r="G433" s="113" t="s">
        <v>31</v>
      </c>
      <c r="H433" s="114">
        <f>IFERROR(__xludf.DUMMYFUNCTION("IF(ISDATE(S433), DATEDIF(S433, TODAY(), ""Y""), """")"),9.0)</f>
        <v>9</v>
      </c>
      <c r="I433" s="113" t="s">
        <v>3371</v>
      </c>
      <c r="J433" s="113" t="s">
        <v>3372</v>
      </c>
      <c r="K433" s="119"/>
      <c r="L433" s="113" t="s">
        <v>649</v>
      </c>
      <c r="M433" s="113" t="s">
        <v>3373</v>
      </c>
      <c r="N433" s="113" t="s">
        <v>44</v>
      </c>
      <c r="O433" s="113"/>
      <c r="P433" s="119"/>
      <c r="Q433" s="113" t="s">
        <v>44</v>
      </c>
      <c r="R433" s="113">
        <v>3.41872349E8</v>
      </c>
      <c r="S433" s="118">
        <v>42536.0</v>
      </c>
      <c r="T433" s="113" t="s">
        <v>38</v>
      </c>
      <c r="U433" s="113">
        <v>44031.0</v>
      </c>
      <c r="V433" s="113" t="s">
        <v>2387</v>
      </c>
      <c r="W433" s="113">
        <v>5.48196003E8</v>
      </c>
      <c r="X433" s="113" t="s">
        <v>3374</v>
      </c>
      <c r="Y433" s="113">
        <v>5.05725925E8</v>
      </c>
      <c r="Z433" s="117" t="s">
        <v>43</v>
      </c>
      <c r="AA433" s="138">
        <v>2.0</v>
      </c>
      <c r="AB433" s="116"/>
      <c r="AC433" s="116" t="s">
        <v>169</v>
      </c>
      <c r="AD433" s="119"/>
      <c r="AE433" s="31"/>
      <c r="AF433" s="31"/>
    </row>
    <row r="434" hidden="1">
      <c r="A434" s="108" t="s">
        <v>157</v>
      </c>
      <c r="B434" s="120" t="s">
        <v>140</v>
      </c>
      <c r="C434" s="122" t="s">
        <v>238</v>
      </c>
      <c r="D434" s="175">
        <v>45941.0</v>
      </c>
      <c r="E434" s="128" t="s">
        <v>3375</v>
      </c>
      <c r="F434" s="175">
        <v>45971.0</v>
      </c>
      <c r="G434" s="128" t="s">
        <v>90</v>
      </c>
      <c r="H434" s="130">
        <v>13.0</v>
      </c>
      <c r="I434" s="128" t="s">
        <v>3376</v>
      </c>
      <c r="J434" s="128" t="s">
        <v>806</v>
      </c>
      <c r="K434" s="128" t="s">
        <v>623</v>
      </c>
      <c r="L434" s="128" t="s">
        <v>3377</v>
      </c>
      <c r="M434" s="134" t="s">
        <v>3378</v>
      </c>
      <c r="N434" s="128" t="s">
        <v>36</v>
      </c>
      <c r="O434" s="124" t="s">
        <v>3379</v>
      </c>
      <c r="P434" s="128" t="s">
        <v>3379</v>
      </c>
      <c r="Q434" s="128" t="s">
        <v>44</v>
      </c>
      <c r="R434" s="128">
        <v>3.36844501E8</v>
      </c>
      <c r="S434" s="132">
        <v>40995.0</v>
      </c>
      <c r="T434" s="134" t="s">
        <v>3380</v>
      </c>
      <c r="U434" s="143" t="s">
        <v>3381</v>
      </c>
      <c r="V434" s="128" t="s">
        <v>3382</v>
      </c>
      <c r="W434" s="143" t="s">
        <v>3383</v>
      </c>
      <c r="X434" s="128" t="s">
        <v>728</v>
      </c>
      <c r="Y434" s="143" t="s">
        <v>3384</v>
      </c>
      <c r="Z434" s="124" t="s">
        <v>43</v>
      </c>
      <c r="AA434" s="128">
        <v>2.0</v>
      </c>
      <c r="AB434" s="124" t="s">
        <v>3385</v>
      </c>
      <c r="AC434" s="120" t="s">
        <v>156</v>
      </c>
      <c r="AD434" s="131"/>
      <c r="AE434" s="31"/>
      <c r="AF434" s="26"/>
    </row>
    <row r="435" hidden="1">
      <c r="A435" s="120" t="s">
        <v>157</v>
      </c>
      <c r="B435" s="120" t="s">
        <v>158</v>
      </c>
      <c r="C435" s="120" t="s">
        <v>159</v>
      </c>
      <c r="D435" s="122" t="s">
        <v>1884</v>
      </c>
      <c r="E435" s="124" t="s">
        <v>733</v>
      </c>
      <c r="F435" s="130" t="s">
        <v>1042</v>
      </c>
      <c r="G435" s="131" t="s">
        <v>31</v>
      </c>
      <c r="H435" s="123">
        <f>IFERROR(__xludf.DUMMYFUNCTION("IF(ISDATE(S435), DATEDIF(S435, TODAY(), ""Y""), """")"),9.0)</f>
        <v>9</v>
      </c>
      <c r="I435" s="139"/>
      <c r="J435" s="131" t="s">
        <v>3386</v>
      </c>
      <c r="K435" s="139"/>
      <c r="L435" s="131" t="s">
        <v>92</v>
      </c>
      <c r="M435" s="131" t="s">
        <v>238</v>
      </c>
      <c r="N435" s="120" t="s">
        <v>36</v>
      </c>
      <c r="O435" s="131" t="s">
        <v>623</v>
      </c>
      <c r="P435" s="139"/>
      <c r="Q435" s="131" t="s">
        <v>36</v>
      </c>
      <c r="R435" s="131">
        <v>3.41962363E8</v>
      </c>
      <c r="S435" s="156">
        <v>42662.0</v>
      </c>
      <c r="T435" s="131" t="s">
        <v>38</v>
      </c>
      <c r="U435" s="131" t="s">
        <v>3387</v>
      </c>
      <c r="V435" s="131" t="s">
        <v>3123</v>
      </c>
      <c r="W435" s="131">
        <v>5.0506971E8</v>
      </c>
      <c r="X435" s="131" t="s">
        <v>3388</v>
      </c>
      <c r="Y435" s="130">
        <v>5.42269744E8</v>
      </c>
      <c r="Z435" s="131" t="s">
        <v>43</v>
      </c>
      <c r="AA435" s="131">
        <v>2.0</v>
      </c>
      <c r="AB435" s="131" t="s">
        <v>1761</v>
      </c>
      <c r="AC435" s="120" t="s">
        <v>169</v>
      </c>
      <c r="AD435" s="131"/>
      <c r="AE435" s="139"/>
      <c r="AF435" s="139"/>
    </row>
    <row r="436" hidden="1">
      <c r="A436" s="92" t="s">
        <v>157</v>
      </c>
      <c r="B436" s="92" t="s">
        <v>158</v>
      </c>
      <c r="C436" s="92" t="s">
        <v>159</v>
      </c>
      <c r="D436" s="126" t="s">
        <v>3389</v>
      </c>
      <c r="E436" s="92" t="s">
        <v>3390</v>
      </c>
      <c r="F436" s="111" t="s">
        <v>1067</v>
      </c>
      <c r="G436" s="92" t="s">
        <v>90</v>
      </c>
      <c r="H436" s="136">
        <f>IFERROR(__xludf.DUMMYFUNCTION("IF(ISDATE(S436), DATEDIF(S436, TODAY(), ""Y""), """")"),9.0)</f>
        <v>9</v>
      </c>
      <c r="I436" s="127"/>
      <c r="J436" s="92" t="s">
        <v>33</v>
      </c>
      <c r="K436" s="127"/>
      <c r="L436" s="92" t="s">
        <v>92</v>
      </c>
      <c r="M436" s="92" t="s">
        <v>405</v>
      </c>
      <c r="N436" s="92" t="s">
        <v>36</v>
      </c>
      <c r="O436" s="92" t="s">
        <v>914</v>
      </c>
      <c r="P436" s="127"/>
      <c r="Q436" s="92" t="s">
        <v>36</v>
      </c>
      <c r="R436" s="111">
        <v>3.4206232E8</v>
      </c>
      <c r="S436" s="126">
        <v>42609.0</v>
      </c>
      <c r="T436" s="92" t="s">
        <v>331</v>
      </c>
      <c r="U436" s="92" t="s">
        <v>3391</v>
      </c>
      <c r="V436" s="92" t="s">
        <v>2587</v>
      </c>
      <c r="W436" s="127"/>
      <c r="X436" s="92" t="s">
        <v>86</v>
      </c>
      <c r="Y436" s="111">
        <v>5.45565385E8</v>
      </c>
      <c r="Z436" s="117" t="s">
        <v>43</v>
      </c>
      <c r="AA436" s="111">
        <v>2.0</v>
      </c>
      <c r="AB436" s="92" t="s">
        <v>934</v>
      </c>
      <c r="AC436" s="92" t="s">
        <v>169</v>
      </c>
      <c r="AD436" s="92" t="s">
        <v>3392</v>
      </c>
      <c r="AE436" s="92"/>
      <c r="AF436" s="92"/>
    </row>
    <row r="437" hidden="1">
      <c r="A437" s="120" t="s">
        <v>157</v>
      </c>
      <c r="B437" s="120" t="s">
        <v>158</v>
      </c>
      <c r="C437" s="120" t="s">
        <v>159</v>
      </c>
      <c r="D437" s="124" t="s">
        <v>142</v>
      </c>
      <c r="E437" s="128" t="s">
        <v>3393</v>
      </c>
      <c r="F437" s="129" t="s">
        <v>255</v>
      </c>
      <c r="G437" s="128" t="s">
        <v>31</v>
      </c>
      <c r="H437" s="130">
        <f>IFERROR(__xludf.DUMMYFUNCTION("IF(ISDATE(S437), DATEDIF(S437, TODAY(), ""Y""), """")"),9.0)</f>
        <v>9</v>
      </c>
      <c r="I437" s="128" t="s">
        <v>3394</v>
      </c>
      <c r="J437" s="128" t="s">
        <v>572</v>
      </c>
      <c r="K437" s="131"/>
      <c r="L437" s="128" t="s">
        <v>164</v>
      </c>
      <c r="M437" s="128" t="s">
        <v>3395</v>
      </c>
      <c r="N437" s="128" t="s">
        <v>44</v>
      </c>
      <c r="O437" s="128"/>
      <c r="P437" s="131"/>
      <c r="Q437" s="128" t="s">
        <v>36</v>
      </c>
      <c r="R437" s="128">
        <v>3.42157062E8</v>
      </c>
      <c r="S437" s="132">
        <v>42560.0</v>
      </c>
      <c r="T437" s="128" t="s">
        <v>3396</v>
      </c>
      <c r="U437" s="128">
        <v>44105.0</v>
      </c>
      <c r="V437" s="128" t="s">
        <v>682</v>
      </c>
      <c r="W437" s="128">
        <v>5.28180154E8</v>
      </c>
      <c r="X437" s="128" t="s">
        <v>42</v>
      </c>
      <c r="Y437" s="128">
        <v>5.45642364E8</v>
      </c>
      <c r="Z437" s="124" t="s">
        <v>43</v>
      </c>
      <c r="AA437" s="133">
        <v>1.0</v>
      </c>
      <c r="AB437" s="134"/>
      <c r="AC437" s="134" t="s">
        <v>169</v>
      </c>
      <c r="AD437" s="131"/>
      <c r="AE437" s="131"/>
      <c r="AF437" s="131"/>
    </row>
    <row r="438" hidden="1">
      <c r="A438" s="135" t="s">
        <v>157</v>
      </c>
      <c r="B438" s="92" t="s">
        <v>140</v>
      </c>
      <c r="C438" s="111" t="s">
        <v>238</v>
      </c>
      <c r="D438" s="126" t="s">
        <v>3397</v>
      </c>
      <c r="E438" s="198" t="s">
        <v>3398</v>
      </c>
      <c r="F438" s="111" t="s">
        <v>3399</v>
      </c>
      <c r="G438" s="92" t="s">
        <v>31</v>
      </c>
      <c r="H438" s="114">
        <f>IFERROR(__xludf.DUMMYFUNCTION("IF(ISDATE(S438), DATEDIF(S438, TODAY(), ""Y""), """")"),13.0)</f>
        <v>13</v>
      </c>
      <c r="I438" s="92" t="s">
        <v>3400</v>
      </c>
      <c r="J438" s="92" t="s">
        <v>1225</v>
      </c>
      <c r="K438" s="111">
        <v>5.46995396E8</v>
      </c>
      <c r="L438" s="92" t="s">
        <v>92</v>
      </c>
      <c r="M438" s="92" t="s">
        <v>3401</v>
      </c>
      <c r="N438" s="92" t="s">
        <v>36</v>
      </c>
      <c r="O438" s="127"/>
      <c r="P438" s="127"/>
      <c r="Q438" s="92" t="s">
        <v>36</v>
      </c>
      <c r="R438" s="111">
        <v>3.37057061E8</v>
      </c>
      <c r="S438" s="126">
        <v>41131.0</v>
      </c>
      <c r="T438" s="117" t="s">
        <v>3402</v>
      </c>
      <c r="U438" s="183">
        <v>44398.0</v>
      </c>
      <c r="V438" s="92" t="s">
        <v>2450</v>
      </c>
      <c r="W438" s="111">
        <v>5.46995393E8</v>
      </c>
      <c r="X438" s="92" t="s">
        <v>3403</v>
      </c>
      <c r="Y438" s="111">
        <v>5.46995396E8</v>
      </c>
      <c r="Z438" s="117" t="s">
        <v>43</v>
      </c>
      <c r="AA438" s="111">
        <v>3.0</v>
      </c>
      <c r="AB438" s="92" t="s">
        <v>165</v>
      </c>
      <c r="AC438" s="92" t="s">
        <v>156</v>
      </c>
      <c r="AD438" s="127"/>
      <c r="AE438" s="127"/>
      <c r="AF438" s="127"/>
    </row>
    <row r="439" hidden="1">
      <c r="A439" s="120" t="s">
        <v>157</v>
      </c>
      <c r="B439" s="120" t="s">
        <v>158</v>
      </c>
      <c r="C439" s="120" t="s">
        <v>159</v>
      </c>
      <c r="D439" s="121" t="s">
        <v>2055</v>
      </c>
      <c r="E439" s="120" t="s">
        <v>3404</v>
      </c>
      <c r="F439" s="122"/>
      <c r="G439" s="120" t="s">
        <v>90</v>
      </c>
      <c r="H439" s="130">
        <f>IFERROR(__xludf.DUMMYFUNCTION("IF(ISDATE(S439), DATEDIF(S439, TODAY(), ""Y""), """")"),8.0)</f>
        <v>8</v>
      </c>
      <c r="I439" s="120" t="s">
        <v>3405</v>
      </c>
      <c r="J439" s="120" t="s">
        <v>806</v>
      </c>
      <c r="K439" s="139"/>
      <c r="L439" s="120" t="s">
        <v>103</v>
      </c>
      <c r="M439" s="120" t="s">
        <v>3406</v>
      </c>
      <c r="N439" s="120" t="s">
        <v>44</v>
      </c>
      <c r="O439" s="139"/>
      <c r="P439" s="120" t="s">
        <v>3407</v>
      </c>
      <c r="Q439" s="120" t="s">
        <v>44</v>
      </c>
      <c r="R439" s="122">
        <v>3.43048427E8</v>
      </c>
      <c r="S439" s="121">
        <v>42944.0</v>
      </c>
      <c r="T439" s="120" t="s">
        <v>1578</v>
      </c>
      <c r="U439" s="182">
        <v>44903.0</v>
      </c>
      <c r="V439" s="120" t="s">
        <v>1525</v>
      </c>
      <c r="W439" s="123">
        <v>5.37795746E8</v>
      </c>
      <c r="X439" s="120" t="s">
        <v>3408</v>
      </c>
      <c r="Y439" s="122">
        <v>5.26464576E8</v>
      </c>
      <c r="Z439" s="124" t="s">
        <v>43</v>
      </c>
      <c r="AA439" s="122">
        <v>3.0</v>
      </c>
      <c r="AB439" s="139"/>
      <c r="AC439" s="120" t="s">
        <v>156</v>
      </c>
      <c r="AD439" s="139"/>
      <c r="AE439" s="139"/>
      <c r="AF439" s="139"/>
    </row>
    <row r="440" hidden="1">
      <c r="A440" s="92" t="s">
        <v>157</v>
      </c>
      <c r="B440" s="92" t="s">
        <v>158</v>
      </c>
      <c r="C440" s="92" t="s">
        <v>159</v>
      </c>
      <c r="D440" s="117" t="s">
        <v>142</v>
      </c>
      <c r="E440" s="113" t="s">
        <v>3409</v>
      </c>
      <c r="F440" s="137" t="s">
        <v>3410</v>
      </c>
      <c r="G440" s="113" t="s">
        <v>31</v>
      </c>
      <c r="H440" s="114">
        <f>IFERROR(__xludf.DUMMYFUNCTION("IF(ISDATE(S440), DATEDIF(S440, TODAY(), ""Y""), """")"),8.0)</f>
        <v>8</v>
      </c>
      <c r="I440" s="113" t="s">
        <v>3411</v>
      </c>
      <c r="J440" s="113" t="s">
        <v>3412</v>
      </c>
      <c r="K440" s="119"/>
      <c r="L440" s="113" t="s">
        <v>92</v>
      </c>
      <c r="M440" s="113" t="s">
        <v>3413</v>
      </c>
      <c r="N440" s="113" t="s">
        <v>44</v>
      </c>
      <c r="O440" s="113"/>
      <c r="P440" s="119"/>
      <c r="Q440" s="113" t="s">
        <v>44</v>
      </c>
      <c r="R440" s="113">
        <v>3.43089553E8</v>
      </c>
      <c r="S440" s="118">
        <v>42996.0</v>
      </c>
      <c r="T440" s="113" t="s">
        <v>244</v>
      </c>
      <c r="U440" s="113">
        <v>43991.0</v>
      </c>
      <c r="V440" s="113" t="s">
        <v>3414</v>
      </c>
      <c r="W440" s="113">
        <v>5.2555068E8</v>
      </c>
      <c r="X440" s="113" t="s">
        <v>203</v>
      </c>
      <c r="Y440" s="113">
        <v>5.46578916E8</v>
      </c>
      <c r="Z440" s="117" t="s">
        <v>43</v>
      </c>
      <c r="AA440" s="138">
        <v>2.0</v>
      </c>
      <c r="AB440" s="116"/>
      <c r="AC440" s="116" t="s">
        <v>169</v>
      </c>
      <c r="AD440" s="119"/>
      <c r="AE440" s="119"/>
      <c r="AF440" s="119"/>
    </row>
    <row r="441" hidden="1">
      <c r="A441" s="120" t="s">
        <v>157</v>
      </c>
      <c r="B441" s="120" t="s">
        <v>158</v>
      </c>
      <c r="C441" s="120" t="s">
        <v>159</v>
      </c>
      <c r="D441" s="124" t="s">
        <v>142</v>
      </c>
      <c r="E441" s="128" t="s">
        <v>3415</v>
      </c>
      <c r="F441" s="129">
        <v>45161.0</v>
      </c>
      <c r="G441" s="128" t="s">
        <v>90</v>
      </c>
      <c r="H441" s="130">
        <f>IFERROR(__xludf.DUMMYFUNCTION("IF(ISDATE(S441), DATEDIF(S441, TODAY(), ""Y""), """")"),8.0)</f>
        <v>8</v>
      </c>
      <c r="I441" s="128"/>
      <c r="J441" s="128" t="s">
        <v>3416</v>
      </c>
      <c r="K441" s="131"/>
      <c r="L441" s="128" t="s">
        <v>3417</v>
      </c>
      <c r="M441" s="128" t="s">
        <v>3418</v>
      </c>
      <c r="N441" s="128" t="s">
        <v>44</v>
      </c>
      <c r="O441" s="128"/>
      <c r="P441" s="131"/>
      <c r="Q441" s="128" t="s">
        <v>3419</v>
      </c>
      <c r="R441" s="128">
        <v>3.43147302E8</v>
      </c>
      <c r="S441" s="132">
        <v>43071.0</v>
      </c>
      <c r="T441" s="128" t="s">
        <v>38</v>
      </c>
      <c r="U441" s="128" t="s">
        <v>3420</v>
      </c>
      <c r="V441" s="128" t="s">
        <v>119</v>
      </c>
      <c r="W441" s="143" t="s">
        <v>3421</v>
      </c>
      <c r="X441" s="128" t="s">
        <v>2451</v>
      </c>
      <c r="Y441" s="143" t="s">
        <v>3422</v>
      </c>
      <c r="Z441" s="124" t="s">
        <v>43</v>
      </c>
      <c r="AA441" s="133">
        <v>2.0</v>
      </c>
      <c r="AB441" s="134"/>
      <c r="AC441" s="120" t="s">
        <v>169</v>
      </c>
      <c r="AD441" s="131"/>
      <c r="AE441" s="131"/>
      <c r="AF441" s="131"/>
    </row>
    <row r="442" hidden="1">
      <c r="A442" s="92" t="s">
        <v>157</v>
      </c>
      <c r="B442" s="92" t="s">
        <v>158</v>
      </c>
      <c r="C442" s="92" t="s">
        <v>159</v>
      </c>
      <c r="D442" s="126">
        <v>45966.0</v>
      </c>
      <c r="E442" s="92" t="s">
        <v>3423</v>
      </c>
      <c r="F442" s="111" t="s">
        <v>992</v>
      </c>
      <c r="G442" s="92" t="s">
        <v>31</v>
      </c>
      <c r="H442" s="114">
        <f>IFERROR(__xludf.DUMMYFUNCTION("IF(ISDATE(S442), DATEDIF(S442, TODAY(), ""Y""), """")"),8.0)</f>
        <v>8</v>
      </c>
      <c r="I442" s="127"/>
      <c r="J442" s="92" t="s">
        <v>3424</v>
      </c>
      <c r="K442" s="127"/>
      <c r="L442" s="92" t="s">
        <v>49</v>
      </c>
      <c r="M442" s="92" t="s">
        <v>424</v>
      </c>
      <c r="N442" s="92" t="s">
        <v>44</v>
      </c>
      <c r="O442" s="127"/>
      <c r="P442" s="111" t="s">
        <v>3425</v>
      </c>
      <c r="Q442" s="92" t="s">
        <v>44</v>
      </c>
      <c r="R442" s="111">
        <v>3.43335667E8</v>
      </c>
      <c r="S442" s="126">
        <v>42837.0</v>
      </c>
      <c r="T442" s="111" t="s">
        <v>3426</v>
      </c>
      <c r="U442" s="92" t="s">
        <v>3427</v>
      </c>
      <c r="V442" s="92" t="s">
        <v>1291</v>
      </c>
      <c r="W442" s="111">
        <v>5.23581976E8</v>
      </c>
      <c r="X442" s="92" t="s">
        <v>2267</v>
      </c>
      <c r="Y442" s="111">
        <v>5.45499752E8</v>
      </c>
      <c r="Z442" s="117" t="s">
        <v>43</v>
      </c>
      <c r="AA442" s="111">
        <v>1.0</v>
      </c>
      <c r="AB442" s="92" t="s">
        <v>3428</v>
      </c>
      <c r="AC442" s="92" t="s">
        <v>156</v>
      </c>
      <c r="AD442" s="127"/>
      <c r="AE442" s="127"/>
      <c r="AF442" s="127"/>
    </row>
    <row r="443" hidden="1">
      <c r="A443" s="108" t="s">
        <v>157</v>
      </c>
      <c r="B443" s="120" t="s">
        <v>140</v>
      </c>
      <c r="C443" s="122" t="s">
        <v>238</v>
      </c>
      <c r="D443" s="121">
        <v>45907.0</v>
      </c>
      <c r="E443" s="120" t="s">
        <v>3429</v>
      </c>
      <c r="F443" s="158">
        <v>45048.0</v>
      </c>
      <c r="G443" s="120" t="s">
        <v>90</v>
      </c>
      <c r="H443" s="130">
        <f>IFERROR(__xludf.DUMMYFUNCTION("IF(ISDATE(S443), DATEDIF(S443, TODAY(), ""Y""), """")"),11.0)</f>
        <v>11</v>
      </c>
      <c r="I443" s="120" t="s">
        <v>3430</v>
      </c>
      <c r="J443" s="120" t="s">
        <v>2844</v>
      </c>
      <c r="K443" s="122">
        <v>5.03449605E8</v>
      </c>
      <c r="L443" s="120" t="s">
        <v>3431</v>
      </c>
      <c r="M443" s="120" t="s">
        <v>3432</v>
      </c>
      <c r="N443" s="120" t="s">
        <v>36</v>
      </c>
      <c r="O443" s="120" t="s">
        <v>3433</v>
      </c>
      <c r="P443" s="139"/>
      <c r="Q443" s="120" t="s">
        <v>3434</v>
      </c>
      <c r="R443" s="122">
        <v>3.3816797E8</v>
      </c>
      <c r="S443" s="121">
        <v>41662.0</v>
      </c>
      <c r="T443" s="120" t="s">
        <v>3435</v>
      </c>
      <c r="U443" s="122">
        <v>2014.0</v>
      </c>
      <c r="V443" s="120" t="s">
        <v>3436</v>
      </c>
      <c r="W443" s="122">
        <v>5.2796026E8</v>
      </c>
      <c r="X443" s="120" t="s">
        <v>3437</v>
      </c>
      <c r="Y443" s="122">
        <v>5.22793752E8</v>
      </c>
      <c r="Z443" s="124" t="s">
        <v>43</v>
      </c>
      <c r="AA443" s="122">
        <v>2.0</v>
      </c>
      <c r="AB443" s="120" t="s">
        <v>3438</v>
      </c>
      <c r="AC443" s="120" t="s">
        <v>156</v>
      </c>
      <c r="AD443" s="120" t="s">
        <v>3439</v>
      </c>
      <c r="AE443" s="139"/>
      <c r="AF443" s="120" t="s">
        <v>3440</v>
      </c>
    </row>
    <row r="444" hidden="1">
      <c r="A444" s="92" t="s">
        <v>157</v>
      </c>
      <c r="B444" s="92" t="s">
        <v>158</v>
      </c>
      <c r="C444" s="92" t="s">
        <v>159</v>
      </c>
      <c r="D444" s="126" t="s">
        <v>2055</v>
      </c>
      <c r="E444" s="92" t="s">
        <v>3441</v>
      </c>
      <c r="F444" s="111"/>
      <c r="G444" s="92" t="s">
        <v>90</v>
      </c>
      <c r="H444" s="114">
        <f>IFERROR(__xludf.DUMMYFUNCTION("IF(ISDATE(S444), DATEDIF(S444, TODAY(), ""Y""), """")"),8.0)</f>
        <v>8</v>
      </c>
      <c r="I444" s="92" t="s">
        <v>3442</v>
      </c>
      <c r="J444" s="92" t="s">
        <v>257</v>
      </c>
      <c r="K444" s="127"/>
      <c r="L444" s="92" t="s">
        <v>92</v>
      </c>
      <c r="M444" s="92" t="s">
        <v>3443</v>
      </c>
      <c r="N444" s="92" t="s">
        <v>44</v>
      </c>
      <c r="O444" s="92"/>
      <c r="P444" s="92" t="s">
        <v>3407</v>
      </c>
      <c r="Q444" s="92" t="s">
        <v>44</v>
      </c>
      <c r="R444" s="111">
        <v>3.43471272E8</v>
      </c>
      <c r="S444" s="126">
        <v>42859.0</v>
      </c>
      <c r="T444" s="92" t="s">
        <v>3444</v>
      </c>
      <c r="U444" s="127"/>
      <c r="V444" s="92" t="s">
        <v>2387</v>
      </c>
      <c r="W444" s="245"/>
      <c r="X444" s="92" t="s">
        <v>3445</v>
      </c>
      <c r="Y444" s="111">
        <v>5.35300427E8</v>
      </c>
      <c r="Z444" s="117" t="s">
        <v>43</v>
      </c>
      <c r="AA444" s="111">
        <v>4.0</v>
      </c>
      <c r="AB444" s="127"/>
      <c r="AC444" s="92" t="s">
        <v>156</v>
      </c>
      <c r="AD444" s="127"/>
      <c r="AE444" s="127"/>
      <c r="AF444" s="127"/>
    </row>
    <row r="445" hidden="1">
      <c r="A445" s="135" t="s">
        <v>157</v>
      </c>
      <c r="B445" s="120" t="s">
        <v>140</v>
      </c>
      <c r="C445" s="122" t="s">
        <v>141</v>
      </c>
      <c r="D445" s="130" t="s">
        <v>895</v>
      </c>
      <c r="E445" s="124" t="s">
        <v>3446</v>
      </c>
      <c r="F445" s="161">
        <v>45789.0</v>
      </c>
      <c r="G445" s="124" t="s">
        <v>90</v>
      </c>
      <c r="H445" s="130">
        <f>IFERROR(__xludf.DUMMYFUNCTION("IF(ISDATE(S445), DATEDIF(S445, TODAY(), ""Y""), """")"),10.0)</f>
        <v>10</v>
      </c>
      <c r="I445" s="124" t="s">
        <v>3447</v>
      </c>
      <c r="J445" s="124" t="s">
        <v>572</v>
      </c>
      <c r="K445" s="131"/>
      <c r="L445" s="124" t="s">
        <v>2065</v>
      </c>
      <c r="M445" s="124" t="s">
        <v>3448</v>
      </c>
      <c r="N445" s="124" t="s">
        <v>44</v>
      </c>
      <c r="O445" s="130" t="s">
        <v>3449</v>
      </c>
      <c r="P445" s="130" t="s">
        <v>3450</v>
      </c>
      <c r="Q445" s="124" t="s">
        <v>3451</v>
      </c>
      <c r="R445" s="130">
        <v>3.38437916E8</v>
      </c>
      <c r="S445" s="156">
        <v>42030.0</v>
      </c>
      <c r="T445" s="124" t="s">
        <v>1767</v>
      </c>
      <c r="U445" s="124" t="s">
        <v>3452</v>
      </c>
      <c r="V445" s="124" t="s">
        <v>3453</v>
      </c>
      <c r="W445" s="162" t="s">
        <v>3454</v>
      </c>
      <c r="X445" s="124" t="s">
        <v>3455</v>
      </c>
      <c r="Y445" s="162" t="s">
        <v>3456</v>
      </c>
      <c r="Z445" s="124" t="s">
        <v>43</v>
      </c>
      <c r="AA445" s="130">
        <v>2.0</v>
      </c>
      <c r="AB445" s="124" t="s">
        <v>3457</v>
      </c>
      <c r="AC445" s="134" t="s">
        <v>169</v>
      </c>
      <c r="AD445" s="131"/>
      <c r="AE445" s="131"/>
      <c r="AF445" s="124" t="s">
        <v>3458</v>
      </c>
    </row>
    <row r="446" hidden="1">
      <c r="A446" s="92" t="s">
        <v>157</v>
      </c>
      <c r="B446" s="92" t="s">
        <v>158</v>
      </c>
      <c r="C446" s="92" t="s">
        <v>159</v>
      </c>
      <c r="D446" s="117" t="s">
        <v>142</v>
      </c>
      <c r="E446" s="113" t="s">
        <v>3459</v>
      </c>
      <c r="F446" s="137" t="s">
        <v>3198</v>
      </c>
      <c r="G446" s="113" t="s">
        <v>90</v>
      </c>
      <c r="H446" s="114">
        <f>IFERROR(__xludf.DUMMYFUNCTION("IF(ISDATE(S446), DATEDIF(S446, TODAY(), ""Y""), """")"),8.0)</f>
        <v>8</v>
      </c>
      <c r="I446" s="113" t="s">
        <v>3460</v>
      </c>
      <c r="J446" s="113" t="s">
        <v>656</v>
      </c>
      <c r="K446" s="119">
        <v>5.45209874E8</v>
      </c>
      <c r="L446" s="113" t="s">
        <v>164</v>
      </c>
      <c r="M446" s="113" t="s">
        <v>3461</v>
      </c>
      <c r="N446" s="113" t="s">
        <v>44</v>
      </c>
      <c r="O446" s="113"/>
      <c r="P446" s="119"/>
      <c r="Q446" s="113" t="s">
        <v>44</v>
      </c>
      <c r="R446" s="113">
        <v>3.43538013E8</v>
      </c>
      <c r="S446" s="118">
        <v>42859.0</v>
      </c>
      <c r="T446" s="113" t="s">
        <v>1280</v>
      </c>
      <c r="U446" s="113">
        <v>44013.0</v>
      </c>
      <c r="V446" s="113" t="s">
        <v>1853</v>
      </c>
      <c r="W446" s="113">
        <v>5.29258192E8</v>
      </c>
      <c r="X446" s="113" t="s">
        <v>42</v>
      </c>
      <c r="Y446" s="113">
        <v>5.45209874E8</v>
      </c>
      <c r="Z446" s="117" t="s">
        <v>43</v>
      </c>
      <c r="AA446" s="138">
        <v>3.0</v>
      </c>
      <c r="AB446" s="116"/>
      <c r="AC446" s="116" t="s">
        <v>169</v>
      </c>
      <c r="AD446" s="119"/>
      <c r="AE446" s="119"/>
      <c r="AF446" s="119"/>
    </row>
    <row r="447" hidden="1">
      <c r="A447" s="108" t="s">
        <v>157</v>
      </c>
      <c r="B447" s="120" t="s">
        <v>140</v>
      </c>
      <c r="C447" s="122" t="s">
        <v>238</v>
      </c>
      <c r="D447" s="156">
        <v>45857.0</v>
      </c>
      <c r="E447" s="124" t="s">
        <v>3462</v>
      </c>
      <c r="F447" s="161">
        <v>45857.0</v>
      </c>
      <c r="G447" s="124" t="s">
        <v>31</v>
      </c>
      <c r="H447" s="130">
        <v>12.0</v>
      </c>
      <c r="I447" s="124" t="s">
        <v>3463</v>
      </c>
      <c r="J447" s="124" t="s">
        <v>3464</v>
      </c>
      <c r="K447" s="209" t="s">
        <v>3465</v>
      </c>
      <c r="L447" s="124" t="s">
        <v>92</v>
      </c>
      <c r="M447" s="124" t="s">
        <v>3466</v>
      </c>
      <c r="N447" s="124" t="s">
        <v>36</v>
      </c>
      <c r="O447" s="124" t="s">
        <v>3467</v>
      </c>
      <c r="P447" s="124"/>
      <c r="Q447" s="124" t="s">
        <v>3468</v>
      </c>
      <c r="R447" s="130">
        <v>3.38520166E8</v>
      </c>
      <c r="S447" s="156">
        <v>41480.0</v>
      </c>
      <c r="T447" s="124" t="s">
        <v>634</v>
      </c>
      <c r="U447" s="130" t="s">
        <v>2765</v>
      </c>
      <c r="V447" s="124" t="s">
        <v>1188</v>
      </c>
      <c r="W447" s="162" t="s">
        <v>3469</v>
      </c>
      <c r="X447" s="124" t="s">
        <v>491</v>
      </c>
      <c r="Y447" s="162" t="s">
        <v>3470</v>
      </c>
      <c r="Z447" s="124" t="s">
        <v>43</v>
      </c>
      <c r="AA447" s="130">
        <v>3.0</v>
      </c>
      <c r="AB447" s="124"/>
      <c r="AC447" s="120" t="s">
        <v>156</v>
      </c>
      <c r="AD447" s="131"/>
      <c r="AE447" s="131"/>
      <c r="AF447" s="124" t="s">
        <v>960</v>
      </c>
    </row>
    <row r="448" hidden="1">
      <c r="A448" s="92" t="s">
        <v>157</v>
      </c>
      <c r="B448" s="92" t="s">
        <v>158</v>
      </c>
      <c r="C448" s="92" t="s">
        <v>159</v>
      </c>
      <c r="D448" s="126">
        <v>45847.0</v>
      </c>
      <c r="E448" s="92" t="s">
        <v>3471</v>
      </c>
      <c r="F448" s="183">
        <v>44451.0</v>
      </c>
      <c r="G448" s="92" t="s">
        <v>31</v>
      </c>
      <c r="H448" s="114">
        <f>IFERROR(__xludf.DUMMYFUNCTION("IF(ISDATE(S448), DATEDIF(S448, TODAY(), ""Y""), """")"),8.0)</f>
        <v>8</v>
      </c>
      <c r="I448" s="92" t="s">
        <v>3472</v>
      </c>
      <c r="J448" s="92" t="s">
        <v>188</v>
      </c>
      <c r="K448" s="111">
        <v>5.48364142E8</v>
      </c>
      <c r="L448" s="92"/>
      <c r="M448" s="92" t="s">
        <v>424</v>
      </c>
      <c r="N448" s="92" t="s">
        <v>44</v>
      </c>
      <c r="O448" s="127"/>
      <c r="P448" s="92" t="s">
        <v>2018</v>
      </c>
      <c r="Q448" s="92" t="s">
        <v>44</v>
      </c>
      <c r="R448" s="111">
        <v>3.4360134E8</v>
      </c>
      <c r="S448" s="126">
        <v>43097.0</v>
      </c>
      <c r="T448" s="92" t="s">
        <v>38</v>
      </c>
      <c r="U448" s="183">
        <v>43862.0</v>
      </c>
      <c r="V448" s="92" t="s">
        <v>2799</v>
      </c>
      <c r="W448" s="111">
        <v>5.04987E8</v>
      </c>
      <c r="X448" s="92" t="s">
        <v>3473</v>
      </c>
      <c r="Y448" s="111">
        <v>5.48364142E8</v>
      </c>
      <c r="Z448" s="117" t="s">
        <v>43</v>
      </c>
      <c r="AA448" s="111">
        <v>2.0</v>
      </c>
      <c r="AB448" s="127"/>
      <c r="AC448" s="92" t="s">
        <v>156</v>
      </c>
      <c r="AD448" s="127"/>
      <c r="AE448" s="127"/>
      <c r="AF448" s="127"/>
    </row>
    <row r="449" hidden="1">
      <c r="A449" s="135" t="s">
        <v>157</v>
      </c>
      <c r="B449" s="120" t="s">
        <v>140</v>
      </c>
      <c r="C449" s="120" t="s">
        <v>409</v>
      </c>
      <c r="D449" s="122" t="s">
        <v>895</v>
      </c>
      <c r="E449" s="120" t="s">
        <v>3474</v>
      </c>
      <c r="F449" s="122"/>
      <c r="G449" s="120" t="s">
        <v>31</v>
      </c>
      <c r="H449" s="130">
        <f>IFERROR(__xludf.DUMMYFUNCTION("IF(ISDATE(S449), DATEDIF(S449, TODAY(), ""Y""), """")"),12.0)</f>
        <v>12</v>
      </c>
      <c r="I449" s="120" t="s">
        <v>3475</v>
      </c>
      <c r="J449" s="120" t="s">
        <v>3476</v>
      </c>
      <c r="K449" s="139"/>
      <c r="L449" s="120" t="s">
        <v>92</v>
      </c>
      <c r="M449" s="120" t="s">
        <v>3477</v>
      </c>
      <c r="N449" s="120" t="s">
        <v>44</v>
      </c>
      <c r="O449" s="139"/>
      <c r="P449" s="120" t="s">
        <v>677</v>
      </c>
      <c r="Q449" s="120" t="s">
        <v>44</v>
      </c>
      <c r="R449" s="122">
        <v>3.38989593E8</v>
      </c>
      <c r="S449" s="121">
        <v>41622.0</v>
      </c>
      <c r="T449" s="120" t="s">
        <v>38</v>
      </c>
      <c r="U449" s="182">
        <v>45286.0</v>
      </c>
      <c r="V449" s="120" t="s">
        <v>3478</v>
      </c>
      <c r="W449" s="123">
        <v>5.07388838E8</v>
      </c>
      <c r="X449" s="120" t="s">
        <v>1006</v>
      </c>
      <c r="Y449" s="122">
        <v>5.08449686E8</v>
      </c>
      <c r="Z449" s="124" t="s">
        <v>43</v>
      </c>
      <c r="AA449" s="122">
        <v>4.0</v>
      </c>
      <c r="AB449" s="120" t="s">
        <v>3479</v>
      </c>
      <c r="AC449" s="120" t="s">
        <v>169</v>
      </c>
      <c r="AD449" s="120"/>
      <c r="AE449" s="139"/>
      <c r="AF449" s="120" t="s">
        <v>3480</v>
      </c>
    </row>
    <row r="450" hidden="1">
      <c r="A450" s="92" t="s">
        <v>157</v>
      </c>
      <c r="B450" s="92" t="s">
        <v>158</v>
      </c>
      <c r="C450" s="92" t="s">
        <v>159</v>
      </c>
      <c r="D450" s="117" t="s">
        <v>142</v>
      </c>
      <c r="E450" s="113" t="s">
        <v>3481</v>
      </c>
      <c r="F450" s="137" t="s">
        <v>3482</v>
      </c>
      <c r="G450" s="113" t="s">
        <v>31</v>
      </c>
      <c r="H450" s="114">
        <f>IFERROR(__xludf.DUMMYFUNCTION("IF(ISDATE(S450), DATEDIF(S450, TODAY(), ""Y""), """")"),7.0)</f>
        <v>7</v>
      </c>
      <c r="I450" s="113" t="s">
        <v>3483</v>
      </c>
      <c r="J450" s="113" t="s">
        <v>656</v>
      </c>
      <c r="K450" s="119"/>
      <c r="L450" s="113" t="s">
        <v>92</v>
      </c>
      <c r="M450" s="113" t="s">
        <v>3484</v>
      </c>
      <c r="N450" s="113" t="s">
        <v>44</v>
      </c>
      <c r="O450" s="113"/>
      <c r="P450" s="119"/>
      <c r="Q450" s="113" t="s">
        <v>44</v>
      </c>
      <c r="R450" s="113">
        <v>3.43641296E8</v>
      </c>
      <c r="S450" s="118">
        <v>43251.0</v>
      </c>
      <c r="T450" s="113" t="s">
        <v>38</v>
      </c>
      <c r="U450" s="113">
        <v>44108.0</v>
      </c>
      <c r="V450" s="113" t="s">
        <v>1188</v>
      </c>
      <c r="W450" s="113">
        <v>5.26322023E8</v>
      </c>
      <c r="X450" s="113" t="s">
        <v>1772</v>
      </c>
      <c r="Y450" s="113">
        <v>5.27209283E8</v>
      </c>
      <c r="Z450" s="117" t="s">
        <v>43</v>
      </c>
      <c r="AA450" s="138">
        <v>3.0</v>
      </c>
      <c r="AB450" s="116"/>
      <c r="AC450" s="116" t="s">
        <v>169</v>
      </c>
      <c r="AD450" s="119"/>
      <c r="AE450" s="119"/>
      <c r="AF450" s="119"/>
    </row>
    <row r="451" hidden="1">
      <c r="A451" s="135" t="s">
        <v>157</v>
      </c>
      <c r="B451" s="120" t="s">
        <v>158</v>
      </c>
      <c r="C451" s="122" t="s">
        <v>159</v>
      </c>
      <c r="D451" s="122" t="s">
        <v>895</v>
      </c>
      <c r="E451" s="120" t="s">
        <v>3485</v>
      </c>
      <c r="F451" s="122"/>
      <c r="G451" s="120" t="s">
        <v>31</v>
      </c>
      <c r="H451" s="130">
        <f>IFERROR(__xludf.DUMMYFUNCTION("IF(ISDATE(S451), DATEDIF(S451, TODAY(), ""Y""), """")"),8.0)</f>
        <v>8</v>
      </c>
      <c r="I451" s="120" t="s">
        <v>3486</v>
      </c>
      <c r="J451" s="120" t="s">
        <v>590</v>
      </c>
      <c r="K451" s="139"/>
      <c r="L451" s="120" t="s">
        <v>92</v>
      </c>
      <c r="M451" s="120" t="s">
        <v>3487</v>
      </c>
      <c r="N451" s="120" t="s">
        <v>44</v>
      </c>
      <c r="O451" s="139"/>
      <c r="P451" s="120" t="s">
        <v>118</v>
      </c>
      <c r="Q451" s="120" t="s">
        <v>44</v>
      </c>
      <c r="R451" s="122">
        <v>3.43681664E8</v>
      </c>
      <c r="S451" s="121">
        <v>43003.0</v>
      </c>
      <c r="T451" s="120" t="s">
        <v>2983</v>
      </c>
      <c r="U451" s="182">
        <v>44732.0</v>
      </c>
      <c r="V451" s="120" t="s">
        <v>538</v>
      </c>
      <c r="W451" s="123">
        <v>5.3222959E8</v>
      </c>
      <c r="X451" s="120" t="s">
        <v>745</v>
      </c>
      <c r="Y451" s="122">
        <v>5.06498788E8</v>
      </c>
      <c r="Z451" s="124" t="s">
        <v>43</v>
      </c>
      <c r="AA451" s="122">
        <v>3.0</v>
      </c>
      <c r="AB451" s="122" t="s">
        <v>2887</v>
      </c>
      <c r="AC451" s="120" t="s">
        <v>169</v>
      </c>
      <c r="AD451" s="120" t="s">
        <v>3488</v>
      </c>
      <c r="AE451" s="120"/>
      <c r="AF451" s="120" t="s">
        <v>3489</v>
      </c>
    </row>
    <row r="452" hidden="1">
      <c r="A452" s="92" t="s">
        <v>157</v>
      </c>
      <c r="B452" s="92" t="s">
        <v>158</v>
      </c>
      <c r="C452" s="92" t="s">
        <v>159</v>
      </c>
      <c r="D452" s="117" t="s">
        <v>142</v>
      </c>
      <c r="E452" s="113" t="s">
        <v>3490</v>
      </c>
      <c r="F452" s="137" t="s">
        <v>3491</v>
      </c>
      <c r="G452" s="113" t="s">
        <v>90</v>
      </c>
      <c r="H452" s="114">
        <f>IFERROR(__xludf.DUMMYFUNCTION("IF(ISDATE(S452), DATEDIF(S452, TODAY(), ""Y""), """")"),8.0)</f>
        <v>8</v>
      </c>
      <c r="I452" s="113" t="s">
        <v>3492</v>
      </c>
      <c r="J452" s="113" t="s">
        <v>1225</v>
      </c>
      <c r="K452" s="119">
        <v>5.47831768E8</v>
      </c>
      <c r="L452" s="113" t="s">
        <v>92</v>
      </c>
      <c r="M452" s="113" t="s">
        <v>3493</v>
      </c>
      <c r="N452" s="113" t="s">
        <v>44</v>
      </c>
      <c r="O452" s="113"/>
      <c r="P452" s="119"/>
      <c r="Q452" s="113" t="s">
        <v>36</v>
      </c>
      <c r="R452" s="113">
        <v>3.43760336E8</v>
      </c>
      <c r="S452" s="118">
        <v>43004.0</v>
      </c>
      <c r="T452" s="113" t="s">
        <v>259</v>
      </c>
      <c r="U452" s="113">
        <v>44371.0</v>
      </c>
      <c r="V452" s="113" t="s">
        <v>789</v>
      </c>
      <c r="W452" s="113">
        <v>5.06775673E8</v>
      </c>
      <c r="X452" s="113" t="s">
        <v>1127</v>
      </c>
      <c r="Y452" s="113">
        <v>5.47831768E8</v>
      </c>
      <c r="Z452" s="117" t="s">
        <v>43</v>
      </c>
      <c r="AA452" s="138">
        <v>2.0</v>
      </c>
      <c r="AB452" s="116"/>
      <c r="AC452" s="92" t="s">
        <v>169</v>
      </c>
      <c r="AD452" s="119"/>
      <c r="AE452" s="119"/>
      <c r="AF452" s="119"/>
    </row>
    <row r="453" hidden="1">
      <c r="A453" s="120" t="s">
        <v>157</v>
      </c>
      <c r="B453" s="120" t="s">
        <v>158</v>
      </c>
      <c r="C453" s="120" t="s">
        <v>159</v>
      </c>
      <c r="D453" s="121">
        <v>45845.0</v>
      </c>
      <c r="E453" s="120" t="s">
        <v>202</v>
      </c>
      <c r="F453" s="122" t="s">
        <v>1486</v>
      </c>
      <c r="G453" s="120" t="s">
        <v>31</v>
      </c>
      <c r="H453" s="130">
        <f>IFERROR(__xludf.DUMMYFUNCTION("IF(ISDATE(S453), DATEDIF(S453, TODAY(), ""Y""), """")"),4.0)</f>
        <v>4</v>
      </c>
      <c r="I453" s="120" t="s">
        <v>3494</v>
      </c>
      <c r="J453" s="120" t="s">
        <v>3495</v>
      </c>
      <c r="K453" s="139"/>
      <c r="L453" s="120" t="s">
        <v>92</v>
      </c>
      <c r="M453" s="120" t="s">
        <v>3496</v>
      </c>
      <c r="N453" s="120" t="s">
        <v>44</v>
      </c>
      <c r="O453" s="120" t="s">
        <v>3497</v>
      </c>
      <c r="P453" s="120" t="s">
        <v>3498</v>
      </c>
      <c r="Q453" s="120" t="s">
        <v>44</v>
      </c>
      <c r="R453" s="122">
        <v>3.43817314E8</v>
      </c>
      <c r="S453" s="121">
        <v>44450.0</v>
      </c>
      <c r="T453" s="120" t="s">
        <v>38</v>
      </c>
      <c r="U453" s="182">
        <v>45487.0</v>
      </c>
      <c r="V453" s="120" t="s">
        <v>2695</v>
      </c>
      <c r="W453" s="123">
        <v>5.07371251E8</v>
      </c>
      <c r="X453" s="120" t="s">
        <v>3499</v>
      </c>
      <c r="Y453" s="122">
        <v>5.072405E8</v>
      </c>
      <c r="Z453" s="124" t="s">
        <v>43</v>
      </c>
      <c r="AA453" s="122">
        <v>1.0</v>
      </c>
      <c r="AB453" s="120" t="s">
        <v>3500</v>
      </c>
      <c r="AC453" s="120" t="s">
        <v>156</v>
      </c>
      <c r="AD453" s="120"/>
      <c r="AE453" s="139"/>
      <c r="AF453" s="139"/>
    </row>
    <row r="454" hidden="1">
      <c r="A454" s="108" t="s">
        <v>157</v>
      </c>
      <c r="B454" s="111" t="s">
        <v>140</v>
      </c>
      <c r="C454" s="111" t="s">
        <v>409</v>
      </c>
      <c r="D454" s="126">
        <v>45946.0</v>
      </c>
      <c r="E454" s="92" t="s">
        <v>3501</v>
      </c>
      <c r="F454" s="111" t="s">
        <v>1564</v>
      </c>
      <c r="G454" s="92" t="s">
        <v>31</v>
      </c>
      <c r="H454" s="136">
        <f>IFERROR(__xludf.DUMMYFUNCTION("IF(ISDATE(S454), DATEDIF(S454, TODAY(), ""Y""), """")"),10.0)</f>
        <v>10</v>
      </c>
      <c r="I454" s="127"/>
      <c r="J454" s="92" t="s">
        <v>3502</v>
      </c>
      <c r="K454" s="127"/>
      <c r="L454" s="92" t="s">
        <v>92</v>
      </c>
      <c r="M454" s="92" t="s">
        <v>2465</v>
      </c>
      <c r="N454" s="92" t="s">
        <v>44</v>
      </c>
      <c r="O454" s="92"/>
      <c r="P454" s="127"/>
      <c r="Q454" s="92" t="s">
        <v>44</v>
      </c>
      <c r="R454" s="111">
        <v>3.40052125E8</v>
      </c>
      <c r="S454" s="126">
        <v>42076.0</v>
      </c>
      <c r="T454" s="92" t="s">
        <v>38</v>
      </c>
      <c r="U454" s="92" t="s">
        <v>3503</v>
      </c>
      <c r="V454" s="92" t="s">
        <v>2505</v>
      </c>
      <c r="W454" s="111">
        <v>5.29203598E8</v>
      </c>
      <c r="X454" s="92" t="s">
        <v>763</v>
      </c>
      <c r="Y454" s="111">
        <v>5.23425272E8</v>
      </c>
      <c r="Z454" s="117" t="s">
        <v>43</v>
      </c>
      <c r="AA454" s="111">
        <v>2.0</v>
      </c>
      <c r="AB454" s="92"/>
      <c r="AC454" s="111" t="s">
        <v>169</v>
      </c>
      <c r="AD454" s="92" t="s">
        <v>3504</v>
      </c>
      <c r="AE454" s="127"/>
      <c r="AF454" s="92" t="s">
        <v>3505</v>
      </c>
    </row>
    <row r="455" hidden="1">
      <c r="A455" s="120" t="s">
        <v>157</v>
      </c>
      <c r="B455" s="120" t="s">
        <v>158</v>
      </c>
      <c r="C455" s="120" t="s">
        <v>159</v>
      </c>
      <c r="D455" s="121">
        <v>45928.0</v>
      </c>
      <c r="E455" s="120" t="s">
        <v>3506</v>
      </c>
      <c r="F455" s="158">
        <v>44297.0</v>
      </c>
      <c r="G455" s="120" t="s">
        <v>31</v>
      </c>
      <c r="H455" s="130">
        <f>IFERROR(__xludf.DUMMYFUNCTION("IF(ISDATE(S455), DATEDIF(S455, TODAY(), ""Y""), """")"),8.0)</f>
        <v>8</v>
      </c>
      <c r="I455" s="120" t="s">
        <v>3507</v>
      </c>
      <c r="J455" s="120" t="s">
        <v>241</v>
      </c>
      <c r="K455" s="139"/>
      <c r="L455" s="120" t="s">
        <v>208</v>
      </c>
      <c r="M455" s="120" t="s">
        <v>424</v>
      </c>
      <c r="N455" s="120" t="s">
        <v>44</v>
      </c>
      <c r="O455" s="120" t="s">
        <v>3508</v>
      </c>
      <c r="P455" s="120" t="s">
        <v>3508</v>
      </c>
      <c r="Q455" s="120" t="s">
        <v>44</v>
      </c>
      <c r="R455" s="122">
        <v>3.44265145E8</v>
      </c>
      <c r="S455" s="121">
        <v>43049.0</v>
      </c>
      <c r="T455" s="120" t="s">
        <v>244</v>
      </c>
      <c r="U455" s="158">
        <v>44420.0</v>
      </c>
      <c r="V455" s="120" t="s">
        <v>2134</v>
      </c>
      <c r="W455" s="122">
        <v>5.04112423E8</v>
      </c>
      <c r="X455" s="120" t="s">
        <v>3509</v>
      </c>
      <c r="Y455" s="122">
        <v>5.47800981E8</v>
      </c>
      <c r="Z455" s="124" t="s">
        <v>43</v>
      </c>
      <c r="AA455" s="122">
        <v>2.0</v>
      </c>
      <c r="AB455" s="120" t="s">
        <v>3510</v>
      </c>
      <c r="AC455" s="120" t="s">
        <v>156</v>
      </c>
      <c r="AD455" s="120"/>
      <c r="AE455" s="139"/>
      <c r="AF455" s="120" t="s">
        <v>3511</v>
      </c>
    </row>
    <row r="456" hidden="1">
      <c r="A456" s="92" t="s">
        <v>157</v>
      </c>
      <c r="B456" s="92" t="s">
        <v>158</v>
      </c>
      <c r="C456" s="92" t="s">
        <v>159</v>
      </c>
      <c r="D456" s="126" t="s">
        <v>1103</v>
      </c>
      <c r="E456" s="92" t="s">
        <v>3512</v>
      </c>
      <c r="F456" s="183">
        <v>44359.0</v>
      </c>
      <c r="G456" s="92" t="s">
        <v>90</v>
      </c>
      <c r="H456" s="114">
        <f>IFERROR(__xludf.DUMMYFUNCTION("IF(ISDATE(S456), DATEDIF(S456, TODAY(), ""Y""), """")"),7.0)</f>
        <v>7</v>
      </c>
      <c r="I456" s="92" t="s">
        <v>3513</v>
      </c>
      <c r="J456" s="92" t="s">
        <v>1225</v>
      </c>
      <c r="K456" s="127"/>
      <c r="L456" s="92" t="s">
        <v>208</v>
      </c>
      <c r="M456" s="92" t="s">
        <v>3166</v>
      </c>
      <c r="N456" s="111" t="s">
        <v>44</v>
      </c>
      <c r="O456" s="127"/>
      <c r="P456" s="111" t="s">
        <v>916</v>
      </c>
      <c r="Q456" s="111" t="s">
        <v>44</v>
      </c>
      <c r="R456" s="111">
        <v>3.44293212E8</v>
      </c>
      <c r="S456" s="126">
        <v>43132.0</v>
      </c>
      <c r="T456" s="92" t="s">
        <v>3514</v>
      </c>
      <c r="U456" s="183">
        <v>44431.0</v>
      </c>
      <c r="V456" s="92" t="s">
        <v>183</v>
      </c>
      <c r="W456" s="111">
        <v>5.26123001E8</v>
      </c>
      <c r="X456" s="92" t="s">
        <v>1357</v>
      </c>
      <c r="Y456" s="111">
        <v>5.55694402E8</v>
      </c>
      <c r="Z456" s="117" t="s">
        <v>43</v>
      </c>
      <c r="AA456" s="111">
        <v>5.0</v>
      </c>
      <c r="AB456" s="127"/>
      <c r="AC456" s="92" t="s">
        <v>156</v>
      </c>
      <c r="AD456" s="127"/>
      <c r="AE456" s="127"/>
      <c r="AF456" s="127"/>
    </row>
    <row r="457" hidden="1">
      <c r="A457" s="120" t="s">
        <v>157</v>
      </c>
      <c r="B457" s="120" t="s">
        <v>158</v>
      </c>
      <c r="C457" s="120" t="s">
        <v>159</v>
      </c>
      <c r="D457" s="124" t="s">
        <v>142</v>
      </c>
      <c r="E457" s="128" t="s">
        <v>3515</v>
      </c>
      <c r="F457" s="129" t="s">
        <v>319</v>
      </c>
      <c r="G457" s="128" t="s">
        <v>90</v>
      </c>
      <c r="H457" s="130">
        <f>IFERROR(__xludf.DUMMYFUNCTION("IF(ISDATE(S457), DATEDIF(S457, TODAY(), ""Y""), """")"),7.0)</f>
        <v>7</v>
      </c>
      <c r="I457" s="128" t="s">
        <v>3516</v>
      </c>
      <c r="J457" s="128" t="s">
        <v>779</v>
      </c>
      <c r="K457" s="131">
        <v>5.44401498E8</v>
      </c>
      <c r="L457" s="128" t="s">
        <v>164</v>
      </c>
      <c r="M457" s="128" t="s">
        <v>3517</v>
      </c>
      <c r="N457" s="128" t="s">
        <v>44</v>
      </c>
      <c r="O457" s="128"/>
      <c r="P457" s="131"/>
      <c r="Q457" s="128" t="s">
        <v>44</v>
      </c>
      <c r="R457" s="128">
        <v>3.44293949E8</v>
      </c>
      <c r="S457" s="132">
        <v>43135.0</v>
      </c>
      <c r="T457" s="128" t="s">
        <v>3518</v>
      </c>
      <c r="U457" s="128">
        <v>43978.0</v>
      </c>
      <c r="V457" s="128" t="s">
        <v>3519</v>
      </c>
      <c r="W457" s="128">
        <v>5.44401498E8</v>
      </c>
      <c r="X457" s="128" t="s">
        <v>3520</v>
      </c>
      <c r="Y457" s="128">
        <v>5.27014635E8</v>
      </c>
      <c r="Z457" s="124" t="s">
        <v>43</v>
      </c>
      <c r="AA457" s="133"/>
      <c r="AB457" s="134"/>
      <c r="AC457" s="134" t="s">
        <v>169</v>
      </c>
      <c r="AD457" s="131"/>
      <c r="AE457" s="131"/>
      <c r="AF457" s="131"/>
    </row>
    <row r="458" hidden="1">
      <c r="A458" s="92" t="s">
        <v>157</v>
      </c>
      <c r="B458" s="92" t="s">
        <v>158</v>
      </c>
      <c r="C458" s="92" t="s">
        <v>159</v>
      </c>
      <c r="D458" s="117" t="s">
        <v>142</v>
      </c>
      <c r="E458" s="113" t="s">
        <v>3521</v>
      </c>
      <c r="F458" s="137" t="s">
        <v>528</v>
      </c>
      <c r="G458" s="113" t="s">
        <v>90</v>
      </c>
      <c r="H458" s="114">
        <f>IFERROR(__xludf.DUMMYFUNCTION("IF(ISDATE(S458), DATEDIF(S458, TODAY(), ""Y""), """")"),7.0)</f>
        <v>7</v>
      </c>
      <c r="I458" s="113" t="s">
        <v>3522</v>
      </c>
      <c r="J458" s="113" t="s">
        <v>385</v>
      </c>
      <c r="K458" s="119"/>
      <c r="L458" s="113" t="s">
        <v>649</v>
      </c>
      <c r="M458" s="113" t="s">
        <v>1027</v>
      </c>
      <c r="N458" s="113" t="s">
        <v>44</v>
      </c>
      <c r="O458" s="113"/>
      <c r="P458" s="119"/>
      <c r="Q458" s="113" t="s">
        <v>36</v>
      </c>
      <c r="R458" s="113">
        <v>3.44456629E8</v>
      </c>
      <c r="S458" s="118">
        <v>43249.0</v>
      </c>
      <c r="T458" s="113" t="s">
        <v>38</v>
      </c>
      <c r="U458" s="113">
        <v>44187.0</v>
      </c>
      <c r="V458" s="113" t="s">
        <v>3523</v>
      </c>
      <c r="W458" s="113">
        <v>5.44528045E8</v>
      </c>
      <c r="X458" s="113" t="s">
        <v>3524</v>
      </c>
      <c r="Y458" s="113">
        <v>5.33334377E8</v>
      </c>
      <c r="Z458" s="117" t="s">
        <v>43</v>
      </c>
      <c r="AA458" s="138">
        <v>1.0</v>
      </c>
      <c r="AB458" s="116"/>
      <c r="AC458" s="116" t="s">
        <v>169</v>
      </c>
      <c r="AD458" s="119"/>
      <c r="AE458" s="119"/>
      <c r="AF458" s="119"/>
    </row>
    <row r="459" hidden="1">
      <c r="A459" s="120" t="s">
        <v>157</v>
      </c>
      <c r="B459" s="120" t="s">
        <v>158</v>
      </c>
      <c r="C459" s="120" t="s">
        <v>159</v>
      </c>
      <c r="D459" s="121" t="s">
        <v>204</v>
      </c>
      <c r="E459" s="120" t="s">
        <v>3525</v>
      </c>
      <c r="F459" s="122" t="s">
        <v>3526</v>
      </c>
      <c r="G459" s="120" t="s">
        <v>90</v>
      </c>
      <c r="H459" s="123">
        <f>IFERROR(__xludf.DUMMYFUNCTION("IF(ISDATE(S459), DATEDIF(S459, TODAY(), ""Y""), """")"),7.0)</f>
        <v>7</v>
      </c>
      <c r="I459" s="139"/>
      <c r="J459" s="120" t="s">
        <v>445</v>
      </c>
      <c r="K459" s="139"/>
      <c r="L459" s="120" t="s">
        <v>92</v>
      </c>
      <c r="M459" s="120" t="s">
        <v>3527</v>
      </c>
      <c r="N459" s="120" t="s">
        <v>44</v>
      </c>
      <c r="O459" s="120"/>
      <c r="P459" s="120" t="s">
        <v>995</v>
      </c>
      <c r="Q459" s="120" t="s">
        <v>36</v>
      </c>
      <c r="R459" s="122">
        <v>3.44509229E8</v>
      </c>
      <c r="S459" s="121">
        <v>43304.0</v>
      </c>
      <c r="T459" s="120" t="s">
        <v>3528</v>
      </c>
      <c r="U459" s="120" t="s">
        <v>3529</v>
      </c>
      <c r="V459" s="120" t="s">
        <v>921</v>
      </c>
      <c r="W459" s="122">
        <v>5.03567697E8</v>
      </c>
      <c r="X459" s="120" t="s">
        <v>1111</v>
      </c>
      <c r="Y459" s="122">
        <v>5.03831618E8</v>
      </c>
      <c r="Z459" s="124" t="s">
        <v>43</v>
      </c>
      <c r="AA459" s="122">
        <v>3.0</v>
      </c>
      <c r="AB459" s="120" t="s">
        <v>3530</v>
      </c>
      <c r="AC459" s="120" t="s">
        <v>169</v>
      </c>
      <c r="AD459" s="120" t="s">
        <v>3531</v>
      </c>
      <c r="AE459" s="120"/>
      <c r="AF459" s="120" t="s">
        <v>3532</v>
      </c>
    </row>
    <row r="460" hidden="1">
      <c r="A460" s="108" t="s">
        <v>157</v>
      </c>
      <c r="B460" s="92" t="s">
        <v>140</v>
      </c>
      <c r="C460" s="111" t="s">
        <v>238</v>
      </c>
      <c r="D460" s="148">
        <v>45910.0</v>
      </c>
      <c r="E460" s="246" t="s">
        <v>3533</v>
      </c>
      <c r="F460" s="138" t="s">
        <v>3534</v>
      </c>
      <c r="G460" s="113" t="s">
        <v>90</v>
      </c>
      <c r="H460" s="114">
        <f>IFERROR(__xludf.DUMMYFUNCTION("IF(ISDATE(S460), DATEDIF(S460, TODAY(), ""Y""), """")"),4.0)</f>
        <v>4</v>
      </c>
      <c r="I460" s="116" t="s">
        <v>3535</v>
      </c>
      <c r="J460" s="113" t="s">
        <v>3536</v>
      </c>
      <c r="K460" s="119"/>
      <c r="L460" s="113" t="s">
        <v>92</v>
      </c>
      <c r="M460" s="113" t="s">
        <v>79</v>
      </c>
      <c r="N460" s="113" t="s">
        <v>36</v>
      </c>
      <c r="O460" s="113"/>
      <c r="P460" s="119"/>
      <c r="Q460" s="113" t="s">
        <v>929</v>
      </c>
      <c r="R460" s="113">
        <v>3.41544286E8</v>
      </c>
      <c r="S460" s="118">
        <v>44375.0</v>
      </c>
      <c r="T460" s="113" t="s">
        <v>3537</v>
      </c>
      <c r="U460" s="113" t="s">
        <v>3538</v>
      </c>
      <c r="V460" s="113" t="s">
        <v>3539</v>
      </c>
      <c r="W460" s="115" t="s">
        <v>3540</v>
      </c>
      <c r="X460" s="113" t="s">
        <v>3541</v>
      </c>
      <c r="Y460" s="115" t="s">
        <v>3542</v>
      </c>
      <c r="Z460" s="117" t="s">
        <v>43</v>
      </c>
      <c r="AA460" s="113">
        <v>2.0</v>
      </c>
      <c r="AB460" s="113"/>
      <c r="AC460" s="92" t="s">
        <v>156</v>
      </c>
      <c r="AD460" s="119"/>
      <c r="AE460" s="119"/>
      <c r="AF460" s="117" t="s">
        <v>3543</v>
      </c>
    </row>
    <row r="461" hidden="1">
      <c r="A461" s="120" t="s">
        <v>157</v>
      </c>
      <c r="B461" s="120" t="s">
        <v>158</v>
      </c>
      <c r="C461" s="120" t="s">
        <v>159</v>
      </c>
      <c r="D461" s="121">
        <v>45508.0</v>
      </c>
      <c r="E461" s="120" t="s">
        <v>3544</v>
      </c>
      <c r="F461" s="122" t="s">
        <v>1668</v>
      </c>
      <c r="G461" s="120" t="s">
        <v>90</v>
      </c>
      <c r="H461" s="123">
        <f>IFERROR(__xludf.DUMMYFUNCTION("IF(ISDATE(S461), DATEDIF(S461, TODAY(), ""Y""), """")"),7.0)</f>
        <v>7</v>
      </c>
      <c r="I461" s="120" t="s">
        <v>3545</v>
      </c>
      <c r="J461" s="120" t="s">
        <v>3546</v>
      </c>
      <c r="K461" s="139"/>
      <c r="L461" s="120" t="s">
        <v>3547</v>
      </c>
      <c r="M461" s="120" t="s">
        <v>3548</v>
      </c>
      <c r="N461" s="120" t="s">
        <v>36</v>
      </c>
      <c r="O461" s="120" t="s">
        <v>1672</v>
      </c>
      <c r="P461" s="139"/>
      <c r="Q461" s="120" t="s">
        <v>44</v>
      </c>
      <c r="R461" s="122">
        <v>3.44544556E8</v>
      </c>
      <c r="S461" s="121">
        <v>43166.0</v>
      </c>
      <c r="T461" s="122" t="s">
        <v>3549</v>
      </c>
      <c r="U461" s="158">
        <v>45201.0</v>
      </c>
      <c r="V461" s="120" t="s">
        <v>3550</v>
      </c>
      <c r="W461" s="122">
        <v>5.2802045E8</v>
      </c>
      <c r="X461" s="120" t="s">
        <v>3551</v>
      </c>
      <c r="Y461" s="122">
        <v>5.26223358E8</v>
      </c>
      <c r="Z461" s="124" t="s">
        <v>43</v>
      </c>
      <c r="AA461" s="122">
        <v>1.0</v>
      </c>
      <c r="AB461" s="120" t="s">
        <v>3552</v>
      </c>
      <c r="AC461" s="120" t="s">
        <v>169</v>
      </c>
      <c r="AD461" s="120" t="s">
        <v>3553</v>
      </c>
      <c r="AE461" s="120"/>
      <c r="AF461" s="120"/>
    </row>
    <row r="462" hidden="1">
      <c r="A462" s="92" t="s">
        <v>157</v>
      </c>
      <c r="B462" s="92" t="s">
        <v>158</v>
      </c>
      <c r="C462" s="92" t="s">
        <v>159</v>
      </c>
      <c r="D462" s="126" t="s">
        <v>3554</v>
      </c>
      <c r="E462" s="247" t="s">
        <v>3555</v>
      </c>
      <c r="F462" s="119"/>
      <c r="G462" s="117" t="s">
        <v>90</v>
      </c>
      <c r="H462" s="136">
        <f>IFERROR(__xludf.DUMMYFUNCTION("IF(ISDATE(S462), DATEDIF(S462, TODAY(), ""Y""), """")"),6.0)</f>
        <v>6</v>
      </c>
      <c r="I462" s="117" t="s">
        <v>3556</v>
      </c>
      <c r="J462" s="117" t="s">
        <v>3557</v>
      </c>
      <c r="K462" s="114"/>
      <c r="L462" s="117" t="s">
        <v>92</v>
      </c>
      <c r="M462" s="117" t="s">
        <v>3558</v>
      </c>
      <c r="N462" s="117" t="s">
        <v>3559</v>
      </c>
      <c r="O462" s="117"/>
      <c r="P462" s="119"/>
      <c r="Q462" s="117" t="s">
        <v>182</v>
      </c>
      <c r="R462" s="111">
        <v>3.44625363E8</v>
      </c>
      <c r="S462" s="126">
        <v>43662.0</v>
      </c>
      <c r="T462" s="117" t="s">
        <v>3560</v>
      </c>
      <c r="U462" s="248">
        <v>44752.0</v>
      </c>
      <c r="V462" s="117" t="s">
        <v>3561</v>
      </c>
      <c r="W462" s="114">
        <v>5.2209077E8</v>
      </c>
      <c r="X462" s="117" t="s">
        <v>728</v>
      </c>
      <c r="Y462" s="114">
        <v>5.42516247E8</v>
      </c>
      <c r="Z462" s="117" t="s">
        <v>43</v>
      </c>
      <c r="AA462" s="114">
        <v>0.0</v>
      </c>
      <c r="AB462" s="119"/>
      <c r="AC462" s="92" t="s">
        <v>169</v>
      </c>
      <c r="AD462" s="119"/>
      <c r="AE462" s="117"/>
      <c r="AF462" s="117"/>
    </row>
    <row r="463" ht="18.75" hidden="1" customHeight="1">
      <c r="A463" s="120" t="s">
        <v>157</v>
      </c>
      <c r="B463" s="120" t="s">
        <v>158</v>
      </c>
      <c r="C463" s="120" t="s">
        <v>159</v>
      </c>
      <c r="D463" s="124" t="s">
        <v>142</v>
      </c>
      <c r="E463" s="128" t="s">
        <v>3562</v>
      </c>
      <c r="F463" s="129" t="s">
        <v>2660</v>
      </c>
      <c r="G463" s="128" t="s">
        <v>90</v>
      </c>
      <c r="H463" s="130">
        <f>IFERROR(__xludf.DUMMYFUNCTION("IF(ISDATE(S463), DATEDIF(S463, TODAY(), ""Y""), """")"),7.0)</f>
        <v>7</v>
      </c>
      <c r="I463" s="128">
        <v>1214000.0</v>
      </c>
      <c r="J463" s="128" t="s">
        <v>3563</v>
      </c>
      <c r="K463" s="131"/>
      <c r="L463" s="128" t="s">
        <v>92</v>
      </c>
      <c r="M463" s="128" t="s">
        <v>3564</v>
      </c>
      <c r="N463" s="128" t="s">
        <v>44</v>
      </c>
      <c r="O463" s="128"/>
      <c r="P463" s="131"/>
      <c r="Q463" s="128" t="s">
        <v>44</v>
      </c>
      <c r="R463" s="128">
        <v>3.44648738E8</v>
      </c>
      <c r="S463" s="132">
        <v>43445.0</v>
      </c>
      <c r="T463" s="128" t="s">
        <v>658</v>
      </c>
      <c r="U463" s="128">
        <v>44136.0</v>
      </c>
      <c r="V463" s="128" t="s">
        <v>3565</v>
      </c>
      <c r="W463" s="128">
        <v>5.026707E8</v>
      </c>
      <c r="X463" s="128" t="s">
        <v>203</v>
      </c>
      <c r="Y463" s="128">
        <v>5.26860766E8</v>
      </c>
      <c r="Z463" s="124" t="s">
        <v>43</v>
      </c>
      <c r="AA463" s="133">
        <v>2.0</v>
      </c>
      <c r="AB463" s="134"/>
      <c r="AC463" s="134" t="s">
        <v>169</v>
      </c>
      <c r="AD463" s="131"/>
      <c r="AE463" s="131"/>
      <c r="AF463" s="131"/>
    </row>
    <row r="464" hidden="1">
      <c r="A464" s="144" t="s">
        <v>157</v>
      </c>
      <c r="B464" s="92" t="s">
        <v>140</v>
      </c>
      <c r="C464" s="111" t="s">
        <v>238</v>
      </c>
      <c r="D464" s="117" t="s">
        <v>2970</v>
      </c>
      <c r="E464" s="117" t="s">
        <v>3566</v>
      </c>
      <c r="F464" s="146">
        <v>45858.0</v>
      </c>
      <c r="G464" s="117" t="s">
        <v>31</v>
      </c>
      <c r="H464" s="114">
        <v>9.0</v>
      </c>
      <c r="I464" s="117" t="s">
        <v>3567</v>
      </c>
      <c r="J464" s="117" t="s">
        <v>225</v>
      </c>
      <c r="K464" s="119"/>
      <c r="L464" s="117" t="s">
        <v>49</v>
      </c>
      <c r="M464" s="117" t="s">
        <v>3568</v>
      </c>
      <c r="N464" s="117" t="s">
        <v>36</v>
      </c>
      <c r="O464" s="117" t="s">
        <v>1646</v>
      </c>
      <c r="P464" s="117"/>
      <c r="Q464" s="117" t="s">
        <v>3569</v>
      </c>
      <c r="R464" s="114">
        <v>3.41940476E8</v>
      </c>
      <c r="S464" s="148">
        <v>42470.0</v>
      </c>
      <c r="T464" s="117" t="s">
        <v>3570</v>
      </c>
      <c r="U464" s="147" t="s">
        <v>3571</v>
      </c>
      <c r="V464" s="117" t="s">
        <v>1036</v>
      </c>
      <c r="W464" s="114" t="s">
        <v>3572</v>
      </c>
      <c r="X464" s="117" t="s">
        <v>1320</v>
      </c>
      <c r="Y464" s="114" t="s">
        <v>3573</v>
      </c>
      <c r="Z464" s="117" t="s">
        <v>43</v>
      </c>
      <c r="AA464" s="114">
        <v>2.0</v>
      </c>
      <c r="AB464" s="117" t="s">
        <v>3574</v>
      </c>
      <c r="AC464" s="92" t="s">
        <v>156</v>
      </c>
      <c r="AD464" s="119"/>
      <c r="AE464" s="119"/>
      <c r="AF464" s="117" t="s">
        <v>1762</v>
      </c>
    </row>
    <row r="465" hidden="1">
      <c r="A465" s="120" t="s">
        <v>157</v>
      </c>
      <c r="B465" s="120" t="s">
        <v>158</v>
      </c>
      <c r="C465" s="120" t="s">
        <v>159</v>
      </c>
      <c r="D465" s="124" t="s">
        <v>142</v>
      </c>
      <c r="E465" s="128" t="s">
        <v>194</v>
      </c>
      <c r="F465" s="129"/>
      <c r="G465" s="128" t="s">
        <v>31</v>
      </c>
      <c r="H465" s="130">
        <f>IFERROR(__xludf.DUMMYFUNCTION("IF(ISDATE(S465), DATEDIF(S465, TODAY(), ""Y""), """")"),7.0)</f>
        <v>7</v>
      </c>
      <c r="I465" s="128"/>
      <c r="J465" s="128" t="s">
        <v>3575</v>
      </c>
      <c r="K465" s="131"/>
      <c r="L465" s="128" t="s">
        <v>92</v>
      </c>
      <c r="M465" s="128" t="s">
        <v>3576</v>
      </c>
      <c r="N465" s="128" t="s">
        <v>44</v>
      </c>
      <c r="O465" s="128"/>
      <c r="P465" s="131"/>
      <c r="Q465" s="128" t="s">
        <v>44</v>
      </c>
      <c r="R465" s="128">
        <v>3.44711999E8</v>
      </c>
      <c r="S465" s="132">
        <v>43218.0</v>
      </c>
      <c r="T465" s="128" t="s">
        <v>3577</v>
      </c>
      <c r="U465" s="128">
        <v>44957.0</v>
      </c>
      <c r="V465" s="128" t="s">
        <v>202</v>
      </c>
      <c r="W465" s="128">
        <v>5.45900978E8</v>
      </c>
      <c r="X465" s="128" t="s">
        <v>203</v>
      </c>
      <c r="Y465" s="128">
        <v>5.0838577E8</v>
      </c>
      <c r="Z465" s="124" t="s">
        <v>43</v>
      </c>
      <c r="AA465" s="133">
        <v>2.0</v>
      </c>
      <c r="AB465" s="134"/>
      <c r="AC465" s="120" t="s">
        <v>169</v>
      </c>
      <c r="AD465" s="131"/>
      <c r="AE465" s="131"/>
      <c r="AF465" s="131"/>
    </row>
    <row r="466" hidden="1">
      <c r="A466" s="108" t="s">
        <v>157</v>
      </c>
      <c r="B466" s="92" t="s">
        <v>140</v>
      </c>
      <c r="C466" s="111" t="s">
        <v>238</v>
      </c>
      <c r="D466" s="112" t="s">
        <v>967</v>
      </c>
      <c r="E466" s="113" t="s">
        <v>3578</v>
      </c>
      <c r="F466" s="112">
        <v>45974.0</v>
      </c>
      <c r="G466" s="113" t="s">
        <v>90</v>
      </c>
      <c r="H466" s="114">
        <v>8.0</v>
      </c>
      <c r="I466" s="113" t="s">
        <v>3579</v>
      </c>
      <c r="J466" s="113" t="s">
        <v>3580</v>
      </c>
      <c r="K466" s="113"/>
      <c r="L466" s="113" t="s">
        <v>92</v>
      </c>
      <c r="M466" s="116" t="s">
        <v>38</v>
      </c>
      <c r="N466" s="113" t="s">
        <v>36</v>
      </c>
      <c r="O466" s="117" t="s">
        <v>3581</v>
      </c>
      <c r="P466" s="113"/>
      <c r="Q466" s="113" t="s">
        <v>36</v>
      </c>
      <c r="R466" s="113">
        <v>3.43429494E8</v>
      </c>
      <c r="S466" s="118">
        <v>42982.0</v>
      </c>
      <c r="T466" s="116" t="s">
        <v>3582</v>
      </c>
      <c r="U466" s="113" t="s">
        <v>3583</v>
      </c>
      <c r="V466" s="113" t="s">
        <v>3584</v>
      </c>
      <c r="W466" s="115" t="s">
        <v>3585</v>
      </c>
      <c r="X466" s="113" t="s">
        <v>3586</v>
      </c>
      <c r="Y466" s="115" t="s">
        <v>3587</v>
      </c>
      <c r="Z466" s="117" t="s">
        <v>43</v>
      </c>
      <c r="AA466" s="113">
        <v>2.0</v>
      </c>
      <c r="AB466" s="117" t="s">
        <v>3588</v>
      </c>
      <c r="AC466" s="92" t="s">
        <v>169</v>
      </c>
      <c r="AD466" s="119" t="s">
        <v>3589</v>
      </c>
      <c r="AE466" s="119"/>
      <c r="AF466" s="117"/>
    </row>
    <row r="467" hidden="1">
      <c r="A467" s="108" t="s">
        <v>157</v>
      </c>
      <c r="B467" s="120" t="s">
        <v>140</v>
      </c>
      <c r="C467" s="122" t="s">
        <v>238</v>
      </c>
      <c r="D467" s="175">
        <v>45967.0</v>
      </c>
      <c r="E467" s="128" t="s">
        <v>3590</v>
      </c>
      <c r="F467" s="175">
        <v>45819.0</v>
      </c>
      <c r="G467" s="128" t="s">
        <v>90</v>
      </c>
      <c r="H467" s="130">
        <v>8.0</v>
      </c>
      <c r="I467" s="128" t="s">
        <v>3591</v>
      </c>
      <c r="J467" s="128" t="s">
        <v>180</v>
      </c>
      <c r="K467" s="128" t="s">
        <v>623</v>
      </c>
      <c r="L467" s="128" t="s">
        <v>92</v>
      </c>
      <c r="M467" s="134" t="s">
        <v>3592</v>
      </c>
      <c r="N467" s="128" t="s">
        <v>36</v>
      </c>
      <c r="O467" s="249" t="s">
        <v>3593</v>
      </c>
      <c r="P467" s="128"/>
      <c r="Q467" s="128" t="s">
        <v>36</v>
      </c>
      <c r="R467" s="128">
        <v>3.43609723E8</v>
      </c>
      <c r="S467" s="132">
        <v>42941.0</v>
      </c>
      <c r="T467" s="134" t="s">
        <v>3592</v>
      </c>
      <c r="U467" s="128" t="s">
        <v>3594</v>
      </c>
      <c r="V467" s="128" t="s">
        <v>3595</v>
      </c>
      <c r="W467" s="143" t="s">
        <v>3596</v>
      </c>
      <c r="X467" s="128" t="s">
        <v>3209</v>
      </c>
      <c r="Y467" s="143" t="s">
        <v>3597</v>
      </c>
      <c r="Z467" s="124" t="s">
        <v>43</v>
      </c>
      <c r="AA467" s="128">
        <v>1.0</v>
      </c>
      <c r="AB467" s="124"/>
      <c r="AC467" s="120" t="s">
        <v>156</v>
      </c>
      <c r="AD467" s="131"/>
      <c r="AE467" s="131"/>
      <c r="AF467" s="124"/>
    </row>
    <row r="468" ht="30.75" hidden="1" customHeight="1">
      <c r="A468" s="92" t="s">
        <v>157</v>
      </c>
      <c r="B468" s="92" t="s">
        <v>158</v>
      </c>
      <c r="C468" s="92" t="s">
        <v>159</v>
      </c>
      <c r="D468" s="117" t="s">
        <v>142</v>
      </c>
      <c r="E468" s="113" t="s">
        <v>3598</v>
      </c>
      <c r="F468" s="137" t="s">
        <v>3599</v>
      </c>
      <c r="G468" s="113" t="s">
        <v>90</v>
      </c>
      <c r="H468" s="114">
        <f>IFERROR(__xludf.DUMMYFUNCTION("IF(ISDATE(S468), DATEDIF(S468, TODAY(), ""Y""), """")"),7.0)</f>
        <v>7</v>
      </c>
      <c r="I468" s="113" t="s">
        <v>3600</v>
      </c>
      <c r="J468" s="113" t="s">
        <v>180</v>
      </c>
      <c r="K468" s="119">
        <v>5.32712202E8</v>
      </c>
      <c r="L468" s="113" t="s">
        <v>164</v>
      </c>
      <c r="M468" s="113" t="s">
        <v>3601</v>
      </c>
      <c r="N468" s="113" t="s">
        <v>44</v>
      </c>
      <c r="O468" s="113"/>
      <c r="P468" s="119"/>
      <c r="Q468" s="113" t="s">
        <v>36</v>
      </c>
      <c r="R468" s="113">
        <v>3.44913827E8</v>
      </c>
      <c r="S468" s="118">
        <v>43285.0</v>
      </c>
      <c r="T468" s="113" t="s">
        <v>1405</v>
      </c>
      <c r="U468" s="113">
        <v>43327.0</v>
      </c>
      <c r="V468" s="113" t="s">
        <v>3602</v>
      </c>
      <c r="W468" s="113">
        <v>5.3531976E8</v>
      </c>
      <c r="X468" s="113" t="s">
        <v>3603</v>
      </c>
      <c r="Y468" s="113">
        <v>5.32712202E8</v>
      </c>
      <c r="Z468" s="117" t="s">
        <v>43</v>
      </c>
      <c r="AA468" s="138">
        <v>1.0</v>
      </c>
      <c r="AB468" s="116"/>
      <c r="AC468" s="92" t="s">
        <v>169</v>
      </c>
      <c r="AD468" s="119"/>
      <c r="AE468" s="119"/>
      <c r="AF468" s="119"/>
    </row>
    <row r="469" hidden="1">
      <c r="A469" s="171" t="s">
        <v>157</v>
      </c>
      <c r="B469" s="120" t="s">
        <v>1143</v>
      </c>
      <c r="C469" s="121" t="s">
        <v>238</v>
      </c>
      <c r="D469" s="121" t="s">
        <v>1229</v>
      </c>
      <c r="E469" s="198" t="s">
        <v>3604</v>
      </c>
      <c r="F469" s="121" t="s">
        <v>1229</v>
      </c>
      <c r="G469" s="121" t="s">
        <v>90</v>
      </c>
      <c r="H469" s="122">
        <v>7.0</v>
      </c>
      <c r="I469" s="121" t="s">
        <v>3605</v>
      </c>
      <c r="J469" s="121" t="s">
        <v>590</v>
      </c>
      <c r="K469" s="120" t="s">
        <v>623</v>
      </c>
      <c r="L469" s="121" t="s">
        <v>2065</v>
      </c>
      <c r="M469" s="121" t="s">
        <v>79</v>
      </c>
      <c r="N469" s="173" t="s">
        <v>36</v>
      </c>
      <c r="O469" s="121" t="s">
        <v>3606</v>
      </c>
      <c r="P469" s="92" t="s">
        <v>3607</v>
      </c>
      <c r="Q469" s="121" t="s">
        <v>929</v>
      </c>
      <c r="R469" s="121">
        <v>3.44513501E8</v>
      </c>
      <c r="S469" s="121">
        <v>43382.0</v>
      </c>
      <c r="T469" s="121" t="s">
        <v>3608</v>
      </c>
      <c r="U469" s="121" t="s">
        <v>3609</v>
      </c>
      <c r="V469" s="121" t="s">
        <v>97</v>
      </c>
      <c r="W469" s="250" t="s">
        <v>3610</v>
      </c>
      <c r="X469" s="121" t="s">
        <v>2168</v>
      </c>
      <c r="Y469" s="250" t="s">
        <v>3611</v>
      </c>
      <c r="Z469" s="121" t="s">
        <v>43</v>
      </c>
      <c r="AA469" s="122">
        <v>3.0</v>
      </c>
      <c r="AB469" s="121"/>
      <c r="AC469" s="120" t="s">
        <v>1152</v>
      </c>
      <c r="AD469" s="126"/>
      <c r="AE469" s="92" t="s">
        <v>3612</v>
      </c>
      <c r="AF469" s="92" t="s">
        <v>3613</v>
      </c>
    </row>
    <row r="470" hidden="1">
      <c r="A470" s="108" t="s">
        <v>157</v>
      </c>
      <c r="B470" s="92" t="s">
        <v>140</v>
      </c>
      <c r="C470" s="92" t="s">
        <v>238</v>
      </c>
      <c r="D470" s="126">
        <v>45910.0</v>
      </c>
      <c r="E470" s="92" t="s">
        <v>3614</v>
      </c>
      <c r="F470" s="111"/>
      <c r="G470" s="92" t="s">
        <v>90</v>
      </c>
      <c r="H470" s="114">
        <f>IFERROR(__xludf.DUMMYFUNCTION("IF(ISDATE(S470), DATEDIF(S470, TODAY(), ""Y""), """")"),7.0)</f>
        <v>7</v>
      </c>
      <c r="I470" s="127"/>
      <c r="J470" s="92" t="s">
        <v>3580</v>
      </c>
      <c r="K470" s="127"/>
      <c r="L470" s="92" t="s">
        <v>92</v>
      </c>
      <c r="M470" s="92" t="s">
        <v>3615</v>
      </c>
      <c r="N470" s="92" t="s">
        <v>36</v>
      </c>
      <c r="O470" s="92"/>
      <c r="P470" s="127"/>
      <c r="Q470" s="92" t="s">
        <v>36</v>
      </c>
      <c r="R470" s="111">
        <v>3.44707187E8</v>
      </c>
      <c r="S470" s="126">
        <v>43193.0</v>
      </c>
      <c r="T470" s="92" t="s">
        <v>38</v>
      </c>
      <c r="U470" s="141">
        <v>45208.0</v>
      </c>
      <c r="V470" s="92" t="s">
        <v>3616</v>
      </c>
      <c r="W470" s="136">
        <v>5.27364448E8</v>
      </c>
      <c r="X470" s="92" t="s">
        <v>3617</v>
      </c>
      <c r="Y470" s="111">
        <v>5.28884712E8</v>
      </c>
      <c r="Z470" s="117" t="s">
        <v>43</v>
      </c>
      <c r="AA470" s="111">
        <v>1.0</v>
      </c>
      <c r="AB470" s="92" t="s">
        <v>3618</v>
      </c>
      <c r="AC470" s="92" t="s">
        <v>169</v>
      </c>
      <c r="AD470" s="92"/>
      <c r="AE470" s="127"/>
      <c r="AF470" s="92" t="s">
        <v>3619</v>
      </c>
    </row>
    <row r="471" hidden="1">
      <c r="A471" s="120" t="s">
        <v>157</v>
      </c>
      <c r="B471" s="120" t="s">
        <v>158</v>
      </c>
      <c r="C471" s="120" t="s">
        <v>159</v>
      </c>
      <c r="D471" s="121">
        <v>45876.0</v>
      </c>
      <c r="E471" s="120" t="s">
        <v>3620</v>
      </c>
      <c r="F471" s="122" t="s">
        <v>3621</v>
      </c>
      <c r="G471" s="120" t="s">
        <v>90</v>
      </c>
      <c r="H471" s="130">
        <f>IFERROR(__xludf.DUMMYFUNCTION("IF(ISDATE(S471), DATEDIF(S471, TODAY(), ""Y""), """")"),13.0)</f>
        <v>13</v>
      </c>
      <c r="I471" s="120" t="s">
        <v>3622</v>
      </c>
      <c r="J471" s="120" t="s">
        <v>1295</v>
      </c>
      <c r="K471" s="122">
        <v>5.59434053E8</v>
      </c>
      <c r="L471" s="120" t="s">
        <v>92</v>
      </c>
      <c r="M471" s="120" t="s">
        <v>3623</v>
      </c>
      <c r="N471" s="120" t="s">
        <v>44</v>
      </c>
      <c r="O471" s="120"/>
      <c r="P471" s="120" t="s">
        <v>3508</v>
      </c>
      <c r="Q471" s="120" t="s">
        <v>44</v>
      </c>
      <c r="R471" s="122">
        <v>3.7706853E8</v>
      </c>
      <c r="S471" s="121">
        <v>41070.0</v>
      </c>
      <c r="T471" s="120" t="s">
        <v>3624</v>
      </c>
      <c r="U471" s="120" t="s">
        <v>3625</v>
      </c>
      <c r="V471" s="120" t="s">
        <v>789</v>
      </c>
      <c r="W471" s="139"/>
      <c r="X471" s="120" t="s">
        <v>2398</v>
      </c>
      <c r="Y471" s="122">
        <v>5.44641274E8</v>
      </c>
      <c r="Z471" s="124" t="s">
        <v>43</v>
      </c>
      <c r="AA471" s="122">
        <v>3.0</v>
      </c>
      <c r="AB471" s="139"/>
      <c r="AC471" s="120" t="s">
        <v>169</v>
      </c>
      <c r="AD471" s="120"/>
      <c r="AE471" s="139"/>
      <c r="AF471" s="139"/>
    </row>
    <row r="472" hidden="1">
      <c r="A472" s="108" t="s">
        <v>157</v>
      </c>
      <c r="B472" s="92" t="s">
        <v>158</v>
      </c>
      <c r="C472" s="92" t="s">
        <v>159</v>
      </c>
      <c r="D472" s="111" t="s">
        <v>1776</v>
      </c>
      <c r="E472" s="119" t="s">
        <v>3626</v>
      </c>
      <c r="F472" s="114" t="s">
        <v>1042</v>
      </c>
      <c r="G472" s="119" t="s">
        <v>31</v>
      </c>
      <c r="H472" s="136">
        <f>IFERROR(__xludf.DUMMYFUNCTION("IF(ISDATE(S472), DATEDIF(S472, TODAY(), ""Y""), """")"),2.0)</f>
        <v>2</v>
      </c>
      <c r="I472" s="127"/>
      <c r="J472" s="119" t="s">
        <v>445</v>
      </c>
      <c r="K472" s="127"/>
      <c r="L472" s="119" t="s">
        <v>92</v>
      </c>
      <c r="M472" s="117" t="s">
        <v>3627</v>
      </c>
      <c r="N472" s="92" t="s">
        <v>44</v>
      </c>
      <c r="O472" s="127"/>
      <c r="P472" s="92" t="s">
        <v>3628</v>
      </c>
      <c r="Q472" s="117" t="s">
        <v>44</v>
      </c>
      <c r="R472" s="119">
        <v>5.34153172E8</v>
      </c>
      <c r="S472" s="148">
        <v>45013.0</v>
      </c>
      <c r="T472" s="119" t="s">
        <v>1280</v>
      </c>
      <c r="U472" s="251">
        <v>45832.0</v>
      </c>
      <c r="V472" s="119" t="s">
        <v>3629</v>
      </c>
      <c r="W472" s="119">
        <v>5.34153172E8</v>
      </c>
      <c r="X472" s="119" t="s">
        <v>3520</v>
      </c>
      <c r="Y472" s="119">
        <v>5.07918575E8</v>
      </c>
      <c r="Z472" s="119" t="s">
        <v>43</v>
      </c>
      <c r="AA472" s="114">
        <v>3.0</v>
      </c>
      <c r="AB472" s="119" t="s">
        <v>1761</v>
      </c>
      <c r="AC472" s="92" t="s">
        <v>169</v>
      </c>
      <c r="AD472" s="117" t="s">
        <v>3630</v>
      </c>
      <c r="AE472" s="127"/>
      <c r="AF472" s="92" t="s">
        <v>3631</v>
      </c>
    </row>
    <row r="473" hidden="1">
      <c r="A473" s="120" t="s">
        <v>139</v>
      </c>
      <c r="B473" s="120" t="s">
        <v>158</v>
      </c>
      <c r="C473" s="120" t="s">
        <v>159</v>
      </c>
      <c r="D473" s="124" t="s">
        <v>142</v>
      </c>
      <c r="E473" s="128" t="s">
        <v>3632</v>
      </c>
      <c r="F473" s="129">
        <v>44747.0</v>
      </c>
      <c r="G473" s="128" t="s">
        <v>31</v>
      </c>
      <c r="H473" s="130">
        <f>IFERROR(__xludf.DUMMYFUNCTION("IF(ISDATE(S473), DATEDIF(S473, TODAY(), ""Y""), """")"),16.0)</f>
        <v>16</v>
      </c>
      <c r="I473" s="128" t="s">
        <v>3633</v>
      </c>
      <c r="J473" s="128" t="s">
        <v>639</v>
      </c>
      <c r="K473" s="131"/>
      <c r="L473" s="128" t="s">
        <v>92</v>
      </c>
      <c r="M473" s="128" t="s">
        <v>3634</v>
      </c>
      <c r="N473" s="128" t="s">
        <v>44</v>
      </c>
      <c r="O473" s="128"/>
      <c r="P473" s="131"/>
      <c r="Q473" s="128" t="s">
        <v>44</v>
      </c>
      <c r="R473" s="128">
        <v>7.12438084E8</v>
      </c>
      <c r="S473" s="132">
        <v>39835.0</v>
      </c>
      <c r="T473" s="128" t="s">
        <v>38</v>
      </c>
      <c r="U473" s="128">
        <v>44719.0</v>
      </c>
      <c r="V473" s="128" t="s">
        <v>1568</v>
      </c>
      <c r="W473" s="128">
        <v>5.29420285E8</v>
      </c>
      <c r="X473" s="128" t="s">
        <v>3314</v>
      </c>
      <c r="Y473" s="128">
        <v>5.08870245E8</v>
      </c>
      <c r="Z473" s="124" t="s">
        <v>43</v>
      </c>
      <c r="AA473" s="133">
        <v>3.0</v>
      </c>
      <c r="AB473" s="134"/>
      <c r="AC473" s="120" t="s">
        <v>169</v>
      </c>
      <c r="AD473" s="131"/>
      <c r="AE473" s="131"/>
      <c r="AF473" s="131"/>
    </row>
    <row r="474" hidden="1">
      <c r="A474" s="92" t="s">
        <v>157</v>
      </c>
      <c r="B474" s="92" t="s">
        <v>158</v>
      </c>
      <c r="C474" s="92" t="s">
        <v>159</v>
      </c>
      <c r="D474" s="126">
        <v>45937.0</v>
      </c>
      <c r="E474" s="92"/>
      <c r="F474" s="183">
        <v>44539.0</v>
      </c>
      <c r="G474" s="92" t="s">
        <v>90</v>
      </c>
      <c r="H474" s="114">
        <f>IFERROR(__xludf.DUMMYFUNCTION("IF(ISDATE(S474), DATEDIF(S474, TODAY(), ""Y""), """")"),7.0)</f>
        <v>7</v>
      </c>
      <c r="I474" s="92" t="s">
        <v>3635</v>
      </c>
      <c r="J474" s="92" t="s">
        <v>188</v>
      </c>
      <c r="K474" s="111"/>
      <c r="L474" s="92" t="s">
        <v>3547</v>
      </c>
      <c r="M474" s="92" t="s">
        <v>3636</v>
      </c>
      <c r="N474" s="92" t="s">
        <v>44</v>
      </c>
      <c r="O474" s="127"/>
      <c r="P474" s="127"/>
      <c r="Q474" s="92" t="s">
        <v>3637</v>
      </c>
      <c r="R474" s="111">
        <v>7.71473675E8</v>
      </c>
      <c r="S474" s="126">
        <v>43336.0</v>
      </c>
      <c r="T474" s="92" t="s">
        <v>3638</v>
      </c>
      <c r="U474" s="183">
        <v>44368.0</v>
      </c>
      <c r="V474" s="92" t="s">
        <v>3639</v>
      </c>
      <c r="W474" s="111">
        <v>5.83200256E8</v>
      </c>
      <c r="X474" s="92" t="s">
        <v>3640</v>
      </c>
      <c r="Y474" s="111">
        <v>5.83200257E8</v>
      </c>
      <c r="Z474" s="117" t="s">
        <v>43</v>
      </c>
      <c r="AA474" s="111">
        <v>5.0</v>
      </c>
      <c r="AB474" s="92"/>
      <c r="AC474" s="92" t="s">
        <v>156</v>
      </c>
      <c r="AD474" s="92"/>
      <c r="AE474" s="127"/>
      <c r="AF474" s="127"/>
    </row>
    <row r="475" hidden="1">
      <c r="A475" s="120" t="s">
        <v>157</v>
      </c>
      <c r="B475" s="120" t="s">
        <v>158</v>
      </c>
      <c r="C475" s="120" t="s">
        <v>159</v>
      </c>
      <c r="D475" s="121" t="s">
        <v>1283</v>
      </c>
      <c r="E475" s="120" t="s">
        <v>3641</v>
      </c>
      <c r="F475" s="122" t="s">
        <v>3642</v>
      </c>
      <c r="G475" s="120" t="s">
        <v>90</v>
      </c>
      <c r="H475" s="130">
        <f>IFERROR(__xludf.DUMMYFUNCTION("IF(ISDATE(S475), DATEDIF(S475, TODAY(), ""Y""), """")"),3.0)</f>
        <v>3</v>
      </c>
      <c r="I475" s="120" t="s">
        <v>3643</v>
      </c>
      <c r="J475" s="120" t="s">
        <v>779</v>
      </c>
      <c r="K475" s="139"/>
      <c r="L475" s="120" t="s">
        <v>92</v>
      </c>
      <c r="M475" s="120" t="s">
        <v>3644</v>
      </c>
      <c r="N475" s="120" t="s">
        <v>44</v>
      </c>
      <c r="O475" s="120" t="s">
        <v>1287</v>
      </c>
      <c r="P475" s="120" t="s">
        <v>3645</v>
      </c>
      <c r="Q475" s="120" t="s">
        <v>44</v>
      </c>
      <c r="R475" s="122">
        <v>5.00000254E9</v>
      </c>
      <c r="S475" s="121">
        <v>44630.0</v>
      </c>
      <c r="T475" s="120" t="s">
        <v>38</v>
      </c>
      <c r="U475" s="158">
        <v>45170.0</v>
      </c>
      <c r="V475" s="120" t="s">
        <v>3646</v>
      </c>
      <c r="W475" s="122">
        <v>5.45374012E8</v>
      </c>
      <c r="X475" s="120" t="s">
        <v>3647</v>
      </c>
      <c r="Y475" s="122">
        <v>5.43316534E8</v>
      </c>
      <c r="Z475" s="124" t="s">
        <v>43</v>
      </c>
      <c r="AA475" s="122">
        <v>2.0</v>
      </c>
      <c r="AB475" s="139"/>
      <c r="AC475" s="120" t="s">
        <v>156</v>
      </c>
      <c r="AD475" s="139"/>
      <c r="AE475" s="139"/>
      <c r="AF475" s="139"/>
    </row>
    <row r="476" hidden="1">
      <c r="A476" s="135" t="s">
        <v>157</v>
      </c>
      <c r="B476" s="92" t="s">
        <v>140</v>
      </c>
      <c r="C476" s="111" t="s">
        <v>141</v>
      </c>
      <c r="D476" s="126" t="s">
        <v>2055</v>
      </c>
      <c r="E476" s="92" t="s">
        <v>2468</v>
      </c>
      <c r="F476" s="111"/>
      <c r="G476" s="92" t="s">
        <v>90</v>
      </c>
      <c r="H476" s="114">
        <f>IFERROR(__xludf.DUMMYFUNCTION("IF(ISDATE(S476), DATEDIF(S476, TODAY(), ""Y""), """")"),7.0)</f>
        <v>7</v>
      </c>
      <c r="I476" s="92" t="s">
        <v>3648</v>
      </c>
      <c r="J476" s="92" t="s">
        <v>257</v>
      </c>
      <c r="K476" s="127"/>
      <c r="L476" s="92" t="s">
        <v>92</v>
      </c>
      <c r="M476" s="92" t="s">
        <v>141</v>
      </c>
      <c r="N476" s="92" t="s">
        <v>44</v>
      </c>
      <c r="O476" s="111"/>
      <c r="P476" s="92" t="s">
        <v>3649</v>
      </c>
      <c r="Q476" s="92" t="s">
        <v>44</v>
      </c>
      <c r="R476" s="111">
        <v>3.44906789E8</v>
      </c>
      <c r="S476" s="126">
        <v>43149.0</v>
      </c>
      <c r="T476" s="92" t="s">
        <v>38</v>
      </c>
      <c r="U476" s="111" t="s">
        <v>3650</v>
      </c>
      <c r="V476" s="92" t="s">
        <v>2042</v>
      </c>
      <c r="W476" s="136">
        <v>5.38378019E8</v>
      </c>
      <c r="X476" s="92" t="s">
        <v>3651</v>
      </c>
      <c r="Y476" s="111">
        <v>5.32837914E8</v>
      </c>
      <c r="Z476" s="117" t="s">
        <v>43</v>
      </c>
      <c r="AA476" s="111">
        <v>4.0</v>
      </c>
      <c r="AB476" s="92" t="s">
        <v>3652</v>
      </c>
      <c r="AC476" s="92" t="s">
        <v>156</v>
      </c>
      <c r="AD476" s="92"/>
      <c r="AE476" s="127"/>
      <c r="AF476" s="127"/>
    </row>
    <row r="477" hidden="1">
      <c r="A477" s="144" t="s">
        <v>157</v>
      </c>
      <c r="B477" s="120" t="s">
        <v>140</v>
      </c>
      <c r="C477" s="120" t="s">
        <v>238</v>
      </c>
      <c r="D477" s="122" t="s">
        <v>1229</v>
      </c>
      <c r="E477" s="120" t="s">
        <v>3653</v>
      </c>
      <c r="F477" s="122">
        <v>16.12</v>
      </c>
      <c r="G477" s="120" t="s">
        <v>31</v>
      </c>
      <c r="H477" s="130">
        <f>IFERROR(__xludf.DUMMYFUNCTION("IF(ISDATE(S477), DATEDIF(S477, TODAY(), ""Y""), """")"),15.0)</f>
        <v>15</v>
      </c>
      <c r="I477" s="139"/>
      <c r="J477" s="120" t="s">
        <v>3654</v>
      </c>
      <c r="K477" s="122">
        <v>5.47917579E8</v>
      </c>
      <c r="L477" s="120" t="s">
        <v>92</v>
      </c>
      <c r="M477" s="120" t="s">
        <v>3190</v>
      </c>
      <c r="N477" s="120" t="s">
        <v>36</v>
      </c>
      <c r="O477" s="120" t="s">
        <v>1287</v>
      </c>
      <c r="P477" s="139"/>
      <c r="Q477" s="120" t="s">
        <v>36</v>
      </c>
      <c r="R477" s="122">
        <v>3.45104996E8</v>
      </c>
      <c r="S477" s="121">
        <v>40549.0</v>
      </c>
      <c r="T477" s="120" t="s">
        <v>38</v>
      </c>
      <c r="U477" s="139"/>
      <c r="V477" s="139"/>
      <c r="W477" s="139"/>
      <c r="X477" s="120" t="s">
        <v>1015</v>
      </c>
      <c r="Y477" s="122">
        <v>5.47917225E8</v>
      </c>
      <c r="Z477" s="124" t="s">
        <v>43</v>
      </c>
      <c r="AA477" s="122">
        <v>3.0</v>
      </c>
      <c r="AB477" s="120" t="s">
        <v>3655</v>
      </c>
      <c r="AC477" s="120" t="s">
        <v>156</v>
      </c>
      <c r="AD477" s="124" t="s">
        <v>3656</v>
      </c>
      <c r="AE477" s="139"/>
      <c r="AF477" s="120" t="s">
        <v>3657</v>
      </c>
    </row>
    <row r="478" hidden="1">
      <c r="A478" s="92" t="s">
        <v>157</v>
      </c>
      <c r="B478" s="92" t="s">
        <v>140</v>
      </c>
      <c r="C478" s="111" t="s">
        <v>238</v>
      </c>
      <c r="D478" s="148">
        <v>45910.0</v>
      </c>
      <c r="E478" s="246" t="s">
        <v>3658</v>
      </c>
      <c r="F478" s="138" t="s">
        <v>3659</v>
      </c>
      <c r="G478" s="113" t="s">
        <v>31</v>
      </c>
      <c r="H478" s="114">
        <v>10.0</v>
      </c>
      <c r="I478" s="113" t="s">
        <v>3660</v>
      </c>
      <c r="J478" s="113" t="s">
        <v>2237</v>
      </c>
      <c r="K478" s="115" t="s">
        <v>3661</v>
      </c>
      <c r="L478" s="113" t="s">
        <v>2065</v>
      </c>
      <c r="M478" s="116" t="s">
        <v>3662</v>
      </c>
      <c r="N478" s="113" t="s">
        <v>36</v>
      </c>
      <c r="O478" s="117" t="s">
        <v>3663</v>
      </c>
      <c r="P478" s="113" t="s">
        <v>3664</v>
      </c>
      <c r="Q478" s="113" t="s">
        <v>759</v>
      </c>
      <c r="R478" s="115" t="s">
        <v>3665</v>
      </c>
      <c r="S478" s="118">
        <v>45826.0</v>
      </c>
      <c r="T478" s="116" t="s">
        <v>3666</v>
      </c>
      <c r="U478" s="113" t="s">
        <v>3667</v>
      </c>
      <c r="V478" s="113" t="s">
        <v>1515</v>
      </c>
      <c r="W478" s="115" t="s">
        <v>3668</v>
      </c>
      <c r="X478" s="113" t="s">
        <v>3669</v>
      </c>
      <c r="Y478" s="115" t="s">
        <v>3661</v>
      </c>
      <c r="Z478" s="117" t="s">
        <v>43</v>
      </c>
      <c r="AA478" s="113">
        <v>2.0</v>
      </c>
      <c r="AB478" s="117" t="s">
        <v>3670</v>
      </c>
      <c r="AC478" s="92" t="s">
        <v>156</v>
      </c>
      <c r="AD478" s="119"/>
      <c r="AE478" s="119"/>
      <c r="AF478" s="117" t="s">
        <v>3671</v>
      </c>
    </row>
    <row r="479" hidden="1">
      <c r="A479" s="120" t="s">
        <v>157</v>
      </c>
      <c r="B479" s="120" t="s">
        <v>140</v>
      </c>
      <c r="C479" s="122" t="s">
        <v>238</v>
      </c>
      <c r="D479" s="175">
        <v>45964.0</v>
      </c>
      <c r="E479" s="246" t="s">
        <v>3672</v>
      </c>
      <c r="F479" s="175">
        <v>45963.0</v>
      </c>
      <c r="G479" s="128" t="s">
        <v>90</v>
      </c>
      <c r="H479" s="130">
        <v>4.0</v>
      </c>
      <c r="I479" s="128" t="s">
        <v>3673</v>
      </c>
      <c r="J479" s="128" t="s">
        <v>188</v>
      </c>
      <c r="K479" s="143" t="s">
        <v>3674</v>
      </c>
      <c r="L479" s="128" t="s">
        <v>189</v>
      </c>
      <c r="M479" s="134" t="s">
        <v>3675</v>
      </c>
      <c r="N479" s="128" t="s">
        <v>36</v>
      </c>
      <c r="O479" s="124" t="s">
        <v>3676</v>
      </c>
      <c r="P479" s="128"/>
      <c r="Q479" s="128" t="s">
        <v>36</v>
      </c>
      <c r="R479" s="128" t="s">
        <v>3677</v>
      </c>
      <c r="S479" s="132">
        <v>44415.0</v>
      </c>
      <c r="T479" s="134" t="s">
        <v>3678</v>
      </c>
      <c r="U479" s="128" t="s">
        <v>3679</v>
      </c>
      <c r="V479" s="128" t="s">
        <v>3276</v>
      </c>
      <c r="W479" s="143" t="s">
        <v>3674</v>
      </c>
      <c r="X479" s="128" t="s">
        <v>636</v>
      </c>
      <c r="Y479" s="143" t="s">
        <v>3674</v>
      </c>
      <c r="Z479" s="124" t="s">
        <v>43</v>
      </c>
      <c r="AA479" s="128">
        <v>4.0</v>
      </c>
      <c r="AB479" s="124"/>
      <c r="AC479" s="120" t="s">
        <v>156</v>
      </c>
      <c r="AD479" s="131"/>
      <c r="AE479" s="131"/>
      <c r="AF479" s="124"/>
    </row>
    <row r="480" hidden="1">
      <c r="A480" s="92" t="s">
        <v>139</v>
      </c>
      <c r="B480" s="111" t="s">
        <v>158</v>
      </c>
      <c r="C480" s="92" t="s">
        <v>159</v>
      </c>
      <c r="D480" s="117" t="s">
        <v>142</v>
      </c>
      <c r="E480" s="226" t="s">
        <v>3680</v>
      </c>
      <c r="F480" s="227">
        <v>45495.46888475695</v>
      </c>
      <c r="G480" s="226" t="s">
        <v>90</v>
      </c>
      <c r="H480" s="114">
        <f>IFERROR(__xludf.DUMMYFUNCTION("IF(ISDATE(S480), DATEDIF(S480, TODAY(), ""Y""), """")"),16.0)</f>
        <v>16</v>
      </c>
      <c r="I480" s="226" t="s">
        <v>3681</v>
      </c>
      <c r="J480" s="228" t="s">
        <v>827</v>
      </c>
      <c r="K480" s="252">
        <v>5.03838349E8</v>
      </c>
      <c r="L480" s="127"/>
      <c r="M480" s="226" t="s">
        <v>3682</v>
      </c>
      <c r="N480" s="113" t="s">
        <v>44</v>
      </c>
      <c r="O480" s="127"/>
      <c r="P480" s="235" t="s">
        <v>3683</v>
      </c>
      <c r="Q480" s="127"/>
      <c r="R480" s="226" t="s">
        <v>623</v>
      </c>
      <c r="S480" s="253">
        <v>39874.0</v>
      </c>
      <c r="T480" s="226" t="s">
        <v>3684</v>
      </c>
      <c r="U480" s="127"/>
      <c r="V480" s="127"/>
      <c r="W480" s="127"/>
      <c r="X480" s="226" t="s">
        <v>3685</v>
      </c>
      <c r="Y480" s="229" t="s">
        <v>3686</v>
      </c>
      <c r="Z480" s="119"/>
      <c r="AA480" s="127"/>
      <c r="AB480" s="232" t="s">
        <v>3003</v>
      </c>
      <c r="AC480" s="92" t="s">
        <v>169</v>
      </c>
      <c r="AD480" s="127"/>
      <c r="AE480" s="127"/>
      <c r="AF480" s="127"/>
    </row>
    <row r="481" hidden="1">
      <c r="A481" s="120" t="s">
        <v>157</v>
      </c>
      <c r="B481" s="120" t="s">
        <v>158</v>
      </c>
      <c r="C481" s="120" t="s">
        <v>159</v>
      </c>
      <c r="D481" s="121">
        <v>45907.0</v>
      </c>
      <c r="E481" s="131" t="s">
        <v>194</v>
      </c>
      <c r="F481" s="254">
        <v>45338.47271350694</v>
      </c>
      <c r="G481" s="124" t="s">
        <v>31</v>
      </c>
      <c r="H481" s="130">
        <f>IFERROR(__xludf.DUMMYFUNCTION("IF(ISDATE(S481), DATEDIF(S481, TODAY(), ""Y""), """")"),7.0)</f>
        <v>7</v>
      </c>
      <c r="I481" s="120" t="s">
        <v>196</v>
      </c>
      <c r="J481" s="124" t="s">
        <v>197</v>
      </c>
      <c r="K481" s="131"/>
      <c r="L481" s="131" t="s">
        <v>92</v>
      </c>
      <c r="M481" s="124" t="s">
        <v>3687</v>
      </c>
      <c r="N481" s="131" t="s">
        <v>44</v>
      </c>
      <c r="O481" s="139"/>
      <c r="P481" s="120" t="s">
        <v>1981</v>
      </c>
      <c r="Q481" s="131" t="s">
        <v>44</v>
      </c>
      <c r="R481" s="130"/>
      <c r="S481" s="255">
        <v>43218.0</v>
      </c>
      <c r="T481" s="131" t="s">
        <v>200</v>
      </c>
      <c r="U481" s="131" t="s">
        <v>201</v>
      </c>
      <c r="V481" s="131" t="s">
        <v>202</v>
      </c>
      <c r="W481" s="209" t="s">
        <v>3688</v>
      </c>
      <c r="X481" s="131" t="s">
        <v>3689</v>
      </c>
      <c r="Y481" s="131" t="s">
        <v>3690</v>
      </c>
      <c r="Z481" s="124" t="s">
        <v>43</v>
      </c>
      <c r="AA481" s="130">
        <v>2.0</v>
      </c>
      <c r="AB481" s="124" t="s">
        <v>3691</v>
      </c>
      <c r="AC481" s="120" t="s">
        <v>156</v>
      </c>
      <c r="AD481" s="131"/>
      <c r="AE481" s="139"/>
      <c r="AF481" s="139"/>
    </row>
    <row r="482" hidden="1">
      <c r="A482" s="92" t="s">
        <v>157</v>
      </c>
      <c r="B482" s="92" t="s">
        <v>158</v>
      </c>
      <c r="C482" s="92" t="s">
        <v>159</v>
      </c>
      <c r="D482" s="126" t="s">
        <v>3554</v>
      </c>
      <c r="E482" s="92" t="s">
        <v>3692</v>
      </c>
      <c r="F482" s="111" t="s">
        <v>3693</v>
      </c>
      <c r="G482" s="92" t="s">
        <v>31</v>
      </c>
      <c r="H482" s="136">
        <f>IFERROR(__xludf.DUMMYFUNCTION("IF(ISDATE(S482), DATEDIF(S482, TODAY(), ""Y""), """")"),7.0)</f>
        <v>7</v>
      </c>
      <c r="I482" s="127"/>
      <c r="J482" s="92" t="s">
        <v>487</v>
      </c>
      <c r="K482" s="127"/>
      <c r="L482" s="92" t="s">
        <v>92</v>
      </c>
      <c r="M482" s="92" t="s">
        <v>3694</v>
      </c>
      <c r="N482" s="92" t="s">
        <v>36</v>
      </c>
      <c r="O482" s="92" t="s">
        <v>3695</v>
      </c>
      <c r="P482" s="127"/>
      <c r="Q482" s="92" t="s">
        <v>3696</v>
      </c>
      <c r="R482" s="127"/>
      <c r="S482" s="126">
        <v>43363.0</v>
      </c>
      <c r="T482" s="92" t="s">
        <v>38</v>
      </c>
      <c r="U482" s="111" t="s">
        <v>3697</v>
      </c>
      <c r="V482" s="92" t="s">
        <v>635</v>
      </c>
      <c r="W482" s="111">
        <v>5.24688803E8</v>
      </c>
      <c r="X482" s="92" t="s">
        <v>3698</v>
      </c>
      <c r="Y482" s="111">
        <v>5.46766502E8</v>
      </c>
      <c r="Z482" s="117" t="s">
        <v>43</v>
      </c>
      <c r="AA482" s="111">
        <v>1.0</v>
      </c>
      <c r="AB482" s="92" t="s">
        <v>3699</v>
      </c>
      <c r="AC482" s="92" t="s">
        <v>169</v>
      </c>
      <c r="AD482" s="92" t="s">
        <v>3700</v>
      </c>
      <c r="AE482" s="92"/>
      <c r="AF482" s="92"/>
    </row>
    <row r="483" hidden="1">
      <c r="A483" s="120" t="s">
        <v>139</v>
      </c>
      <c r="B483" s="122" t="s">
        <v>158</v>
      </c>
      <c r="C483" s="120" t="s">
        <v>159</v>
      </c>
      <c r="D483" s="124" t="s">
        <v>142</v>
      </c>
      <c r="E483" s="164" t="s">
        <v>3701</v>
      </c>
      <c r="F483" s="165" t="s">
        <v>3702</v>
      </c>
      <c r="G483" s="164" t="s">
        <v>31</v>
      </c>
      <c r="H483" s="130">
        <f>IFERROR(__xludf.DUMMYFUNCTION("IF(ISDATE(S483), DATEDIF(S483, TODAY(), ""Y""), """")"),18.0)</f>
        <v>18</v>
      </c>
      <c r="I483" s="164"/>
      <c r="J483" s="120" t="s">
        <v>3703</v>
      </c>
      <c r="K483" s="166">
        <v>5.08843443E8</v>
      </c>
      <c r="L483" s="139"/>
      <c r="M483" s="164" t="s">
        <v>3704</v>
      </c>
      <c r="N483" s="120" t="s">
        <v>44</v>
      </c>
      <c r="O483" s="139"/>
      <c r="P483" s="139"/>
      <c r="Q483" s="139"/>
      <c r="R483" s="139"/>
      <c r="S483" s="167">
        <v>39215.0</v>
      </c>
      <c r="T483" s="164" t="s">
        <v>38</v>
      </c>
      <c r="U483" s="139"/>
      <c r="V483" s="139"/>
      <c r="W483" s="139"/>
      <c r="X483" s="164" t="s">
        <v>3705</v>
      </c>
      <c r="Y483" s="166">
        <v>5.47995315E8</v>
      </c>
      <c r="Z483" s="131"/>
      <c r="AA483" s="139"/>
      <c r="AB483" s="170" t="s">
        <v>3706</v>
      </c>
      <c r="AC483" s="120" t="s">
        <v>169</v>
      </c>
      <c r="AD483" s="139"/>
      <c r="AE483" s="139"/>
      <c r="AF483" s="139"/>
    </row>
    <row r="484" hidden="1">
      <c r="A484" s="84" t="s">
        <v>157</v>
      </c>
      <c r="B484" s="92" t="s">
        <v>140</v>
      </c>
      <c r="C484" s="111" t="s">
        <v>159</v>
      </c>
      <c r="D484" s="112" t="s">
        <v>2144</v>
      </c>
      <c r="E484" s="113" t="s">
        <v>3272</v>
      </c>
      <c r="F484" s="112">
        <v>45987.0</v>
      </c>
      <c r="G484" s="113" t="s">
        <v>31</v>
      </c>
      <c r="H484" s="114">
        <v>11.0</v>
      </c>
      <c r="I484" s="113" t="s">
        <v>3273</v>
      </c>
      <c r="J484" s="113" t="s">
        <v>656</v>
      </c>
      <c r="K484" s="113" t="s">
        <v>3274</v>
      </c>
      <c r="L484" s="113" t="s">
        <v>49</v>
      </c>
      <c r="M484" s="116" t="s">
        <v>2555</v>
      </c>
      <c r="N484" s="113" t="s">
        <v>44</v>
      </c>
      <c r="O484" s="117"/>
      <c r="P484" s="113" t="s">
        <v>727</v>
      </c>
      <c r="Q484" s="113" t="s">
        <v>44</v>
      </c>
      <c r="R484" s="113">
        <v>3.40165943E8</v>
      </c>
      <c r="S484" s="118">
        <v>41973.0</v>
      </c>
      <c r="T484" s="116" t="s">
        <v>1578</v>
      </c>
      <c r="U484" s="113" t="s">
        <v>3275</v>
      </c>
      <c r="V484" s="113" t="s">
        <v>3276</v>
      </c>
      <c r="W484" s="115" t="s">
        <v>3277</v>
      </c>
      <c r="X484" s="113" t="s">
        <v>1357</v>
      </c>
      <c r="Y484" s="115" t="s">
        <v>3278</v>
      </c>
      <c r="Z484" s="117" t="s">
        <v>43</v>
      </c>
      <c r="AA484" s="113">
        <v>4.0</v>
      </c>
      <c r="AB484" s="117"/>
      <c r="AC484" s="92" t="s">
        <v>156</v>
      </c>
      <c r="AD484" s="119"/>
      <c r="AE484" s="119"/>
      <c r="AF484" s="117"/>
    </row>
    <row r="485" hidden="1">
      <c r="A485" s="84" t="s">
        <v>157</v>
      </c>
      <c r="B485" s="120" t="s">
        <v>1143</v>
      </c>
      <c r="C485" s="120" t="s">
        <v>141</v>
      </c>
      <c r="D485" s="130" t="s">
        <v>698</v>
      </c>
      <c r="E485" s="124" t="s">
        <v>3707</v>
      </c>
      <c r="F485" s="130" t="s">
        <v>698</v>
      </c>
      <c r="G485" s="211" t="s">
        <v>90</v>
      </c>
      <c r="H485" s="211">
        <v>12.0</v>
      </c>
      <c r="I485" s="211" t="s">
        <v>3708</v>
      </c>
      <c r="J485" s="211" t="s">
        <v>590</v>
      </c>
      <c r="K485" s="256" t="s">
        <v>3709</v>
      </c>
      <c r="L485" s="211" t="s">
        <v>92</v>
      </c>
      <c r="M485" s="178" t="s">
        <v>141</v>
      </c>
      <c r="N485" s="211" t="s">
        <v>44</v>
      </c>
      <c r="O485" s="212"/>
      <c r="P485" s="178" t="s">
        <v>3710</v>
      </c>
      <c r="Q485" s="213" t="s">
        <v>3711</v>
      </c>
      <c r="R485" s="211">
        <v>3.40928811E8</v>
      </c>
      <c r="S485" s="213">
        <v>41377.0</v>
      </c>
      <c r="T485" s="211" t="s">
        <v>38</v>
      </c>
      <c r="U485" s="211" t="s">
        <v>3712</v>
      </c>
      <c r="V485" s="211" t="s">
        <v>3713</v>
      </c>
      <c r="W485" s="214" t="s">
        <v>3709</v>
      </c>
      <c r="X485" s="211" t="s">
        <v>3714</v>
      </c>
      <c r="Y485" s="214" t="s">
        <v>3709</v>
      </c>
      <c r="Z485" s="124" t="s">
        <v>168</v>
      </c>
      <c r="AA485" s="216">
        <v>2.0</v>
      </c>
      <c r="AB485" s="211"/>
      <c r="AC485" s="178" t="s">
        <v>978</v>
      </c>
      <c r="AD485" s="124" t="s">
        <v>3715</v>
      </c>
      <c r="AE485" s="131"/>
      <c r="AF485" s="124"/>
    </row>
    <row r="486" hidden="1">
      <c r="A486" s="84" t="s">
        <v>157</v>
      </c>
      <c r="B486" s="92" t="s">
        <v>140</v>
      </c>
      <c r="C486" s="111" t="s">
        <v>238</v>
      </c>
      <c r="D486" s="112" t="s">
        <v>3716</v>
      </c>
      <c r="E486" s="246" t="s">
        <v>3717</v>
      </c>
      <c r="F486" s="112">
        <v>45991.0</v>
      </c>
      <c r="G486" s="113" t="s">
        <v>31</v>
      </c>
      <c r="H486" s="114">
        <v>9.5</v>
      </c>
      <c r="I486" s="113" t="s">
        <v>3718</v>
      </c>
      <c r="J486" s="113" t="s">
        <v>3719</v>
      </c>
      <c r="K486" s="115" t="s">
        <v>3720</v>
      </c>
      <c r="L486" s="113" t="s">
        <v>703</v>
      </c>
      <c r="M486" s="116" t="s">
        <v>3721</v>
      </c>
      <c r="N486" s="113" t="s">
        <v>36</v>
      </c>
      <c r="O486" s="117" t="s">
        <v>3722</v>
      </c>
      <c r="P486" s="113"/>
      <c r="Q486" s="113" t="s">
        <v>3723</v>
      </c>
      <c r="R486" s="113">
        <v>2.24667071E8</v>
      </c>
      <c r="S486" s="118">
        <v>42465.0</v>
      </c>
      <c r="T486" s="116" t="s">
        <v>1012</v>
      </c>
      <c r="U486" s="113" t="s">
        <v>3724</v>
      </c>
      <c r="V486" s="113" t="s">
        <v>3725</v>
      </c>
      <c r="W486" s="115" t="s">
        <v>3726</v>
      </c>
      <c r="X486" s="113" t="s">
        <v>3727</v>
      </c>
      <c r="Y486" s="115" t="s">
        <v>3728</v>
      </c>
      <c r="Z486" s="117" t="s">
        <v>43</v>
      </c>
      <c r="AA486" s="113">
        <v>1.0</v>
      </c>
      <c r="AB486" s="117"/>
      <c r="AC486" s="92" t="s">
        <v>156</v>
      </c>
      <c r="AD486" s="119"/>
      <c r="AE486" s="119"/>
      <c r="AF486" s="117"/>
    </row>
    <row r="487" hidden="1">
      <c r="A487" s="92" t="s">
        <v>139</v>
      </c>
      <c r="B487" s="120" t="s">
        <v>140</v>
      </c>
      <c r="C487" s="122" t="s">
        <v>238</v>
      </c>
      <c r="D487" s="175" t="s">
        <v>3716</v>
      </c>
      <c r="E487" s="128" t="s">
        <v>3729</v>
      </c>
      <c r="F487" s="175" t="s">
        <v>3716</v>
      </c>
      <c r="G487" s="128" t="s">
        <v>31</v>
      </c>
      <c r="H487" s="130">
        <v>16.0</v>
      </c>
      <c r="I487" s="128" t="s">
        <v>3730</v>
      </c>
      <c r="J487" s="128" t="s">
        <v>1146</v>
      </c>
      <c r="K487" s="143" t="s">
        <v>3731</v>
      </c>
      <c r="L487" s="128" t="s">
        <v>703</v>
      </c>
      <c r="M487" s="134" t="s">
        <v>79</v>
      </c>
      <c r="N487" s="128" t="s">
        <v>36</v>
      </c>
      <c r="O487" s="124" t="s">
        <v>3732</v>
      </c>
      <c r="P487" s="128"/>
      <c r="Q487" s="128" t="s">
        <v>36</v>
      </c>
      <c r="R487" s="128">
        <v>2.18243004E8</v>
      </c>
      <c r="S487" s="132">
        <v>39867.0</v>
      </c>
      <c r="T487" s="134" t="s">
        <v>3733</v>
      </c>
      <c r="U487" s="143" t="s">
        <v>3734</v>
      </c>
      <c r="V487" s="128" t="s">
        <v>3735</v>
      </c>
      <c r="W487" s="143" t="s">
        <v>3736</v>
      </c>
      <c r="X487" s="128" t="s">
        <v>2246</v>
      </c>
      <c r="Y487" s="143" t="s">
        <v>3737</v>
      </c>
      <c r="Z487" s="124" t="s">
        <v>43</v>
      </c>
      <c r="AA487" s="128">
        <v>3.0</v>
      </c>
      <c r="AB487" s="124"/>
      <c r="AC487" s="120" t="s">
        <v>156</v>
      </c>
      <c r="AD487" s="131"/>
      <c r="AE487" s="131"/>
      <c r="AF487" s="124"/>
    </row>
    <row r="488" hidden="1">
      <c r="A488" s="84" t="s">
        <v>157</v>
      </c>
      <c r="B488" s="92" t="s">
        <v>1143</v>
      </c>
      <c r="C488" s="111" t="s">
        <v>238</v>
      </c>
      <c r="D488" s="112" t="s">
        <v>2144</v>
      </c>
      <c r="E488" s="113" t="s">
        <v>3738</v>
      </c>
      <c r="F488" s="112">
        <v>45987.0</v>
      </c>
      <c r="G488" s="113" t="s">
        <v>90</v>
      </c>
      <c r="H488" s="114">
        <v>7.0</v>
      </c>
      <c r="I488" s="113" t="s">
        <v>3739</v>
      </c>
      <c r="J488" s="113" t="s">
        <v>590</v>
      </c>
      <c r="K488" s="115" t="s">
        <v>3740</v>
      </c>
      <c r="L488" s="113" t="s">
        <v>103</v>
      </c>
      <c r="M488" s="116" t="s">
        <v>3741</v>
      </c>
      <c r="N488" s="113" t="s">
        <v>36</v>
      </c>
      <c r="O488" s="117" t="s">
        <v>3742</v>
      </c>
      <c r="P488" s="113"/>
      <c r="Q488" s="113" t="s">
        <v>36</v>
      </c>
      <c r="R488" s="113">
        <v>3.44002837E8</v>
      </c>
      <c r="S488" s="118">
        <v>43183.0</v>
      </c>
      <c r="T488" s="116" t="s">
        <v>3743</v>
      </c>
      <c r="U488" s="113" t="s">
        <v>3744</v>
      </c>
      <c r="V488" s="113" t="s">
        <v>1281</v>
      </c>
      <c r="W488" s="115" t="s">
        <v>3745</v>
      </c>
      <c r="X488" s="113" t="s">
        <v>57</v>
      </c>
      <c r="Y488" s="115" t="s">
        <v>3746</v>
      </c>
      <c r="Z488" s="117" t="s">
        <v>43</v>
      </c>
      <c r="AA488" s="113">
        <v>1.0</v>
      </c>
      <c r="AB488" s="117"/>
      <c r="AC488" s="92" t="s">
        <v>978</v>
      </c>
      <c r="AD488" s="117" t="s">
        <v>3747</v>
      </c>
      <c r="AE488" s="117" t="s">
        <v>3748</v>
      </c>
      <c r="AF488" s="117"/>
    </row>
    <row r="489" hidden="1">
      <c r="A489" s="84" t="s">
        <v>157</v>
      </c>
      <c r="B489" s="120" t="s">
        <v>1143</v>
      </c>
      <c r="C489" s="122" t="s">
        <v>238</v>
      </c>
      <c r="D489" s="175">
        <v>45778.0</v>
      </c>
      <c r="E489" s="128" t="s">
        <v>3749</v>
      </c>
      <c r="F489" s="175">
        <v>45992.0</v>
      </c>
      <c r="G489" s="128" t="s">
        <v>31</v>
      </c>
      <c r="H489" s="130">
        <v>7.0</v>
      </c>
      <c r="I489" s="128" t="s">
        <v>3750</v>
      </c>
      <c r="J489" s="128" t="s">
        <v>3751</v>
      </c>
      <c r="K489" s="128"/>
      <c r="L489" s="128" t="s">
        <v>92</v>
      </c>
      <c r="M489" s="134" t="s">
        <v>79</v>
      </c>
      <c r="N489" s="128" t="s">
        <v>36</v>
      </c>
      <c r="O489" s="124" t="s">
        <v>3752</v>
      </c>
      <c r="P489" s="128"/>
      <c r="Q489" s="128" t="s">
        <v>36</v>
      </c>
      <c r="R489" s="128">
        <v>2.26176899E8</v>
      </c>
      <c r="S489" s="132">
        <v>43335.0</v>
      </c>
      <c r="T489" s="134" t="s">
        <v>3753</v>
      </c>
      <c r="U489" s="128" t="s">
        <v>3754</v>
      </c>
      <c r="V489" s="128" t="s">
        <v>623</v>
      </c>
      <c r="W489" s="128">
        <v>0.0</v>
      </c>
      <c r="X489" s="128" t="s">
        <v>3755</v>
      </c>
      <c r="Y489" s="143" t="s">
        <v>3756</v>
      </c>
      <c r="Z489" s="124" t="s">
        <v>123</v>
      </c>
      <c r="AA489" s="128">
        <v>0.0</v>
      </c>
      <c r="AB489" s="124"/>
      <c r="AC489" s="120" t="s">
        <v>1152</v>
      </c>
      <c r="AD489" s="124" t="s">
        <v>3757</v>
      </c>
      <c r="AE489" s="124" t="s">
        <v>3758</v>
      </c>
      <c r="AF489" s="124" t="s">
        <v>3759</v>
      </c>
    </row>
    <row r="490">
      <c r="A490" s="108" t="s">
        <v>157</v>
      </c>
      <c r="B490" s="92" t="s">
        <v>1143</v>
      </c>
      <c r="C490" s="111" t="s">
        <v>238</v>
      </c>
      <c r="D490" s="148" t="s">
        <v>1379</v>
      </c>
      <c r="E490" s="113" t="s">
        <v>3760</v>
      </c>
      <c r="F490" s="138" t="s">
        <v>1379</v>
      </c>
      <c r="G490" s="113" t="s">
        <v>31</v>
      </c>
      <c r="H490" s="114">
        <v>7.7</v>
      </c>
      <c r="I490" s="113" t="s">
        <v>3761</v>
      </c>
      <c r="J490" s="113" t="s">
        <v>3762</v>
      </c>
      <c r="K490" s="115" t="s">
        <v>3763</v>
      </c>
      <c r="L490" s="113" t="s">
        <v>3764</v>
      </c>
      <c r="M490" s="116" t="s">
        <v>3765</v>
      </c>
      <c r="N490" s="113" t="s">
        <v>36</v>
      </c>
      <c r="O490" s="117" t="s">
        <v>3766</v>
      </c>
      <c r="P490" s="113"/>
      <c r="Q490" s="113" t="s">
        <v>36</v>
      </c>
      <c r="R490" s="113">
        <v>3.43543849E8</v>
      </c>
      <c r="S490" s="118">
        <v>43125.0</v>
      </c>
      <c r="T490" s="116" t="s">
        <v>3767</v>
      </c>
      <c r="U490" s="113">
        <v>2019.0</v>
      </c>
      <c r="V490" s="113" t="s">
        <v>3768</v>
      </c>
      <c r="W490" s="115" t="s">
        <v>3769</v>
      </c>
      <c r="X490" s="113" t="s">
        <v>3770</v>
      </c>
      <c r="Y490" s="115" t="s">
        <v>3771</v>
      </c>
      <c r="Z490" s="117" t="s">
        <v>123</v>
      </c>
      <c r="AA490" s="113" t="s">
        <v>623</v>
      </c>
      <c r="AB490" s="117"/>
      <c r="AC490" s="92" t="s">
        <v>1201</v>
      </c>
      <c r="AD490" s="119"/>
      <c r="AE490" s="119"/>
      <c r="AF490" s="117"/>
    </row>
    <row r="491" hidden="1">
      <c r="A491" s="92" t="s">
        <v>139</v>
      </c>
      <c r="B491" s="92" t="s">
        <v>140</v>
      </c>
      <c r="C491" s="92" t="s">
        <v>159</v>
      </c>
      <c r="D491" s="92">
        <v>42346.0</v>
      </c>
      <c r="E491" s="92" t="s">
        <v>1945</v>
      </c>
      <c r="F491" s="92">
        <v>45999.0</v>
      </c>
      <c r="G491" s="92" t="s">
        <v>90</v>
      </c>
      <c r="H491" s="92">
        <v>17.0</v>
      </c>
      <c r="I491" s="92" t="s">
        <v>3772</v>
      </c>
      <c r="J491" s="92" t="s">
        <v>3773</v>
      </c>
      <c r="K491" s="172" t="s">
        <v>3774</v>
      </c>
      <c r="L491" s="92" t="s">
        <v>3775</v>
      </c>
      <c r="M491" s="92" t="s">
        <v>704</v>
      </c>
      <c r="N491" s="120" t="s">
        <v>44</v>
      </c>
      <c r="O491" s="92"/>
      <c r="P491" s="92" t="s">
        <v>3776</v>
      </c>
      <c r="Q491" s="92" t="s">
        <v>44</v>
      </c>
      <c r="R491" s="92">
        <v>3.29612964E8</v>
      </c>
      <c r="S491" s="92">
        <v>39455.0</v>
      </c>
      <c r="T491" s="92" t="s">
        <v>851</v>
      </c>
      <c r="U491" s="172" t="s">
        <v>3777</v>
      </c>
      <c r="V491" s="92" t="s">
        <v>3778</v>
      </c>
      <c r="W491" s="172" t="s">
        <v>3779</v>
      </c>
      <c r="X491" s="92" t="s">
        <v>2227</v>
      </c>
      <c r="Y491" s="172" t="s">
        <v>3780</v>
      </c>
      <c r="Z491" s="124" t="s">
        <v>43</v>
      </c>
      <c r="AA491" s="92">
        <v>2.0</v>
      </c>
      <c r="AB491" s="92"/>
      <c r="AC491" s="92" t="s">
        <v>978</v>
      </c>
      <c r="AD491" s="92"/>
      <c r="AE491" s="92"/>
      <c r="AF491" s="92"/>
    </row>
    <row r="492" hidden="1">
      <c r="A492" s="135" t="s">
        <v>157</v>
      </c>
      <c r="B492" s="92" t="s">
        <v>140</v>
      </c>
      <c r="C492" s="92" t="s">
        <v>238</v>
      </c>
      <c r="D492" s="149">
        <v>46001.0</v>
      </c>
      <c r="E492" s="150" t="s">
        <v>3781</v>
      </c>
      <c r="F492" s="151">
        <v>46001.0</v>
      </c>
      <c r="G492" s="150" t="s">
        <v>90</v>
      </c>
      <c r="H492" s="114">
        <v>4.5</v>
      </c>
      <c r="I492" s="150" t="s">
        <v>3782</v>
      </c>
      <c r="J492" s="92" t="s">
        <v>3783</v>
      </c>
      <c r="K492" s="157" t="s">
        <v>3784</v>
      </c>
      <c r="L492" s="127" t="s">
        <v>3785</v>
      </c>
      <c r="M492" s="150" t="s">
        <v>3786</v>
      </c>
      <c r="N492" s="92" t="s">
        <v>36</v>
      </c>
      <c r="O492" s="127" t="s">
        <v>3787</v>
      </c>
      <c r="P492" s="127"/>
      <c r="Q492" s="127" t="s">
        <v>3788</v>
      </c>
      <c r="R492" s="127">
        <v>2.33650506E8</v>
      </c>
      <c r="S492" s="153">
        <v>44385.0</v>
      </c>
      <c r="T492" s="150" t="s">
        <v>3789</v>
      </c>
      <c r="U492" s="127" t="s">
        <v>3790</v>
      </c>
      <c r="V492" s="127" t="s">
        <v>299</v>
      </c>
      <c r="W492" s="154" t="s">
        <v>3791</v>
      </c>
      <c r="X492" s="150" t="s">
        <v>260</v>
      </c>
      <c r="Y492" s="152" t="s">
        <v>3792</v>
      </c>
      <c r="Z492" s="119" t="s">
        <v>43</v>
      </c>
      <c r="AA492" s="111">
        <v>1.0</v>
      </c>
      <c r="AB492" s="155"/>
      <c r="AC492" s="92" t="s">
        <v>169</v>
      </c>
      <c r="AD492" s="92"/>
      <c r="AE492" s="127"/>
      <c r="AF492" s="127"/>
    </row>
    <row r="493" hidden="1">
      <c r="A493" s="135" t="s">
        <v>157</v>
      </c>
      <c r="B493" s="120" t="s">
        <v>140</v>
      </c>
      <c r="C493" s="120" t="s">
        <v>141</v>
      </c>
      <c r="D493" s="163">
        <v>46002.0</v>
      </c>
      <c r="E493" s="164" t="s">
        <v>3793</v>
      </c>
      <c r="F493" s="165">
        <v>46001.0</v>
      </c>
      <c r="G493" s="164" t="s">
        <v>31</v>
      </c>
      <c r="H493" s="130">
        <v>4.0</v>
      </c>
      <c r="I493" s="164" t="s">
        <v>3495</v>
      </c>
      <c r="J493" s="120" t="s">
        <v>3495</v>
      </c>
      <c r="K493" s="166"/>
      <c r="L493" s="139" t="s">
        <v>92</v>
      </c>
      <c r="M493" s="164" t="s">
        <v>3794</v>
      </c>
      <c r="N493" s="120" t="s">
        <v>36</v>
      </c>
      <c r="O493" s="139" t="s">
        <v>3795</v>
      </c>
      <c r="P493" s="139"/>
      <c r="Q493" s="139" t="s">
        <v>3796</v>
      </c>
      <c r="R493" s="139">
        <v>3.43817342E8</v>
      </c>
      <c r="S493" s="167">
        <v>44450.0</v>
      </c>
      <c r="T493" s="164" t="s">
        <v>3797</v>
      </c>
      <c r="U493" s="139" t="s">
        <v>3798</v>
      </c>
      <c r="V493" s="139" t="s">
        <v>2695</v>
      </c>
      <c r="W493" s="168" t="s">
        <v>3799</v>
      </c>
      <c r="X493" s="164" t="s">
        <v>2451</v>
      </c>
      <c r="Y493" s="169" t="s">
        <v>3800</v>
      </c>
      <c r="Z493" s="131" t="s">
        <v>43</v>
      </c>
      <c r="AA493" s="122" t="s">
        <v>3801</v>
      </c>
      <c r="AB493" s="170"/>
      <c r="AC493" s="120" t="s">
        <v>156</v>
      </c>
      <c r="AD493" s="120"/>
      <c r="AE493" s="139"/>
      <c r="AF493" s="139"/>
    </row>
    <row r="494" hidden="1">
      <c r="A494" s="108" t="s">
        <v>157</v>
      </c>
      <c r="B494" s="92" t="s">
        <v>1143</v>
      </c>
      <c r="C494" s="92" t="s">
        <v>238</v>
      </c>
      <c r="D494" s="148">
        <v>45946.0</v>
      </c>
      <c r="E494" s="117" t="s">
        <v>3802</v>
      </c>
      <c r="F494" s="146">
        <v>45834.0</v>
      </c>
      <c r="G494" s="117" t="s">
        <v>31</v>
      </c>
      <c r="H494" s="136">
        <f>IFERROR(__xludf.DUMMYFUNCTION("IF(ISDATE(S494), DATEDIF(S494, TODAY(), ""Y""), """")"),14.0)</f>
        <v>14</v>
      </c>
      <c r="I494" s="117" t="s">
        <v>3803</v>
      </c>
      <c r="J494" s="117" t="s">
        <v>2959</v>
      </c>
      <c r="K494" s="199" t="s">
        <v>3804</v>
      </c>
      <c r="L494" s="117" t="s">
        <v>92</v>
      </c>
      <c r="M494" s="117" t="s">
        <v>3805</v>
      </c>
      <c r="N494" s="117" t="s">
        <v>36</v>
      </c>
      <c r="O494" s="117" t="s">
        <v>3806</v>
      </c>
      <c r="P494" s="117"/>
      <c r="Q494" s="117" t="s">
        <v>36</v>
      </c>
      <c r="R494" s="114">
        <v>3.35504304E8</v>
      </c>
      <c r="S494" s="148">
        <v>40874.0</v>
      </c>
      <c r="T494" s="117" t="s">
        <v>658</v>
      </c>
      <c r="U494" s="114" t="s">
        <v>2225</v>
      </c>
      <c r="V494" s="117" t="s">
        <v>2042</v>
      </c>
      <c r="W494" s="147" t="s">
        <v>3807</v>
      </c>
      <c r="X494" s="117" t="s">
        <v>3808</v>
      </c>
      <c r="Y494" s="147" t="s">
        <v>3809</v>
      </c>
      <c r="Z494" s="117" t="s">
        <v>43</v>
      </c>
      <c r="AA494" s="114">
        <v>1.0</v>
      </c>
      <c r="AB494" s="119" t="s">
        <v>3810</v>
      </c>
      <c r="AC494" s="117" t="s">
        <v>978</v>
      </c>
      <c r="AD494" s="117" t="s">
        <v>3811</v>
      </c>
      <c r="AE494" s="119"/>
      <c r="AF494" s="92" t="s">
        <v>3812</v>
      </c>
    </row>
    <row r="495">
      <c r="A495" s="84" t="s">
        <v>157</v>
      </c>
      <c r="B495" s="120" t="s">
        <v>1143</v>
      </c>
      <c r="C495" s="120" t="s">
        <v>238</v>
      </c>
      <c r="D495" s="163"/>
      <c r="E495" s="164" t="s">
        <v>3813</v>
      </c>
      <c r="F495" s="165">
        <v>45886.0</v>
      </c>
      <c r="G495" s="164" t="s">
        <v>90</v>
      </c>
      <c r="H495" s="130">
        <v>13.0</v>
      </c>
      <c r="I495" s="164" t="s">
        <v>3814</v>
      </c>
      <c r="J495" s="120" t="s">
        <v>1034</v>
      </c>
      <c r="K495" s="169" t="s">
        <v>3815</v>
      </c>
      <c r="L495" s="139" t="s">
        <v>92</v>
      </c>
      <c r="M495" s="164" t="s">
        <v>3816</v>
      </c>
      <c r="N495" s="120" t="s">
        <v>36</v>
      </c>
      <c r="O495" s="139" t="s">
        <v>3817</v>
      </c>
      <c r="P495" s="139"/>
      <c r="Q495" s="139" t="s">
        <v>36</v>
      </c>
      <c r="R495" s="139">
        <v>2.21020209E8</v>
      </c>
      <c r="S495" s="167">
        <v>41076.0</v>
      </c>
      <c r="T495" s="164" t="s">
        <v>38</v>
      </c>
      <c r="U495" s="139" t="s">
        <v>1107</v>
      </c>
      <c r="V495" s="139" t="s">
        <v>3818</v>
      </c>
      <c r="W495" s="168" t="s">
        <v>3819</v>
      </c>
      <c r="X495" s="164" t="s">
        <v>2468</v>
      </c>
      <c r="Y495" s="169" t="s">
        <v>3820</v>
      </c>
      <c r="Z495" s="131" t="s">
        <v>43</v>
      </c>
      <c r="AA495" s="122">
        <v>5.0</v>
      </c>
      <c r="AB495" s="170" t="s">
        <v>3821</v>
      </c>
      <c r="AC495" s="120" t="s">
        <v>1552</v>
      </c>
      <c r="AD495" s="139"/>
      <c r="AE495" s="139"/>
      <c r="AF495" s="120" t="s">
        <v>3822</v>
      </c>
    </row>
    <row r="496" hidden="1">
      <c r="A496" s="84" t="s">
        <v>157</v>
      </c>
      <c r="B496" s="92" t="s">
        <v>1143</v>
      </c>
      <c r="C496" s="111" t="s">
        <v>238</v>
      </c>
      <c r="D496" s="112">
        <v>45669.0</v>
      </c>
      <c r="E496" s="113" t="s">
        <v>3823</v>
      </c>
      <c r="F496" s="112">
        <v>45992.0</v>
      </c>
      <c r="G496" s="113" t="s">
        <v>31</v>
      </c>
      <c r="H496" s="114">
        <v>6.5</v>
      </c>
      <c r="I496" s="113" t="s">
        <v>3824</v>
      </c>
      <c r="J496" s="113" t="s">
        <v>1034</v>
      </c>
      <c r="K496" s="113"/>
      <c r="L496" s="113" t="s">
        <v>92</v>
      </c>
      <c r="M496" s="116" t="s">
        <v>3825</v>
      </c>
      <c r="N496" s="113" t="s">
        <v>36</v>
      </c>
      <c r="O496" s="117" t="s">
        <v>3826</v>
      </c>
      <c r="P496" s="113"/>
      <c r="Q496" s="113" t="s">
        <v>36</v>
      </c>
      <c r="R496" s="113">
        <v>2.2654221E7</v>
      </c>
      <c r="S496" s="118">
        <v>43557.0</v>
      </c>
      <c r="T496" s="116" t="s">
        <v>3827</v>
      </c>
      <c r="U496" s="113" t="s">
        <v>1045</v>
      </c>
      <c r="V496" s="113" t="s">
        <v>3828</v>
      </c>
      <c r="W496" s="115" t="s">
        <v>3829</v>
      </c>
      <c r="X496" s="113" t="s">
        <v>301</v>
      </c>
      <c r="Y496" s="115" t="s">
        <v>3830</v>
      </c>
      <c r="Z496" s="117" t="s">
        <v>43</v>
      </c>
      <c r="AA496" s="113">
        <v>5.0</v>
      </c>
      <c r="AB496" s="117"/>
      <c r="AC496" s="92" t="s">
        <v>978</v>
      </c>
      <c r="AD496" s="117" t="s">
        <v>3831</v>
      </c>
      <c r="AE496" s="119"/>
      <c r="AF496" s="117"/>
    </row>
    <row r="497" hidden="1">
      <c r="A497" s="108" t="s">
        <v>157</v>
      </c>
      <c r="B497" s="120" t="s">
        <v>140</v>
      </c>
      <c r="C497" s="122" t="s">
        <v>238</v>
      </c>
      <c r="D497" s="156">
        <v>46032.0</v>
      </c>
      <c r="E497" s="128" t="s">
        <v>3832</v>
      </c>
      <c r="F497" s="133" t="s">
        <v>1379</v>
      </c>
      <c r="G497" s="128" t="s">
        <v>90</v>
      </c>
      <c r="H497" s="130">
        <v>15.0</v>
      </c>
      <c r="I497" s="128" t="s">
        <v>3833</v>
      </c>
      <c r="J497" s="128" t="s">
        <v>668</v>
      </c>
      <c r="K497" s="143" t="s">
        <v>3834</v>
      </c>
      <c r="L497" s="128" t="s">
        <v>92</v>
      </c>
      <c r="M497" s="134" t="s">
        <v>566</v>
      </c>
      <c r="N497" s="128" t="s">
        <v>36</v>
      </c>
      <c r="O497" s="124" t="s">
        <v>1287</v>
      </c>
      <c r="P497" s="128"/>
      <c r="Q497" s="128" t="s">
        <v>36</v>
      </c>
      <c r="R497" s="128">
        <v>3.34347432E8</v>
      </c>
      <c r="S497" s="132">
        <v>40182.0</v>
      </c>
      <c r="T497" s="134" t="s">
        <v>726</v>
      </c>
      <c r="U497" s="128">
        <v>1.9</v>
      </c>
      <c r="V497" s="128" t="s">
        <v>192</v>
      </c>
      <c r="W497" s="143" t="s">
        <v>3835</v>
      </c>
      <c r="X497" s="128" t="s">
        <v>3836</v>
      </c>
      <c r="Y497" s="143" t="s">
        <v>3837</v>
      </c>
      <c r="Z497" s="124" t="s">
        <v>43</v>
      </c>
      <c r="AA497" s="128">
        <v>3.0</v>
      </c>
      <c r="AB497" s="124" t="s">
        <v>3838</v>
      </c>
      <c r="AC497" s="120" t="s">
        <v>169</v>
      </c>
      <c r="AD497" s="131"/>
      <c r="AE497" s="131"/>
      <c r="AF497" s="124" t="s">
        <v>3839</v>
      </c>
    </row>
    <row r="498" hidden="1">
      <c r="A498" s="108" t="s">
        <v>157</v>
      </c>
      <c r="B498" s="92" t="s">
        <v>1143</v>
      </c>
      <c r="C498" s="92" t="s">
        <v>409</v>
      </c>
      <c r="D498" s="148">
        <v>45901.0</v>
      </c>
      <c r="E498" s="117" t="s">
        <v>3840</v>
      </c>
      <c r="F498" s="146">
        <v>45790.0</v>
      </c>
      <c r="G498" s="117" t="s">
        <v>31</v>
      </c>
      <c r="H498" s="114">
        <f>IFERROR(__xludf.DUMMYFUNCTION("IF(ISDATE(S498), DATEDIF(S498, TODAY(), ""Y""), """")"),13.0)</f>
        <v>13</v>
      </c>
      <c r="I498" s="117" t="s">
        <v>3841</v>
      </c>
      <c r="J498" s="117" t="s">
        <v>145</v>
      </c>
      <c r="K498" s="147" t="s">
        <v>3842</v>
      </c>
      <c r="L498" s="117" t="s">
        <v>103</v>
      </c>
      <c r="M498" s="117" t="s">
        <v>3843</v>
      </c>
      <c r="N498" s="117" t="s">
        <v>36</v>
      </c>
      <c r="O498" s="117" t="s">
        <v>3844</v>
      </c>
      <c r="P498" s="119"/>
      <c r="Q498" s="117" t="s">
        <v>44</v>
      </c>
      <c r="R498" s="114">
        <v>2.21239817E8</v>
      </c>
      <c r="S498" s="148">
        <v>41156.0</v>
      </c>
      <c r="T498" s="117" t="s">
        <v>3845</v>
      </c>
      <c r="U498" s="114" t="s">
        <v>3846</v>
      </c>
      <c r="V498" s="117" t="s">
        <v>3847</v>
      </c>
      <c r="W498" s="147" t="s">
        <v>3842</v>
      </c>
      <c r="X498" s="117" t="s">
        <v>1119</v>
      </c>
      <c r="Y498" s="147" t="s">
        <v>3842</v>
      </c>
      <c r="Z498" s="117" t="s">
        <v>43</v>
      </c>
      <c r="AA498" s="114">
        <v>1.0</v>
      </c>
      <c r="AB498" s="117" t="s">
        <v>3848</v>
      </c>
      <c r="AC498" s="92" t="s">
        <v>978</v>
      </c>
      <c r="AD498" s="117" t="s">
        <v>3849</v>
      </c>
      <c r="AE498" s="117"/>
      <c r="AF498" s="92" t="s">
        <v>3850</v>
      </c>
    </row>
    <row r="499" hidden="1">
      <c r="A499" s="135" t="s">
        <v>157</v>
      </c>
      <c r="B499" s="120" t="s">
        <v>1143</v>
      </c>
      <c r="C499" s="120" t="s">
        <v>409</v>
      </c>
      <c r="D499" s="156">
        <v>45978.0</v>
      </c>
      <c r="E499" s="124" t="s">
        <v>3851</v>
      </c>
      <c r="F499" s="161">
        <v>45819.0</v>
      </c>
      <c r="G499" s="124" t="s">
        <v>90</v>
      </c>
      <c r="H499" s="130">
        <f>IFERROR(__xludf.DUMMYFUNCTION("IF(ISDATE(S499), DATEDIF(S499, TODAY(), ""Y""), """")"),3.0)</f>
        <v>3</v>
      </c>
      <c r="I499" s="124" t="s">
        <v>3852</v>
      </c>
      <c r="J499" s="124" t="s">
        <v>1130</v>
      </c>
      <c r="K499" s="131"/>
      <c r="L499" s="124" t="s">
        <v>49</v>
      </c>
      <c r="M499" s="124" t="s">
        <v>3853</v>
      </c>
      <c r="N499" s="124" t="s">
        <v>44</v>
      </c>
      <c r="O499" s="124" t="s">
        <v>3854</v>
      </c>
      <c r="P499" s="124" t="s">
        <v>1288</v>
      </c>
      <c r="Q499" s="124" t="s">
        <v>44</v>
      </c>
      <c r="R499" s="130">
        <v>2.36919734E8</v>
      </c>
      <c r="S499" s="156">
        <v>44787.0</v>
      </c>
      <c r="T499" s="124" t="s">
        <v>38</v>
      </c>
      <c r="U499" s="130" t="s">
        <v>3855</v>
      </c>
      <c r="V499" s="124" t="s">
        <v>560</v>
      </c>
      <c r="W499" s="162" t="s">
        <v>3856</v>
      </c>
      <c r="X499" s="124" t="s">
        <v>3857</v>
      </c>
      <c r="Y499" s="162" t="s">
        <v>3858</v>
      </c>
      <c r="Z499" s="124" t="s">
        <v>43</v>
      </c>
      <c r="AA499" s="130">
        <v>2.0</v>
      </c>
      <c r="AB499" s="124" t="s">
        <v>3859</v>
      </c>
      <c r="AC499" s="120" t="s">
        <v>978</v>
      </c>
      <c r="AD499" s="124" t="s">
        <v>3860</v>
      </c>
      <c r="AE499" s="124" t="s">
        <v>3861</v>
      </c>
      <c r="AF499" s="124" t="s">
        <v>3862</v>
      </c>
    </row>
    <row r="500" hidden="1">
      <c r="A500" s="135" t="s">
        <v>157</v>
      </c>
      <c r="B500" s="92" t="s">
        <v>140</v>
      </c>
      <c r="C500" s="92" t="s">
        <v>238</v>
      </c>
      <c r="D500" s="149" t="s">
        <v>3863</v>
      </c>
      <c r="E500" s="150" t="s">
        <v>3864</v>
      </c>
      <c r="F500" s="151">
        <v>46013.0</v>
      </c>
      <c r="G500" s="150" t="s">
        <v>90</v>
      </c>
      <c r="H500" s="114">
        <v>6.0</v>
      </c>
      <c r="I500" s="150" t="s">
        <v>3865</v>
      </c>
      <c r="J500" s="92" t="s">
        <v>3866</v>
      </c>
      <c r="K500" s="157"/>
      <c r="L500" s="127" t="s">
        <v>649</v>
      </c>
      <c r="M500" s="150" t="s">
        <v>2515</v>
      </c>
      <c r="N500" s="92" t="s">
        <v>36</v>
      </c>
      <c r="O500" s="127" t="s">
        <v>2030</v>
      </c>
      <c r="P500" s="127"/>
      <c r="Q500" s="127" t="s">
        <v>44</v>
      </c>
      <c r="R500" s="127">
        <v>2.26876506E8</v>
      </c>
      <c r="S500" s="153">
        <v>43727.0</v>
      </c>
      <c r="T500" s="150" t="s">
        <v>2492</v>
      </c>
      <c r="U500" s="154" t="s">
        <v>3867</v>
      </c>
      <c r="V500" s="127" t="s">
        <v>966</v>
      </c>
      <c r="W500" s="154" t="s">
        <v>3868</v>
      </c>
      <c r="X500" s="150" t="s">
        <v>2246</v>
      </c>
      <c r="Y500" s="152" t="s">
        <v>3868</v>
      </c>
      <c r="Z500" s="119" t="s">
        <v>43</v>
      </c>
      <c r="AA500" s="111">
        <v>3.0</v>
      </c>
      <c r="AB500" s="155"/>
      <c r="AC500" s="92" t="s">
        <v>156</v>
      </c>
      <c r="AD500" s="92"/>
      <c r="AE500" s="127"/>
      <c r="AF500" s="127"/>
    </row>
    <row r="501" hidden="1">
      <c r="A501" s="135" t="s">
        <v>139</v>
      </c>
      <c r="B501" s="120" t="s">
        <v>140</v>
      </c>
      <c r="C501" s="120" t="s">
        <v>238</v>
      </c>
      <c r="D501" s="163" t="s">
        <v>3869</v>
      </c>
      <c r="E501" s="164" t="s">
        <v>3870</v>
      </c>
      <c r="F501" s="165">
        <v>46014.0</v>
      </c>
      <c r="G501" s="164" t="s">
        <v>90</v>
      </c>
      <c r="H501" s="130">
        <v>21.0</v>
      </c>
      <c r="I501" s="164" t="s">
        <v>3871</v>
      </c>
      <c r="J501" s="120" t="s">
        <v>3372</v>
      </c>
      <c r="K501" s="169" t="s">
        <v>3872</v>
      </c>
      <c r="L501" s="139" t="s">
        <v>649</v>
      </c>
      <c r="M501" s="164" t="s">
        <v>3873</v>
      </c>
      <c r="N501" s="120" t="s">
        <v>44</v>
      </c>
      <c r="O501" s="139"/>
      <c r="P501" s="139" t="s">
        <v>3874</v>
      </c>
      <c r="Q501" s="139" t="s">
        <v>36</v>
      </c>
      <c r="R501" s="139">
        <v>3.25670891E8</v>
      </c>
      <c r="S501" s="167">
        <v>38300.0</v>
      </c>
      <c r="T501" s="164" t="s">
        <v>3875</v>
      </c>
      <c r="U501" s="139" t="s">
        <v>3876</v>
      </c>
      <c r="V501" s="139" t="s">
        <v>566</v>
      </c>
      <c r="W501" s="139" t="s">
        <v>566</v>
      </c>
      <c r="X501" s="164" t="s">
        <v>3877</v>
      </c>
      <c r="Y501" s="169" t="s">
        <v>3878</v>
      </c>
      <c r="Z501" s="131" t="s">
        <v>730</v>
      </c>
      <c r="AA501" s="122" t="s">
        <v>3879</v>
      </c>
      <c r="AB501" s="170" t="s">
        <v>3880</v>
      </c>
      <c r="AC501" s="120" t="s">
        <v>169</v>
      </c>
      <c r="AD501" s="120"/>
      <c r="AE501" s="139"/>
      <c r="AF501" s="139"/>
    </row>
    <row r="502" hidden="1">
      <c r="A502" s="135" t="s">
        <v>139</v>
      </c>
      <c r="B502" s="92" t="s">
        <v>140</v>
      </c>
      <c r="C502" s="92" t="s">
        <v>238</v>
      </c>
      <c r="D502" s="149" t="s">
        <v>3869</v>
      </c>
      <c r="E502" s="150" t="s">
        <v>3881</v>
      </c>
      <c r="F502" s="151">
        <v>46014.0</v>
      </c>
      <c r="G502" s="150" t="s">
        <v>31</v>
      </c>
      <c r="H502" s="114">
        <v>18.0</v>
      </c>
      <c r="I502" s="150" t="s">
        <v>3882</v>
      </c>
      <c r="J502" s="92" t="s">
        <v>188</v>
      </c>
      <c r="K502" s="152" t="s">
        <v>3883</v>
      </c>
      <c r="L502" s="127" t="s">
        <v>3884</v>
      </c>
      <c r="M502" s="150" t="s">
        <v>3885</v>
      </c>
      <c r="N502" s="92" t="s">
        <v>36</v>
      </c>
      <c r="O502" s="127" t="s">
        <v>1646</v>
      </c>
      <c r="P502" s="127"/>
      <c r="Q502" s="127" t="s">
        <v>3886</v>
      </c>
      <c r="R502" s="127">
        <v>3.31238584E8</v>
      </c>
      <c r="S502" s="153">
        <v>39405.0</v>
      </c>
      <c r="T502" s="150" t="s">
        <v>3887</v>
      </c>
      <c r="U502" s="154" t="s">
        <v>3888</v>
      </c>
      <c r="V502" s="127" t="s">
        <v>221</v>
      </c>
      <c r="W502" s="154" t="s">
        <v>3889</v>
      </c>
      <c r="X502" s="150" t="s">
        <v>1015</v>
      </c>
      <c r="Y502" s="152" t="s">
        <v>3883</v>
      </c>
      <c r="Z502" s="119" t="s">
        <v>43</v>
      </c>
      <c r="AA502" s="111">
        <v>5.0</v>
      </c>
      <c r="AB502" s="155"/>
      <c r="AC502" s="92" t="s">
        <v>169</v>
      </c>
      <c r="AD502" s="92"/>
      <c r="AE502" s="127"/>
      <c r="AF502" s="127"/>
    </row>
    <row r="503" hidden="1">
      <c r="A503" s="135" t="s">
        <v>157</v>
      </c>
      <c r="B503" s="120" t="s">
        <v>1143</v>
      </c>
      <c r="C503" s="120" t="s">
        <v>238</v>
      </c>
      <c r="D503" s="121" t="s">
        <v>1572</v>
      </c>
      <c r="E503" s="120" t="s">
        <v>3890</v>
      </c>
      <c r="F503" s="122" t="s">
        <v>2171</v>
      </c>
      <c r="G503" s="120" t="s">
        <v>31</v>
      </c>
      <c r="H503" s="130">
        <f>IFERROR(__xludf.DUMMYFUNCTION("IF(ISDATE(S503), DATEDIF(S503, TODAY(), ""Y""), """")"),5.0)</f>
        <v>5</v>
      </c>
      <c r="I503" s="120" t="s">
        <v>3891</v>
      </c>
      <c r="J503" s="120" t="s">
        <v>2237</v>
      </c>
      <c r="K503" s="139"/>
      <c r="L503" s="120" t="s">
        <v>92</v>
      </c>
      <c r="M503" s="257" t="s">
        <v>238</v>
      </c>
      <c r="N503" s="120" t="s">
        <v>36</v>
      </c>
      <c r="O503" s="120" t="s">
        <v>914</v>
      </c>
      <c r="P503" s="139"/>
      <c r="Q503" s="120" t="s">
        <v>36</v>
      </c>
      <c r="R503" s="122">
        <v>2.35689932E8</v>
      </c>
      <c r="S503" s="121">
        <v>44114.0</v>
      </c>
      <c r="T503" s="120" t="s">
        <v>3892</v>
      </c>
      <c r="U503" s="122" t="s">
        <v>3893</v>
      </c>
      <c r="V503" s="120" t="s">
        <v>1315</v>
      </c>
      <c r="W503" s="122">
        <v>5.42396881E8</v>
      </c>
      <c r="X503" s="120" t="s">
        <v>2398</v>
      </c>
      <c r="Y503" s="122">
        <v>5.44834737E8</v>
      </c>
      <c r="Z503" s="124" t="s">
        <v>43</v>
      </c>
      <c r="AA503" s="122">
        <v>4.0</v>
      </c>
      <c r="AB503" s="120" t="s">
        <v>3894</v>
      </c>
      <c r="AC503" s="120" t="s">
        <v>1350</v>
      </c>
      <c r="AD503" s="120"/>
      <c r="AE503" s="139"/>
      <c r="AF503" s="139"/>
    </row>
    <row r="504">
      <c r="A504" s="258"/>
      <c r="B504" s="258"/>
      <c r="C504" s="259"/>
      <c r="D504" s="126"/>
      <c r="E504" s="260"/>
      <c r="F504" s="261"/>
      <c r="G504" s="260"/>
      <c r="H504" s="262"/>
      <c r="I504" s="260"/>
      <c r="J504" s="260"/>
      <c r="K504" s="260"/>
      <c r="L504" s="260"/>
      <c r="M504" s="263"/>
      <c r="N504" s="260"/>
      <c r="O504" s="264"/>
      <c r="P504" s="260"/>
      <c r="Q504" s="260"/>
      <c r="R504" s="260"/>
      <c r="S504" s="265"/>
      <c r="T504" s="263"/>
      <c r="U504" s="260"/>
      <c r="V504" s="260"/>
      <c r="W504" s="260"/>
      <c r="X504" s="260"/>
      <c r="Y504" s="260"/>
      <c r="Z504" s="266"/>
      <c r="AA504" s="260"/>
      <c r="AB504" s="258"/>
      <c r="AC504" s="258"/>
      <c r="AD504" s="127"/>
      <c r="AE504" s="127"/>
      <c r="AF504" s="258"/>
    </row>
    <row r="505">
      <c r="A505" s="267"/>
      <c r="B505" s="267"/>
      <c r="C505" s="268"/>
      <c r="D505" s="121"/>
      <c r="E505" s="128"/>
      <c r="F505" s="175"/>
      <c r="G505" s="128"/>
      <c r="H505" s="123"/>
      <c r="I505" s="128"/>
      <c r="J505" s="128"/>
      <c r="K505" s="128"/>
      <c r="L505" s="128"/>
      <c r="M505" s="269"/>
      <c r="N505" s="128"/>
      <c r="O505" s="267"/>
      <c r="P505" s="128"/>
      <c r="Q505" s="128"/>
      <c r="R505" s="128"/>
      <c r="S505" s="132"/>
      <c r="T505" s="269"/>
      <c r="U505" s="128"/>
      <c r="V505" s="128"/>
      <c r="W505" s="128"/>
      <c r="X505" s="128"/>
      <c r="Y505" s="128"/>
      <c r="Z505" s="270"/>
      <c r="AA505" s="128"/>
      <c r="AB505" s="267"/>
      <c r="AC505" s="267"/>
      <c r="AD505" s="139"/>
      <c r="AE505" s="139"/>
      <c r="AF505" s="267"/>
    </row>
    <row r="506">
      <c r="A506" s="258"/>
      <c r="B506" s="258"/>
      <c r="C506" s="259"/>
      <c r="D506" s="126"/>
      <c r="E506" s="113"/>
      <c r="F506" s="112"/>
      <c r="G506" s="113"/>
      <c r="H506" s="136"/>
      <c r="I506" s="113"/>
      <c r="J506" s="113"/>
      <c r="K506" s="113"/>
      <c r="L506" s="113"/>
      <c r="M506" s="271"/>
      <c r="N506" s="113"/>
      <c r="O506" s="258"/>
      <c r="P506" s="113"/>
      <c r="Q506" s="113"/>
      <c r="R506" s="113"/>
      <c r="S506" s="118"/>
      <c r="T506" s="271"/>
      <c r="U506" s="113"/>
      <c r="V506" s="113"/>
      <c r="W506" s="113"/>
      <c r="X506" s="113"/>
      <c r="Y506" s="113"/>
      <c r="Z506" s="272"/>
      <c r="AA506" s="113"/>
      <c r="AB506" s="258"/>
      <c r="AC506" s="258"/>
      <c r="AD506" s="127"/>
      <c r="AE506" s="127"/>
      <c r="AF506" s="258"/>
    </row>
    <row r="507">
      <c r="A507" s="267"/>
      <c r="B507" s="267"/>
      <c r="C507" s="268"/>
      <c r="D507" s="121"/>
      <c r="E507" s="128"/>
      <c r="F507" s="175"/>
      <c r="G507" s="128"/>
      <c r="H507" s="123"/>
      <c r="I507" s="128"/>
      <c r="J507" s="128"/>
      <c r="K507" s="128"/>
      <c r="L507" s="128"/>
      <c r="M507" s="269"/>
      <c r="N507" s="128"/>
      <c r="O507" s="267"/>
      <c r="P507" s="128"/>
      <c r="Q507" s="128"/>
      <c r="R507" s="128"/>
      <c r="S507" s="132"/>
      <c r="T507" s="269"/>
      <c r="U507" s="128"/>
      <c r="V507" s="128"/>
      <c r="W507" s="128"/>
      <c r="X507" s="128"/>
      <c r="Y507" s="128"/>
      <c r="Z507" s="270"/>
      <c r="AA507" s="128"/>
      <c r="AB507" s="267"/>
      <c r="AC507" s="267"/>
      <c r="AD507" s="139"/>
      <c r="AE507" s="139"/>
      <c r="AF507" s="267"/>
    </row>
    <row r="508">
      <c r="A508" s="258"/>
      <c r="B508" s="258"/>
      <c r="C508" s="259"/>
      <c r="D508" s="126"/>
      <c r="E508" s="113"/>
      <c r="F508" s="112"/>
      <c r="G508" s="113"/>
      <c r="H508" s="136"/>
      <c r="I508" s="113"/>
      <c r="J508" s="113"/>
      <c r="K508" s="113"/>
      <c r="L508" s="113"/>
      <c r="M508" s="271"/>
      <c r="N508" s="113"/>
      <c r="O508" s="258"/>
      <c r="P508" s="113"/>
      <c r="Q508" s="113"/>
      <c r="R508" s="113"/>
      <c r="S508" s="118"/>
      <c r="T508" s="271"/>
      <c r="U508" s="113"/>
      <c r="V508" s="113"/>
      <c r="W508" s="113"/>
      <c r="X508" s="113"/>
      <c r="Y508" s="113"/>
      <c r="Z508" s="272"/>
      <c r="AA508" s="113"/>
      <c r="AB508" s="258"/>
      <c r="AC508" s="258"/>
      <c r="AD508" s="127"/>
      <c r="AE508" s="127"/>
      <c r="AF508" s="258"/>
    </row>
    <row r="509">
      <c r="A509" s="267"/>
      <c r="B509" s="267"/>
      <c r="C509" s="268"/>
      <c r="D509" s="121"/>
      <c r="E509" s="128"/>
      <c r="F509" s="175"/>
      <c r="G509" s="128"/>
      <c r="H509" s="123"/>
      <c r="I509" s="128"/>
      <c r="J509" s="128"/>
      <c r="K509" s="128"/>
      <c r="L509" s="128"/>
      <c r="M509" s="269"/>
      <c r="N509" s="128"/>
      <c r="O509" s="267"/>
      <c r="P509" s="128"/>
      <c r="Q509" s="128"/>
      <c r="R509" s="128"/>
      <c r="S509" s="132"/>
      <c r="T509" s="269"/>
      <c r="U509" s="128"/>
      <c r="V509" s="128"/>
      <c r="W509" s="128"/>
      <c r="X509" s="128"/>
      <c r="Y509" s="128"/>
      <c r="Z509" s="270"/>
      <c r="AA509" s="128"/>
      <c r="AB509" s="267"/>
      <c r="AC509" s="267"/>
      <c r="AD509" s="139"/>
      <c r="AE509" s="139"/>
      <c r="AF509" s="267"/>
    </row>
    <row r="510">
      <c r="A510" s="258"/>
      <c r="B510" s="258"/>
      <c r="C510" s="259"/>
      <c r="D510" s="126"/>
      <c r="E510" s="113"/>
      <c r="F510" s="112"/>
      <c r="G510" s="113"/>
      <c r="H510" s="136"/>
      <c r="I510" s="113"/>
      <c r="J510" s="113"/>
      <c r="K510" s="113"/>
      <c r="L510" s="113"/>
      <c r="M510" s="271"/>
      <c r="N510" s="113"/>
      <c r="O510" s="258"/>
      <c r="P510" s="113"/>
      <c r="Q510" s="113"/>
      <c r="R510" s="113"/>
      <c r="S510" s="118"/>
      <c r="T510" s="271"/>
      <c r="U510" s="113"/>
      <c r="V510" s="113"/>
      <c r="W510" s="113"/>
      <c r="X510" s="113"/>
      <c r="Y510" s="113"/>
      <c r="Z510" s="272"/>
      <c r="AA510" s="113"/>
      <c r="AB510" s="258"/>
      <c r="AC510" s="258"/>
      <c r="AD510" s="127"/>
      <c r="AE510" s="127"/>
      <c r="AF510" s="258"/>
    </row>
    <row r="511">
      <c r="A511" s="267"/>
      <c r="B511" s="267"/>
      <c r="C511" s="268"/>
      <c r="D511" s="121"/>
      <c r="E511" s="128"/>
      <c r="F511" s="175"/>
      <c r="G511" s="128"/>
      <c r="H511" s="123"/>
      <c r="I511" s="128"/>
      <c r="J511" s="128"/>
      <c r="K511" s="128"/>
      <c r="L511" s="128"/>
      <c r="M511" s="269"/>
      <c r="N511" s="128"/>
      <c r="O511" s="267"/>
      <c r="P511" s="128"/>
      <c r="Q511" s="128"/>
      <c r="R511" s="128"/>
      <c r="S511" s="132"/>
      <c r="T511" s="269"/>
      <c r="U511" s="128"/>
      <c r="V511" s="128"/>
      <c r="W511" s="128"/>
      <c r="X511" s="128"/>
      <c r="Y511" s="128"/>
      <c r="Z511" s="270"/>
      <c r="AA511" s="128"/>
      <c r="AB511" s="267"/>
      <c r="AC511" s="267"/>
      <c r="AD511" s="139"/>
      <c r="AE511" s="139"/>
      <c r="AF511" s="267"/>
    </row>
    <row r="512">
      <c r="A512" s="258"/>
      <c r="B512" s="258"/>
      <c r="C512" s="259"/>
      <c r="D512" s="126"/>
      <c r="E512" s="113"/>
      <c r="F512" s="112"/>
      <c r="G512" s="113"/>
      <c r="H512" s="136"/>
      <c r="I512" s="113"/>
      <c r="J512" s="113"/>
      <c r="K512" s="113"/>
      <c r="L512" s="113"/>
      <c r="M512" s="271"/>
      <c r="N512" s="113"/>
      <c r="O512" s="258"/>
      <c r="P512" s="113"/>
      <c r="Q512" s="113"/>
      <c r="R512" s="113"/>
      <c r="S512" s="118"/>
      <c r="T512" s="271"/>
      <c r="U512" s="113"/>
      <c r="V512" s="113"/>
      <c r="W512" s="113"/>
      <c r="X512" s="113"/>
      <c r="Y512" s="113"/>
      <c r="Z512" s="272"/>
      <c r="AA512" s="113"/>
      <c r="AB512" s="258"/>
      <c r="AC512" s="258"/>
      <c r="AD512" s="127"/>
      <c r="AE512" s="127"/>
      <c r="AF512" s="258"/>
    </row>
    <row r="513">
      <c r="A513" s="267"/>
      <c r="B513" s="267"/>
      <c r="C513" s="268"/>
      <c r="D513" s="121"/>
      <c r="E513" s="128"/>
      <c r="F513" s="175"/>
      <c r="G513" s="128"/>
      <c r="H513" s="123"/>
      <c r="I513" s="128"/>
      <c r="J513" s="128"/>
      <c r="K513" s="128"/>
      <c r="L513" s="128"/>
      <c r="M513" s="269"/>
      <c r="N513" s="128"/>
      <c r="O513" s="267"/>
      <c r="P513" s="128"/>
      <c r="Q513" s="128"/>
      <c r="R513" s="128"/>
      <c r="S513" s="132"/>
      <c r="T513" s="269"/>
      <c r="U513" s="128"/>
      <c r="V513" s="128"/>
      <c r="W513" s="128"/>
      <c r="X513" s="128"/>
      <c r="Y513" s="128"/>
      <c r="Z513" s="270"/>
      <c r="AA513" s="128"/>
      <c r="AB513" s="267"/>
      <c r="AC513" s="267"/>
      <c r="AD513" s="139"/>
      <c r="AE513" s="139"/>
      <c r="AF513" s="267"/>
    </row>
    <row r="514">
      <c r="A514" s="258"/>
      <c r="B514" s="258"/>
      <c r="C514" s="259"/>
      <c r="D514" s="126"/>
      <c r="E514" s="113"/>
      <c r="F514" s="112"/>
      <c r="G514" s="113"/>
      <c r="H514" s="136"/>
      <c r="I514" s="113"/>
      <c r="J514" s="113"/>
      <c r="K514" s="113"/>
      <c r="L514" s="113"/>
      <c r="M514" s="271"/>
      <c r="N514" s="113"/>
      <c r="O514" s="258"/>
      <c r="P514" s="113"/>
      <c r="Q514" s="113"/>
      <c r="R514" s="113"/>
      <c r="S514" s="118"/>
      <c r="T514" s="271"/>
      <c r="U514" s="113"/>
      <c r="V514" s="113"/>
      <c r="W514" s="113"/>
      <c r="X514" s="113"/>
      <c r="Y514" s="113"/>
      <c r="Z514" s="272"/>
      <c r="AA514" s="113"/>
      <c r="AB514" s="258"/>
      <c r="AC514" s="258"/>
      <c r="AD514" s="127"/>
      <c r="AE514" s="127"/>
      <c r="AF514" s="258"/>
    </row>
    <row r="515">
      <c r="A515" s="267"/>
      <c r="B515" s="267"/>
      <c r="C515" s="268"/>
      <c r="D515" s="121"/>
      <c r="E515" s="128"/>
      <c r="F515" s="175"/>
      <c r="G515" s="128"/>
      <c r="H515" s="123"/>
      <c r="I515" s="128"/>
      <c r="J515" s="128"/>
      <c r="K515" s="128"/>
      <c r="L515" s="128"/>
      <c r="M515" s="269"/>
      <c r="N515" s="128"/>
      <c r="O515" s="267"/>
      <c r="P515" s="128"/>
      <c r="Q515" s="128"/>
      <c r="R515" s="128"/>
      <c r="S515" s="132"/>
      <c r="T515" s="269"/>
      <c r="U515" s="128"/>
      <c r="V515" s="128"/>
      <c r="W515" s="128"/>
      <c r="X515" s="128"/>
      <c r="Y515" s="128"/>
      <c r="Z515" s="270"/>
      <c r="AA515" s="128"/>
      <c r="AB515" s="267"/>
      <c r="AC515" s="267"/>
      <c r="AD515" s="139"/>
      <c r="AE515" s="139"/>
      <c r="AF515" s="267"/>
    </row>
    <row r="516">
      <c r="A516" s="258"/>
      <c r="B516" s="258"/>
      <c r="C516" s="259"/>
      <c r="D516" s="126"/>
      <c r="E516" s="113"/>
      <c r="F516" s="112"/>
      <c r="G516" s="113"/>
      <c r="H516" s="136"/>
      <c r="I516" s="113"/>
      <c r="J516" s="113"/>
      <c r="K516" s="113"/>
      <c r="L516" s="113"/>
      <c r="M516" s="271"/>
      <c r="N516" s="113"/>
      <c r="O516" s="258"/>
      <c r="P516" s="113"/>
      <c r="Q516" s="113"/>
      <c r="R516" s="113"/>
      <c r="S516" s="118"/>
      <c r="T516" s="271"/>
      <c r="U516" s="113"/>
      <c r="V516" s="113"/>
      <c r="W516" s="113"/>
      <c r="X516" s="113"/>
      <c r="Y516" s="113"/>
      <c r="Z516" s="272"/>
      <c r="AA516" s="113"/>
      <c r="AB516" s="258"/>
      <c r="AC516" s="258"/>
      <c r="AD516" s="127"/>
      <c r="AE516" s="127"/>
      <c r="AF516" s="258"/>
    </row>
    <row r="517">
      <c r="A517" s="267"/>
      <c r="B517" s="267"/>
      <c r="C517" s="268"/>
      <c r="D517" s="121"/>
      <c r="E517" s="128"/>
      <c r="F517" s="175"/>
      <c r="G517" s="128"/>
      <c r="H517" s="123"/>
      <c r="I517" s="128"/>
      <c r="J517" s="128"/>
      <c r="K517" s="128"/>
      <c r="L517" s="128"/>
      <c r="M517" s="269"/>
      <c r="N517" s="128"/>
      <c r="O517" s="267"/>
      <c r="P517" s="128"/>
      <c r="Q517" s="128"/>
      <c r="R517" s="128"/>
      <c r="S517" s="132"/>
      <c r="T517" s="269"/>
      <c r="U517" s="128"/>
      <c r="V517" s="128"/>
      <c r="W517" s="128"/>
      <c r="X517" s="128"/>
      <c r="Y517" s="128"/>
      <c r="Z517" s="270"/>
      <c r="AA517" s="128"/>
      <c r="AB517" s="267"/>
      <c r="AC517" s="267"/>
      <c r="AD517" s="139"/>
      <c r="AE517" s="139"/>
      <c r="AF517" s="267"/>
    </row>
    <row r="518">
      <c r="A518" s="258"/>
      <c r="B518" s="258"/>
      <c r="C518" s="259"/>
      <c r="D518" s="126"/>
      <c r="E518" s="113"/>
      <c r="F518" s="112"/>
      <c r="G518" s="113"/>
      <c r="H518" s="136"/>
      <c r="I518" s="113"/>
      <c r="J518" s="113"/>
      <c r="K518" s="113"/>
      <c r="L518" s="113"/>
      <c r="M518" s="271"/>
      <c r="N518" s="113"/>
      <c r="O518" s="258"/>
      <c r="P518" s="113"/>
      <c r="Q518" s="113"/>
      <c r="R518" s="113"/>
      <c r="S518" s="118"/>
      <c r="T518" s="271"/>
      <c r="U518" s="113"/>
      <c r="V518" s="113"/>
      <c r="W518" s="113"/>
      <c r="X518" s="113"/>
      <c r="Y518" s="113"/>
      <c r="Z518" s="272"/>
      <c r="AA518" s="113"/>
      <c r="AB518" s="258"/>
      <c r="AC518" s="258"/>
      <c r="AD518" s="127"/>
      <c r="AE518" s="127"/>
      <c r="AF518" s="258"/>
    </row>
    <row r="519">
      <c r="A519" s="267"/>
      <c r="B519" s="267"/>
      <c r="C519" s="268"/>
      <c r="D519" s="121"/>
      <c r="E519" s="128"/>
      <c r="F519" s="175"/>
      <c r="G519" s="128"/>
      <c r="H519" s="123"/>
      <c r="I519" s="128"/>
      <c r="J519" s="128"/>
      <c r="K519" s="128"/>
      <c r="L519" s="128"/>
      <c r="M519" s="269"/>
      <c r="N519" s="128"/>
      <c r="O519" s="267"/>
      <c r="P519" s="128"/>
      <c r="Q519" s="128"/>
      <c r="R519" s="128"/>
      <c r="S519" s="132"/>
      <c r="T519" s="269"/>
      <c r="U519" s="128"/>
      <c r="V519" s="128"/>
      <c r="W519" s="128"/>
      <c r="X519" s="128"/>
      <c r="Y519" s="128"/>
      <c r="Z519" s="270"/>
      <c r="AA519" s="128"/>
      <c r="AB519" s="267"/>
      <c r="AC519" s="267"/>
      <c r="AD519" s="139"/>
      <c r="AE519" s="139"/>
      <c r="AF519" s="267"/>
    </row>
    <row r="520">
      <c r="A520" s="258"/>
      <c r="B520" s="258"/>
      <c r="C520" s="259"/>
      <c r="D520" s="126"/>
      <c r="E520" s="113"/>
      <c r="F520" s="112"/>
      <c r="G520" s="113"/>
      <c r="H520" s="136"/>
      <c r="I520" s="113"/>
      <c r="J520" s="113"/>
      <c r="K520" s="113"/>
      <c r="L520" s="113"/>
      <c r="M520" s="271"/>
      <c r="N520" s="113"/>
      <c r="O520" s="258"/>
      <c r="P520" s="113"/>
      <c r="Q520" s="113"/>
      <c r="R520" s="113"/>
      <c r="S520" s="118"/>
      <c r="T520" s="271"/>
      <c r="U520" s="113"/>
      <c r="V520" s="113"/>
      <c r="W520" s="113"/>
      <c r="X520" s="113"/>
      <c r="Y520" s="113"/>
      <c r="Z520" s="272"/>
      <c r="AA520" s="113"/>
      <c r="AB520" s="258"/>
      <c r="AC520" s="258"/>
      <c r="AD520" s="127"/>
      <c r="AE520" s="127"/>
      <c r="AF520" s="258"/>
    </row>
    <row r="521">
      <c r="A521" s="267"/>
      <c r="B521" s="267"/>
      <c r="C521" s="268"/>
      <c r="D521" s="121"/>
      <c r="E521" s="128"/>
      <c r="F521" s="175"/>
      <c r="G521" s="128"/>
      <c r="H521" s="123"/>
      <c r="I521" s="128"/>
      <c r="J521" s="128"/>
      <c r="K521" s="128"/>
      <c r="L521" s="128"/>
      <c r="M521" s="269"/>
      <c r="N521" s="128"/>
      <c r="O521" s="267"/>
      <c r="P521" s="128"/>
      <c r="Q521" s="128"/>
      <c r="R521" s="128"/>
      <c r="S521" s="132"/>
      <c r="T521" s="269"/>
      <c r="U521" s="128"/>
      <c r="V521" s="128"/>
      <c r="W521" s="128"/>
      <c r="X521" s="128"/>
      <c r="Y521" s="128"/>
      <c r="Z521" s="270"/>
      <c r="AA521" s="128"/>
      <c r="AB521" s="267"/>
      <c r="AC521" s="267"/>
      <c r="AD521" s="139"/>
      <c r="AE521" s="139"/>
      <c r="AF521" s="267"/>
    </row>
    <row r="522">
      <c r="A522" s="258"/>
      <c r="B522" s="258"/>
      <c r="C522" s="259"/>
      <c r="D522" s="126"/>
      <c r="E522" s="113"/>
      <c r="F522" s="112"/>
      <c r="G522" s="113"/>
      <c r="H522" s="136"/>
      <c r="I522" s="113"/>
      <c r="J522" s="113"/>
      <c r="K522" s="113"/>
      <c r="L522" s="113"/>
      <c r="M522" s="271"/>
      <c r="N522" s="113"/>
      <c r="O522" s="258"/>
      <c r="P522" s="113"/>
      <c r="Q522" s="113"/>
      <c r="R522" s="113"/>
      <c r="S522" s="118"/>
      <c r="T522" s="271"/>
      <c r="U522" s="113"/>
      <c r="V522" s="113"/>
      <c r="W522" s="113"/>
      <c r="X522" s="113"/>
      <c r="Y522" s="113"/>
      <c r="Z522" s="272"/>
      <c r="AA522" s="113"/>
      <c r="AB522" s="258"/>
      <c r="AC522" s="258"/>
      <c r="AD522" s="127"/>
      <c r="AE522" s="127"/>
      <c r="AF522" s="258"/>
    </row>
    <row r="523">
      <c r="A523" s="267"/>
      <c r="B523" s="267"/>
      <c r="C523" s="268"/>
      <c r="D523" s="121"/>
      <c r="E523" s="128"/>
      <c r="F523" s="175"/>
      <c r="G523" s="128"/>
      <c r="H523" s="123"/>
      <c r="I523" s="128"/>
      <c r="J523" s="128"/>
      <c r="K523" s="128"/>
      <c r="L523" s="128"/>
      <c r="M523" s="269"/>
      <c r="N523" s="128"/>
      <c r="O523" s="267"/>
      <c r="P523" s="128"/>
      <c r="Q523" s="128"/>
      <c r="R523" s="128"/>
      <c r="S523" s="132"/>
      <c r="T523" s="269"/>
      <c r="U523" s="128"/>
      <c r="V523" s="128"/>
      <c r="W523" s="128"/>
      <c r="X523" s="128"/>
      <c r="Y523" s="128"/>
      <c r="Z523" s="270"/>
      <c r="AA523" s="128"/>
      <c r="AB523" s="267"/>
      <c r="AC523" s="267"/>
      <c r="AD523" s="139"/>
      <c r="AE523" s="139"/>
      <c r="AF523" s="267"/>
    </row>
    <row r="524">
      <c r="A524" s="258"/>
      <c r="B524" s="258"/>
      <c r="C524" s="259"/>
      <c r="D524" s="126"/>
      <c r="E524" s="113"/>
      <c r="F524" s="112"/>
      <c r="G524" s="113"/>
      <c r="H524" s="136"/>
      <c r="I524" s="113"/>
      <c r="J524" s="113"/>
      <c r="K524" s="113"/>
      <c r="L524" s="113"/>
      <c r="M524" s="271"/>
      <c r="N524" s="113"/>
      <c r="O524" s="258"/>
      <c r="P524" s="113"/>
      <c r="Q524" s="113"/>
      <c r="R524" s="113"/>
      <c r="S524" s="118"/>
      <c r="T524" s="271"/>
      <c r="U524" s="113"/>
      <c r="V524" s="113"/>
      <c r="W524" s="113"/>
      <c r="X524" s="113"/>
      <c r="Y524" s="113"/>
      <c r="Z524" s="272"/>
      <c r="AA524" s="113"/>
      <c r="AB524" s="258"/>
      <c r="AC524" s="258"/>
      <c r="AD524" s="127"/>
      <c r="AE524" s="127"/>
      <c r="AF524" s="258"/>
    </row>
    <row r="525">
      <c r="A525" s="267"/>
      <c r="B525" s="267"/>
      <c r="C525" s="268"/>
      <c r="D525" s="121"/>
      <c r="E525" s="128"/>
      <c r="F525" s="175"/>
      <c r="G525" s="128"/>
      <c r="H525" s="123"/>
      <c r="I525" s="128"/>
      <c r="J525" s="128"/>
      <c r="K525" s="128"/>
      <c r="L525" s="128"/>
      <c r="M525" s="269"/>
      <c r="N525" s="128"/>
      <c r="O525" s="267"/>
      <c r="P525" s="128"/>
      <c r="Q525" s="128"/>
      <c r="R525" s="128"/>
      <c r="S525" s="132"/>
      <c r="T525" s="269"/>
      <c r="U525" s="128"/>
      <c r="V525" s="128"/>
      <c r="W525" s="128"/>
      <c r="X525" s="128"/>
      <c r="Y525" s="128"/>
      <c r="Z525" s="270"/>
      <c r="AA525" s="128"/>
      <c r="AB525" s="267"/>
      <c r="AC525" s="267"/>
      <c r="AD525" s="139"/>
      <c r="AE525" s="139"/>
      <c r="AF525" s="267"/>
    </row>
    <row r="526">
      <c r="A526" s="258"/>
      <c r="B526" s="258"/>
      <c r="C526" s="259"/>
      <c r="D526" s="126"/>
      <c r="E526" s="113"/>
      <c r="F526" s="112"/>
      <c r="G526" s="113"/>
      <c r="H526" s="136"/>
      <c r="I526" s="113"/>
      <c r="J526" s="113"/>
      <c r="K526" s="113"/>
      <c r="L526" s="113"/>
      <c r="M526" s="271"/>
      <c r="N526" s="113"/>
      <c r="O526" s="258"/>
      <c r="P526" s="113"/>
      <c r="Q526" s="113"/>
      <c r="R526" s="113"/>
      <c r="S526" s="118"/>
      <c r="T526" s="271"/>
      <c r="U526" s="113"/>
      <c r="V526" s="113"/>
      <c r="W526" s="113"/>
      <c r="X526" s="113"/>
      <c r="Y526" s="113"/>
      <c r="Z526" s="272"/>
      <c r="AA526" s="113"/>
      <c r="AB526" s="258"/>
      <c r="AC526" s="258"/>
      <c r="AD526" s="127"/>
      <c r="AE526" s="127"/>
      <c r="AF526" s="258"/>
    </row>
    <row r="527">
      <c r="A527" s="267"/>
      <c r="B527" s="267"/>
      <c r="C527" s="268"/>
      <c r="D527" s="121"/>
      <c r="E527" s="128"/>
      <c r="F527" s="175"/>
      <c r="G527" s="128"/>
      <c r="H527" s="123"/>
      <c r="I527" s="128"/>
      <c r="J527" s="128"/>
      <c r="K527" s="128"/>
      <c r="L527" s="128"/>
      <c r="M527" s="269"/>
      <c r="N527" s="128"/>
      <c r="O527" s="267"/>
      <c r="P527" s="128"/>
      <c r="Q527" s="128"/>
      <c r="R527" s="128"/>
      <c r="S527" s="132"/>
      <c r="T527" s="269"/>
      <c r="U527" s="128"/>
      <c r="V527" s="128"/>
      <c r="W527" s="128"/>
      <c r="X527" s="128"/>
      <c r="Y527" s="128"/>
      <c r="Z527" s="270"/>
      <c r="AA527" s="128"/>
      <c r="AB527" s="267"/>
      <c r="AC527" s="267"/>
      <c r="AD527" s="139"/>
      <c r="AE527" s="139"/>
      <c r="AF527" s="267"/>
    </row>
    <row r="528">
      <c r="A528" s="258"/>
      <c r="B528" s="258"/>
      <c r="C528" s="259"/>
      <c r="D528" s="126"/>
      <c r="E528" s="113"/>
      <c r="F528" s="112"/>
      <c r="G528" s="113"/>
      <c r="H528" s="136"/>
      <c r="I528" s="113"/>
      <c r="J528" s="113"/>
      <c r="K528" s="113"/>
      <c r="L528" s="113"/>
      <c r="M528" s="271"/>
      <c r="N528" s="113"/>
      <c r="O528" s="258"/>
      <c r="P528" s="113"/>
      <c r="Q528" s="113"/>
      <c r="R528" s="113"/>
      <c r="S528" s="118"/>
      <c r="T528" s="271"/>
      <c r="U528" s="113"/>
      <c r="V528" s="113"/>
      <c r="W528" s="113"/>
      <c r="X528" s="113"/>
      <c r="Y528" s="113"/>
      <c r="Z528" s="272"/>
      <c r="AA528" s="113"/>
      <c r="AB528" s="258"/>
      <c r="AC528" s="258"/>
      <c r="AD528" s="127"/>
      <c r="AE528" s="127"/>
      <c r="AF528" s="258"/>
    </row>
    <row r="529">
      <c r="A529" s="267"/>
      <c r="B529" s="267"/>
      <c r="C529" s="268"/>
      <c r="D529" s="121"/>
      <c r="E529" s="128"/>
      <c r="F529" s="175"/>
      <c r="G529" s="128"/>
      <c r="H529" s="123"/>
      <c r="I529" s="128"/>
      <c r="J529" s="128"/>
      <c r="K529" s="128"/>
      <c r="L529" s="128"/>
      <c r="M529" s="269"/>
      <c r="N529" s="128"/>
      <c r="O529" s="267"/>
      <c r="P529" s="128"/>
      <c r="Q529" s="128"/>
      <c r="R529" s="128"/>
      <c r="S529" s="132"/>
      <c r="T529" s="269"/>
      <c r="U529" s="128"/>
      <c r="V529" s="128"/>
      <c r="W529" s="128"/>
      <c r="X529" s="128"/>
      <c r="Y529" s="128"/>
      <c r="Z529" s="270"/>
      <c r="AA529" s="128"/>
      <c r="AB529" s="267"/>
      <c r="AC529" s="267"/>
      <c r="AD529" s="139"/>
      <c r="AE529" s="139"/>
      <c r="AF529" s="267"/>
    </row>
    <row r="530">
      <c r="A530" s="258"/>
      <c r="B530" s="258"/>
      <c r="C530" s="259"/>
      <c r="D530" s="126"/>
      <c r="E530" s="113"/>
      <c r="F530" s="112"/>
      <c r="G530" s="113"/>
      <c r="H530" s="136"/>
      <c r="I530" s="113"/>
      <c r="J530" s="113"/>
      <c r="K530" s="113"/>
      <c r="L530" s="113"/>
      <c r="M530" s="271"/>
      <c r="N530" s="113"/>
      <c r="O530" s="258"/>
      <c r="P530" s="113"/>
      <c r="Q530" s="113"/>
      <c r="R530" s="113"/>
      <c r="S530" s="118"/>
      <c r="T530" s="271"/>
      <c r="U530" s="113"/>
      <c r="V530" s="113"/>
      <c r="W530" s="113"/>
      <c r="X530" s="113"/>
      <c r="Y530" s="113"/>
      <c r="Z530" s="272"/>
      <c r="AA530" s="113"/>
      <c r="AB530" s="258"/>
      <c r="AC530" s="258"/>
      <c r="AD530" s="127"/>
      <c r="AE530" s="127"/>
      <c r="AF530" s="258"/>
    </row>
    <row r="531">
      <c r="A531" s="267"/>
      <c r="B531" s="267"/>
      <c r="C531" s="268"/>
      <c r="D531" s="121"/>
      <c r="E531" s="128"/>
      <c r="F531" s="175"/>
      <c r="G531" s="128"/>
      <c r="H531" s="123"/>
      <c r="I531" s="128"/>
      <c r="J531" s="128"/>
      <c r="K531" s="128"/>
      <c r="L531" s="128"/>
      <c r="M531" s="269"/>
      <c r="N531" s="128"/>
      <c r="O531" s="267"/>
      <c r="P531" s="128"/>
      <c r="Q531" s="128"/>
      <c r="R531" s="128"/>
      <c r="S531" s="132"/>
      <c r="T531" s="269"/>
      <c r="U531" s="128"/>
      <c r="V531" s="128"/>
      <c r="W531" s="128"/>
      <c r="X531" s="128"/>
      <c r="Y531" s="128"/>
      <c r="Z531" s="270"/>
      <c r="AA531" s="128"/>
      <c r="AB531" s="267"/>
      <c r="AC531" s="267"/>
      <c r="AD531" s="139"/>
      <c r="AE531" s="139"/>
      <c r="AF531" s="267"/>
    </row>
    <row r="532">
      <c r="A532" s="258"/>
      <c r="B532" s="258"/>
      <c r="C532" s="259"/>
      <c r="D532" s="126"/>
      <c r="E532" s="113"/>
      <c r="F532" s="112"/>
      <c r="G532" s="113"/>
      <c r="H532" s="136"/>
      <c r="I532" s="113"/>
      <c r="J532" s="113"/>
      <c r="K532" s="113"/>
      <c r="L532" s="113"/>
      <c r="M532" s="271"/>
      <c r="N532" s="113"/>
      <c r="O532" s="258"/>
      <c r="P532" s="113"/>
      <c r="Q532" s="113"/>
      <c r="R532" s="113"/>
      <c r="S532" s="118"/>
      <c r="T532" s="271"/>
      <c r="U532" s="113"/>
      <c r="V532" s="113"/>
      <c r="W532" s="113"/>
      <c r="X532" s="113"/>
      <c r="Y532" s="113"/>
      <c r="Z532" s="272"/>
      <c r="AA532" s="113"/>
      <c r="AB532" s="258"/>
      <c r="AC532" s="258"/>
      <c r="AD532" s="127"/>
      <c r="AE532" s="127"/>
      <c r="AF532" s="258"/>
    </row>
    <row r="533">
      <c r="A533" s="267"/>
      <c r="B533" s="267"/>
      <c r="C533" s="268"/>
      <c r="D533" s="121"/>
      <c r="E533" s="128"/>
      <c r="F533" s="175"/>
      <c r="G533" s="128"/>
      <c r="H533" s="123"/>
      <c r="I533" s="128"/>
      <c r="J533" s="128"/>
      <c r="K533" s="128"/>
      <c r="L533" s="128"/>
      <c r="M533" s="269"/>
      <c r="N533" s="128"/>
      <c r="O533" s="267"/>
      <c r="P533" s="128"/>
      <c r="Q533" s="128"/>
      <c r="R533" s="128"/>
      <c r="S533" s="132"/>
      <c r="T533" s="269"/>
      <c r="U533" s="128"/>
      <c r="V533" s="128"/>
      <c r="W533" s="128"/>
      <c r="X533" s="128"/>
      <c r="Y533" s="128"/>
      <c r="Z533" s="270"/>
      <c r="AA533" s="128"/>
      <c r="AB533" s="267"/>
      <c r="AC533" s="267"/>
      <c r="AD533" s="139"/>
      <c r="AE533" s="139"/>
      <c r="AF533" s="267"/>
    </row>
    <row r="534">
      <c r="A534" s="258"/>
      <c r="B534" s="258"/>
      <c r="C534" s="259"/>
      <c r="D534" s="126"/>
      <c r="E534" s="113"/>
      <c r="F534" s="112"/>
      <c r="G534" s="113"/>
      <c r="H534" s="136"/>
      <c r="I534" s="113"/>
      <c r="J534" s="113"/>
      <c r="K534" s="113"/>
      <c r="L534" s="113"/>
      <c r="M534" s="271"/>
      <c r="N534" s="113"/>
      <c r="O534" s="258"/>
      <c r="P534" s="113"/>
      <c r="Q534" s="113"/>
      <c r="R534" s="113"/>
      <c r="S534" s="118"/>
      <c r="T534" s="271"/>
      <c r="U534" s="113"/>
      <c r="V534" s="113"/>
      <c r="W534" s="113"/>
      <c r="X534" s="113"/>
      <c r="Y534" s="113"/>
      <c r="Z534" s="272"/>
      <c r="AA534" s="113"/>
      <c r="AB534" s="258"/>
      <c r="AC534" s="258"/>
      <c r="AD534" s="127"/>
      <c r="AE534" s="127"/>
      <c r="AF534" s="258"/>
    </row>
    <row r="535">
      <c r="A535" s="267"/>
      <c r="B535" s="267"/>
      <c r="C535" s="268"/>
      <c r="D535" s="121"/>
      <c r="E535" s="128"/>
      <c r="F535" s="175"/>
      <c r="G535" s="128"/>
      <c r="H535" s="123"/>
      <c r="I535" s="128"/>
      <c r="J535" s="128"/>
      <c r="K535" s="128"/>
      <c r="L535" s="128"/>
      <c r="M535" s="269"/>
      <c r="N535" s="128"/>
      <c r="O535" s="267"/>
      <c r="P535" s="128"/>
      <c r="Q535" s="128"/>
      <c r="R535" s="128"/>
      <c r="S535" s="132"/>
      <c r="T535" s="269"/>
      <c r="U535" s="128"/>
      <c r="V535" s="128"/>
      <c r="W535" s="128"/>
      <c r="X535" s="128"/>
      <c r="Y535" s="128"/>
      <c r="Z535" s="270"/>
      <c r="AA535" s="128"/>
      <c r="AB535" s="267"/>
      <c r="AC535" s="267"/>
      <c r="AD535" s="139"/>
      <c r="AE535" s="139"/>
      <c r="AF535" s="267"/>
    </row>
    <row r="536">
      <c r="A536" s="258"/>
      <c r="B536" s="258"/>
      <c r="C536" s="259"/>
      <c r="D536" s="126"/>
      <c r="E536" s="113"/>
      <c r="F536" s="112"/>
      <c r="G536" s="113"/>
      <c r="H536" s="136"/>
      <c r="I536" s="113"/>
      <c r="J536" s="113"/>
      <c r="K536" s="113"/>
      <c r="L536" s="113"/>
      <c r="M536" s="271"/>
      <c r="N536" s="113"/>
      <c r="O536" s="258"/>
      <c r="P536" s="113"/>
      <c r="Q536" s="113"/>
      <c r="R536" s="113"/>
      <c r="S536" s="118"/>
      <c r="T536" s="271"/>
      <c r="U536" s="113"/>
      <c r="V536" s="113"/>
      <c r="W536" s="113"/>
      <c r="X536" s="113"/>
      <c r="Y536" s="113"/>
      <c r="Z536" s="272"/>
      <c r="AA536" s="113"/>
      <c r="AB536" s="258"/>
      <c r="AC536" s="258"/>
      <c r="AD536" s="127"/>
      <c r="AE536" s="127"/>
      <c r="AF536" s="258"/>
    </row>
    <row r="537">
      <c r="A537" s="267"/>
      <c r="B537" s="267"/>
      <c r="C537" s="268"/>
      <c r="D537" s="121"/>
      <c r="E537" s="128"/>
      <c r="F537" s="175"/>
      <c r="G537" s="128"/>
      <c r="H537" s="123"/>
      <c r="I537" s="128"/>
      <c r="J537" s="128"/>
      <c r="K537" s="128"/>
      <c r="L537" s="128"/>
      <c r="M537" s="269"/>
      <c r="N537" s="128"/>
      <c r="O537" s="267"/>
      <c r="P537" s="128"/>
      <c r="Q537" s="128"/>
      <c r="R537" s="128"/>
      <c r="S537" s="132"/>
      <c r="T537" s="269"/>
      <c r="U537" s="128"/>
      <c r="V537" s="128"/>
      <c r="W537" s="128"/>
      <c r="X537" s="128"/>
      <c r="Y537" s="128"/>
      <c r="Z537" s="270"/>
      <c r="AA537" s="128"/>
      <c r="AB537" s="267"/>
      <c r="AC537" s="267"/>
      <c r="AD537" s="139"/>
      <c r="AE537" s="139"/>
      <c r="AF537" s="267"/>
    </row>
    <row r="538">
      <c r="A538" s="258"/>
      <c r="B538" s="258"/>
      <c r="C538" s="259"/>
      <c r="D538" s="126"/>
      <c r="E538" s="113"/>
      <c r="F538" s="112"/>
      <c r="G538" s="113"/>
      <c r="H538" s="136"/>
      <c r="I538" s="113"/>
      <c r="J538" s="113"/>
      <c r="K538" s="113"/>
      <c r="L538" s="113"/>
      <c r="M538" s="271"/>
      <c r="N538" s="113"/>
      <c r="O538" s="258"/>
      <c r="P538" s="113"/>
      <c r="Q538" s="113"/>
      <c r="R538" s="113"/>
      <c r="S538" s="118"/>
      <c r="T538" s="271"/>
      <c r="U538" s="113"/>
      <c r="V538" s="113"/>
      <c r="W538" s="113"/>
      <c r="X538" s="113"/>
      <c r="Y538" s="113"/>
      <c r="Z538" s="272"/>
      <c r="AA538" s="113"/>
      <c r="AB538" s="258"/>
      <c r="AC538" s="258"/>
      <c r="AD538" s="127"/>
      <c r="AE538" s="127"/>
      <c r="AF538" s="258"/>
    </row>
    <row r="539">
      <c r="A539" s="267"/>
      <c r="B539" s="267"/>
      <c r="C539" s="268"/>
      <c r="D539" s="121"/>
      <c r="E539" s="128"/>
      <c r="F539" s="175"/>
      <c r="G539" s="128"/>
      <c r="H539" s="123"/>
      <c r="I539" s="128"/>
      <c r="J539" s="128"/>
      <c r="K539" s="128"/>
      <c r="L539" s="128"/>
      <c r="M539" s="269"/>
      <c r="N539" s="128"/>
      <c r="O539" s="267"/>
      <c r="P539" s="128"/>
      <c r="Q539" s="128"/>
      <c r="R539" s="128"/>
      <c r="S539" s="132"/>
      <c r="T539" s="269"/>
      <c r="U539" s="128"/>
      <c r="V539" s="128"/>
      <c r="W539" s="128"/>
      <c r="X539" s="128"/>
      <c r="Y539" s="128"/>
      <c r="Z539" s="270"/>
      <c r="AA539" s="128"/>
      <c r="AB539" s="267"/>
      <c r="AC539" s="267"/>
      <c r="AD539" s="139"/>
      <c r="AE539" s="139"/>
      <c r="AF539" s="267"/>
    </row>
    <row r="540">
      <c r="A540" s="258"/>
      <c r="B540" s="258"/>
      <c r="C540" s="259"/>
      <c r="D540" s="126"/>
      <c r="E540" s="113"/>
      <c r="F540" s="112"/>
      <c r="G540" s="113"/>
      <c r="H540" s="136"/>
      <c r="I540" s="113"/>
      <c r="J540" s="113"/>
      <c r="K540" s="113"/>
      <c r="L540" s="113"/>
      <c r="M540" s="271"/>
      <c r="N540" s="113"/>
      <c r="O540" s="258"/>
      <c r="P540" s="113"/>
      <c r="Q540" s="113"/>
      <c r="R540" s="113"/>
      <c r="S540" s="118"/>
      <c r="T540" s="271"/>
      <c r="U540" s="113"/>
      <c r="V540" s="113"/>
      <c r="W540" s="113"/>
      <c r="X540" s="113"/>
      <c r="Y540" s="113"/>
      <c r="Z540" s="272"/>
      <c r="AA540" s="113"/>
      <c r="AB540" s="258"/>
      <c r="AC540" s="258"/>
      <c r="AD540" s="127"/>
      <c r="AE540" s="127"/>
      <c r="AF540" s="258"/>
    </row>
    <row r="541">
      <c r="A541" s="267"/>
      <c r="B541" s="267"/>
      <c r="C541" s="268"/>
      <c r="D541" s="121"/>
      <c r="E541" s="128"/>
      <c r="F541" s="175"/>
      <c r="G541" s="128"/>
      <c r="H541" s="123"/>
      <c r="I541" s="128"/>
      <c r="J541" s="128"/>
      <c r="K541" s="128"/>
      <c r="L541" s="128"/>
      <c r="M541" s="269"/>
      <c r="N541" s="128"/>
      <c r="O541" s="267"/>
      <c r="P541" s="128"/>
      <c r="Q541" s="128"/>
      <c r="R541" s="128"/>
      <c r="S541" s="132"/>
      <c r="T541" s="269"/>
      <c r="U541" s="128"/>
      <c r="V541" s="128"/>
      <c r="W541" s="128"/>
      <c r="X541" s="128"/>
      <c r="Y541" s="128"/>
      <c r="Z541" s="270"/>
      <c r="AA541" s="128"/>
      <c r="AB541" s="267"/>
      <c r="AC541" s="267"/>
      <c r="AD541" s="139"/>
      <c r="AE541" s="139"/>
      <c r="AF541" s="267"/>
    </row>
    <row r="542">
      <c r="A542" s="258"/>
      <c r="B542" s="258"/>
      <c r="C542" s="259"/>
      <c r="D542" s="126"/>
      <c r="E542" s="113"/>
      <c r="F542" s="112"/>
      <c r="G542" s="113"/>
      <c r="H542" s="136"/>
      <c r="I542" s="113"/>
      <c r="J542" s="113"/>
      <c r="K542" s="113"/>
      <c r="L542" s="113"/>
      <c r="M542" s="271"/>
      <c r="N542" s="113"/>
      <c r="O542" s="258"/>
      <c r="P542" s="113"/>
      <c r="Q542" s="113"/>
      <c r="R542" s="113"/>
      <c r="S542" s="118"/>
      <c r="T542" s="271"/>
      <c r="U542" s="113"/>
      <c r="V542" s="113"/>
      <c r="W542" s="113"/>
      <c r="X542" s="113"/>
      <c r="Y542" s="113"/>
      <c r="Z542" s="272"/>
      <c r="AA542" s="113"/>
      <c r="AB542" s="258"/>
      <c r="AC542" s="258"/>
      <c r="AD542" s="127"/>
      <c r="AE542" s="127"/>
      <c r="AF542" s="258"/>
    </row>
    <row r="543">
      <c r="A543" s="267"/>
      <c r="B543" s="267"/>
      <c r="C543" s="268"/>
      <c r="D543" s="121"/>
      <c r="E543" s="128"/>
      <c r="F543" s="175"/>
      <c r="G543" s="128"/>
      <c r="H543" s="123"/>
      <c r="I543" s="128"/>
      <c r="J543" s="128"/>
      <c r="K543" s="128"/>
      <c r="L543" s="128"/>
      <c r="M543" s="269"/>
      <c r="N543" s="128"/>
      <c r="O543" s="267"/>
      <c r="P543" s="128"/>
      <c r="Q543" s="128"/>
      <c r="R543" s="128"/>
      <c r="S543" s="132"/>
      <c r="T543" s="269"/>
      <c r="U543" s="128"/>
      <c r="V543" s="128"/>
      <c r="W543" s="128"/>
      <c r="X543" s="128"/>
      <c r="Y543" s="128"/>
      <c r="Z543" s="270"/>
      <c r="AA543" s="128"/>
      <c r="AB543" s="267"/>
      <c r="AC543" s="267"/>
      <c r="AD543" s="139"/>
      <c r="AE543" s="139"/>
      <c r="AF543" s="267"/>
    </row>
    <row r="544">
      <c r="A544" s="258"/>
      <c r="B544" s="258"/>
      <c r="C544" s="259"/>
      <c r="D544" s="126"/>
      <c r="E544" s="113"/>
      <c r="F544" s="112"/>
      <c r="G544" s="113"/>
      <c r="H544" s="136"/>
      <c r="I544" s="113"/>
      <c r="J544" s="113"/>
      <c r="K544" s="113"/>
      <c r="L544" s="113"/>
      <c r="M544" s="271"/>
      <c r="N544" s="113"/>
      <c r="O544" s="258"/>
      <c r="P544" s="113"/>
      <c r="Q544" s="113"/>
      <c r="R544" s="113"/>
      <c r="S544" s="118"/>
      <c r="T544" s="271"/>
      <c r="U544" s="113"/>
      <c r="V544" s="113"/>
      <c r="W544" s="113"/>
      <c r="X544" s="113"/>
      <c r="Y544" s="113"/>
      <c r="Z544" s="272"/>
      <c r="AA544" s="113"/>
      <c r="AB544" s="258"/>
      <c r="AC544" s="258"/>
      <c r="AD544" s="127"/>
      <c r="AE544" s="127"/>
      <c r="AF544" s="258"/>
    </row>
    <row r="545">
      <c r="A545" s="267"/>
      <c r="B545" s="267"/>
      <c r="C545" s="268"/>
      <c r="D545" s="121"/>
      <c r="E545" s="128"/>
      <c r="F545" s="175"/>
      <c r="G545" s="128"/>
      <c r="H545" s="123"/>
      <c r="I545" s="128"/>
      <c r="J545" s="128"/>
      <c r="K545" s="128"/>
      <c r="L545" s="128"/>
      <c r="M545" s="269"/>
      <c r="N545" s="128"/>
      <c r="O545" s="267"/>
      <c r="P545" s="128"/>
      <c r="Q545" s="128"/>
      <c r="R545" s="128"/>
      <c r="S545" s="132"/>
      <c r="T545" s="269"/>
      <c r="U545" s="128"/>
      <c r="V545" s="128"/>
      <c r="W545" s="128"/>
      <c r="X545" s="128"/>
      <c r="Y545" s="128"/>
      <c r="Z545" s="270"/>
      <c r="AA545" s="128"/>
      <c r="AB545" s="267"/>
      <c r="AC545" s="267"/>
      <c r="AD545" s="139"/>
      <c r="AE545" s="139"/>
      <c r="AF545" s="267"/>
    </row>
    <row r="546">
      <c r="A546" s="258"/>
      <c r="B546" s="258"/>
      <c r="C546" s="259"/>
      <c r="D546" s="126"/>
      <c r="E546" s="113"/>
      <c r="F546" s="112"/>
      <c r="G546" s="113"/>
      <c r="H546" s="136"/>
      <c r="I546" s="113"/>
      <c r="J546" s="113"/>
      <c r="K546" s="113"/>
      <c r="L546" s="113"/>
      <c r="M546" s="271"/>
      <c r="N546" s="113"/>
      <c r="O546" s="258"/>
      <c r="P546" s="113"/>
      <c r="Q546" s="113"/>
      <c r="R546" s="113"/>
      <c r="S546" s="118"/>
      <c r="T546" s="271"/>
      <c r="U546" s="113"/>
      <c r="V546" s="113"/>
      <c r="W546" s="113"/>
      <c r="X546" s="113"/>
      <c r="Y546" s="113"/>
      <c r="Z546" s="272"/>
      <c r="AA546" s="113"/>
      <c r="AB546" s="258"/>
      <c r="AC546" s="258"/>
      <c r="AD546" s="127"/>
      <c r="AE546" s="127"/>
      <c r="AF546" s="258"/>
    </row>
    <row r="547">
      <c r="A547" s="267"/>
      <c r="B547" s="267"/>
      <c r="C547" s="268"/>
      <c r="D547" s="121"/>
      <c r="E547" s="128"/>
      <c r="F547" s="175"/>
      <c r="G547" s="128"/>
      <c r="H547" s="123"/>
      <c r="I547" s="128"/>
      <c r="J547" s="128"/>
      <c r="K547" s="128"/>
      <c r="L547" s="128"/>
      <c r="M547" s="269"/>
      <c r="N547" s="128"/>
      <c r="O547" s="267"/>
      <c r="P547" s="128"/>
      <c r="Q547" s="128"/>
      <c r="R547" s="128"/>
      <c r="S547" s="132"/>
      <c r="T547" s="269"/>
      <c r="U547" s="128"/>
      <c r="V547" s="128"/>
      <c r="W547" s="128"/>
      <c r="X547" s="128"/>
      <c r="Y547" s="128"/>
      <c r="Z547" s="270"/>
      <c r="AA547" s="128"/>
      <c r="AB547" s="267"/>
      <c r="AC547" s="267"/>
      <c r="AD547" s="139"/>
      <c r="AE547" s="139"/>
      <c r="AF547" s="267"/>
    </row>
    <row r="548">
      <c r="A548" s="258"/>
      <c r="B548" s="258"/>
      <c r="C548" s="259"/>
      <c r="D548" s="126"/>
      <c r="E548" s="113"/>
      <c r="F548" s="112"/>
      <c r="G548" s="113"/>
      <c r="H548" s="136"/>
      <c r="I548" s="113"/>
      <c r="J548" s="113"/>
      <c r="K548" s="113"/>
      <c r="L548" s="113"/>
      <c r="M548" s="271"/>
      <c r="N548" s="113"/>
      <c r="O548" s="258"/>
      <c r="P548" s="113"/>
      <c r="Q548" s="113"/>
      <c r="R548" s="113"/>
      <c r="S548" s="118"/>
      <c r="T548" s="271"/>
      <c r="U548" s="113"/>
      <c r="V548" s="113"/>
      <c r="W548" s="113"/>
      <c r="X548" s="113"/>
      <c r="Y548" s="113"/>
      <c r="Z548" s="272"/>
      <c r="AA548" s="113"/>
      <c r="AB548" s="258"/>
      <c r="AC548" s="258"/>
      <c r="AD548" s="127"/>
      <c r="AE548" s="127"/>
      <c r="AF548" s="258"/>
    </row>
    <row r="549">
      <c r="A549" s="267"/>
      <c r="B549" s="267"/>
      <c r="C549" s="268"/>
      <c r="D549" s="121"/>
      <c r="E549" s="128"/>
      <c r="F549" s="175"/>
      <c r="G549" s="128"/>
      <c r="H549" s="123"/>
      <c r="I549" s="128"/>
      <c r="J549" s="128"/>
      <c r="K549" s="128"/>
      <c r="L549" s="128"/>
      <c r="M549" s="269"/>
      <c r="N549" s="128"/>
      <c r="O549" s="267"/>
      <c r="P549" s="128"/>
      <c r="Q549" s="128"/>
      <c r="R549" s="128"/>
      <c r="S549" s="132"/>
      <c r="T549" s="269"/>
      <c r="U549" s="128"/>
      <c r="V549" s="128"/>
      <c r="W549" s="128"/>
      <c r="X549" s="128"/>
      <c r="Y549" s="128"/>
      <c r="Z549" s="270"/>
      <c r="AA549" s="128"/>
      <c r="AB549" s="267"/>
      <c r="AC549" s="267"/>
      <c r="AD549" s="139"/>
      <c r="AE549" s="139"/>
      <c r="AF549" s="267"/>
    </row>
    <row r="550">
      <c r="A550" s="258"/>
      <c r="B550" s="258"/>
      <c r="C550" s="259"/>
      <c r="D550" s="126"/>
      <c r="E550" s="113"/>
      <c r="F550" s="112"/>
      <c r="G550" s="113"/>
      <c r="H550" s="136"/>
      <c r="I550" s="113"/>
      <c r="J550" s="113"/>
      <c r="K550" s="113"/>
      <c r="L550" s="113"/>
      <c r="M550" s="271"/>
      <c r="N550" s="113"/>
      <c r="O550" s="258"/>
      <c r="P550" s="113"/>
      <c r="Q550" s="113"/>
      <c r="R550" s="113"/>
      <c r="S550" s="118"/>
      <c r="T550" s="271"/>
      <c r="U550" s="113"/>
      <c r="V550" s="113"/>
      <c r="W550" s="113"/>
      <c r="X550" s="113"/>
      <c r="Y550" s="113"/>
      <c r="Z550" s="272"/>
      <c r="AA550" s="113"/>
      <c r="AB550" s="258"/>
      <c r="AC550" s="258"/>
      <c r="AD550" s="127"/>
      <c r="AE550" s="127"/>
      <c r="AF550" s="258"/>
    </row>
    <row r="551">
      <c r="A551" s="267"/>
      <c r="B551" s="267"/>
      <c r="C551" s="268"/>
      <c r="D551" s="121"/>
      <c r="E551" s="128"/>
      <c r="F551" s="175"/>
      <c r="G551" s="128"/>
      <c r="H551" s="123"/>
      <c r="I551" s="128"/>
      <c r="J551" s="128"/>
      <c r="K551" s="128"/>
      <c r="L551" s="128"/>
      <c r="M551" s="269"/>
      <c r="N551" s="128"/>
      <c r="O551" s="267"/>
      <c r="P551" s="128"/>
      <c r="Q551" s="128"/>
      <c r="R551" s="128"/>
      <c r="S551" s="132"/>
      <c r="T551" s="269"/>
      <c r="U551" s="128"/>
      <c r="V551" s="128"/>
      <c r="W551" s="128"/>
      <c r="X551" s="128"/>
      <c r="Y551" s="128"/>
      <c r="Z551" s="270"/>
      <c r="AA551" s="128"/>
      <c r="AB551" s="267"/>
      <c r="AC551" s="267"/>
      <c r="AD551" s="139"/>
      <c r="AE551" s="139"/>
      <c r="AF551" s="267"/>
    </row>
    <row r="552">
      <c r="A552" s="258"/>
      <c r="B552" s="258"/>
      <c r="C552" s="259"/>
      <c r="D552" s="126"/>
      <c r="E552" s="113"/>
      <c r="F552" s="112"/>
      <c r="G552" s="113"/>
      <c r="H552" s="136"/>
      <c r="I552" s="113"/>
      <c r="J552" s="113"/>
      <c r="K552" s="113"/>
      <c r="L552" s="113"/>
      <c r="M552" s="271"/>
      <c r="N552" s="113"/>
      <c r="O552" s="258"/>
      <c r="P552" s="113"/>
      <c r="Q552" s="113"/>
      <c r="R552" s="113"/>
      <c r="S552" s="118"/>
      <c r="T552" s="271"/>
      <c r="U552" s="113"/>
      <c r="V552" s="113"/>
      <c r="W552" s="113"/>
      <c r="X552" s="113"/>
      <c r="Y552" s="113"/>
      <c r="Z552" s="272"/>
      <c r="AA552" s="113"/>
      <c r="AB552" s="258"/>
      <c r="AC552" s="258"/>
      <c r="AD552" s="127"/>
      <c r="AE552" s="127"/>
      <c r="AF552" s="258"/>
    </row>
    <row r="553">
      <c r="A553" s="267"/>
      <c r="B553" s="267"/>
      <c r="C553" s="268"/>
      <c r="D553" s="121"/>
      <c r="E553" s="128"/>
      <c r="F553" s="175"/>
      <c r="G553" s="128"/>
      <c r="H553" s="123"/>
      <c r="I553" s="128"/>
      <c r="J553" s="128"/>
      <c r="K553" s="128"/>
      <c r="L553" s="128"/>
      <c r="M553" s="269"/>
      <c r="N553" s="128"/>
      <c r="O553" s="267"/>
      <c r="P553" s="128"/>
      <c r="Q553" s="128"/>
      <c r="R553" s="128"/>
      <c r="S553" s="132"/>
      <c r="T553" s="269"/>
      <c r="U553" s="128"/>
      <c r="V553" s="128"/>
      <c r="W553" s="128"/>
      <c r="X553" s="128"/>
      <c r="Y553" s="128"/>
      <c r="Z553" s="270"/>
      <c r="AA553" s="128"/>
      <c r="AB553" s="267"/>
      <c r="AC553" s="267"/>
      <c r="AD553" s="139"/>
      <c r="AE553" s="139"/>
      <c r="AF553" s="267"/>
    </row>
    <row r="554">
      <c r="A554" s="258"/>
      <c r="B554" s="258"/>
      <c r="C554" s="259"/>
      <c r="D554" s="126"/>
      <c r="E554" s="113"/>
      <c r="F554" s="112"/>
      <c r="G554" s="113"/>
      <c r="H554" s="136"/>
      <c r="I554" s="113"/>
      <c r="J554" s="113"/>
      <c r="K554" s="113"/>
      <c r="L554" s="113"/>
      <c r="M554" s="271"/>
      <c r="N554" s="113"/>
      <c r="O554" s="258"/>
      <c r="P554" s="113"/>
      <c r="Q554" s="113"/>
      <c r="R554" s="113"/>
      <c r="S554" s="118"/>
      <c r="T554" s="271"/>
      <c r="U554" s="113"/>
      <c r="V554" s="113"/>
      <c r="W554" s="113"/>
      <c r="X554" s="113"/>
      <c r="Y554" s="113"/>
      <c r="Z554" s="272"/>
      <c r="AA554" s="113"/>
      <c r="AB554" s="258"/>
      <c r="AC554" s="258"/>
      <c r="AD554" s="127"/>
      <c r="AE554" s="127"/>
      <c r="AF554" s="258"/>
    </row>
    <row r="555">
      <c r="A555" s="267"/>
      <c r="B555" s="267"/>
      <c r="C555" s="268"/>
      <c r="D555" s="121"/>
      <c r="E555" s="128"/>
      <c r="F555" s="175"/>
      <c r="G555" s="128"/>
      <c r="H555" s="123"/>
      <c r="I555" s="128"/>
      <c r="J555" s="128"/>
      <c r="K555" s="128"/>
      <c r="L555" s="128"/>
      <c r="M555" s="269"/>
      <c r="N555" s="128"/>
      <c r="O555" s="267"/>
      <c r="P555" s="128"/>
      <c r="Q555" s="128"/>
      <c r="R555" s="128"/>
      <c r="S555" s="132"/>
      <c r="T555" s="269"/>
      <c r="U555" s="128"/>
      <c r="V555" s="128"/>
      <c r="W555" s="128"/>
      <c r="X555" s="128"/>
      <c r="Y555" s="128"/>
      <c r="Z555" s="270"/>
      <c r="AA555" s="128"/>
      <c r="AB555" s="267"/>
      <c r="AC555" s="267"/>
      <c r="AD555" s="139"/>
      <c r="AE555" s="139"/>
      <c r="AF555" s="267"/>
    </row>
    <row r="556">
      <c r="A556" s="258"/>
      <c r="B556" s="258"/>
      <c r="C556" s="259"/>
      <c r="D556" s="126"/>
      <c r="E556" s="113"/>
      <c r="F556" s="112"/>
      <c r="G556" s="113"/>
      <c r="H556" s="136"/>
      <c r="I556" s="113"/>
      <c r="J556" s="113"/>
      <c r="K556" s="113"/>
      <c r="L556" s="113"/>
      <c r="M556" s="271"/>
      <c r="N556" s="113"/>
      <c r="O556" s="258"/>
      <c r="P556" s="113"/>
      <c r="Q556" s="113"/>
      <c r="R556" s="113"/>
      <c r="S556" s="118"/>
      <c r="T556" s="271"/>
      <c r="U556" s="113"/>
      <c r="V556" s="113"/>
      <c r="W556" s="113"/>
      <c r="X556" s="113"/>
      <c r="Y556" s="113"/>
      <c r="Z556" s="272"/>
      <c r="AA556" s="113"/>
      <c r="AB556" s="258"/>
      <c r="AC556" s="258"/>
      <c r="AD556" s="127"/>
      <c r="AE556" s="127"/>
      <c r="AF556" s="258"/>
    </row>
    <row r="557">
      <c r="A557" s="267"/>
      <c r="B557" s="267"/>
      <c r="C557" s="268"/>
      <c r="D557" s="121"/>
      <c r="E557" s="128"/>
      <c r="F557" s="175"/>
      <c r="G557" s="128"/>
      <c r="H557" s="123"/>
      <c r="I557" s="128"/>
      <c r="J557" s="128"/>
      <c r="K557" s="128"/>
      <c r="L557" s="128"/>
      <c r="M557" s="269"/>
      <c r="N557" s="128"/>
      <c r="O557" s="267"/>
      <c r="P557" s="128"/>
      <c r="Q557" s="128"/>
      <c r="R557" s="128"/>
      <c r="S557" s="132"/>
      <c r="T557" s="269"/>
      <c r="U557" s="128"/>
      <c r="V557" s="128"/>
      <c r="W557" s="128"/>
      <c r="X557" s="128"/>
      <c r="Y557" s="128"/>
      <c r="Z557" s="270"/>
      <c r="AA557" s="128"/>
      <c r="AB557" s="267"/>
      <c r="AC557" s="267"/>
      <c r="AD557" s="139"/>
      <c r="AE557" s="139"/>
      <c r="AF557" s="267"/>
    </row>
    <row r="558">
      <c r="A558" s="258"/>
      <c r="B558" s="258"/>
      <c r="C558" s="259"/>
      <c r="D558" s="126"/>
      <c r="E558" s="113"/>
      <c r="F558" s="112"/>
      <c r="G558" s="113"/>
      <c r="H558" s="136"/>
      <c r="I558" s="113"/>
      <c r="J558" s="113"/>
      <c r="K558" s="113"/>
      <c r="L558" s="113"/>
      <c r="M558" s="271"/>
      <c r="N558" s="113"/>
      <c r="O558" s="258"/>
      <c r="P558" s="113"/>
      <c r="Q558" s="113"/>
      <c r="R558" s="113"/>
      <c r="S558" s="118"/>
      <c r="T558" s="271"/>
      <c r="U558" s="113"/>
      <c r="V558" s="113"/>
      <c r="W558" s="113"/>
      <c r="X558" s="113"/>
      <c r="Y558" s="113"/>
      <c r="Z558" s="272"/>
      <c r="AA558" s="113"/>
      <c r="AB558" s="258"/>
      <c r="AC558" s="258"/>
      <c r="AD558" s="127"/>
      <c r="AE558" s="127"/>
      <c r="AF558" s="258"/>
    </row>
    <row r="559">
      <c r="A559" s="267"/>
      <c r="B559" s="267"/>
      <c r="C559" s="268"/>
      <c r="D559" s="121"/>
      <c r="E559" s="128"/>
      <c r="F559" s="175"/>
      <c r="G559" s="128"/>
      <c r="H559" s="123"/>
      <c r="I559" s="128"/>
      <c r="J559" s="128"/>
      <c r="K559" s="128"/>
      <c r="L559" s="128"/>
      <c r="M559" s="269"/>
      <c r="N559" s="128"/>
      <c r="O559" s="267"/>
      <c r="P559" s="128"/>
      <c r="Q559" s="128"/>
      <c r="R559" s="128"/>
      <c r="S559" s="132"/>
      <c r="T559" s="269"/>
      <c r="U559" s="128"/>
      <c r="V559" s="128"/>
      <c r="W559" s="128"/>
      <c r="X559" s="128"/>
      <c r="Y559" s="128"/>
      <c r="Z559" s="270"/>
      <c r="AA559" s="128"/>
      <c r="AB559" s="267"/>
      <c r="AC559" s="267"/>
      <c r="AD559" s="139"/>
      <c r="AE559" s="139"/>
      <c r="AF559" s="267"/>
    </row>
    <row r="560">
      <c r="A560" s="258"/>
      <c r="B560" s="258"/>
      <c r="C560" s="259"/>
      <c r="D560" s="126"/>
      <c r="E560" s="113"/>
      <c r="F560" s="112"/>
      <c r="G560" s="113"/>
      <c r="H560" s="136"/>
      <c r="I560" s="113"/>
      <c r="J560" s="113"/>
      <c r="K560" s="113"/>
      <c r="L560" s="113"/>
      <c r="M560" s="271"/>
      <c r="N560" s="113"/>
      <c r="O560" s="258"/>
      <c r="P560" s="113"/>
      <c r="Q560" s="113"/>
      <c r="R560" s="113"/>
      <c r="S560" s="118"/>
      <c r="T560" s="271"/>
      <c r="U560" s="113"/>
      <c r="V560" s="113"/>
      <c r="W560" s="113"/>
      <c r="X560" s="113"/>
      <c r="Y560" s="113"/>
      <c r="Z560" s="272"/>
      <c r="AA560" s="113"/>
      <c r="AB560" s="258"/>
      <c r="AC560" s="258"/>
      <c r="AD560" s="127"/>
      <c r="AE560" s="127"/>
      <c r="AF560" s="258"/>
    </row>
    <row r="561">
      <c r="A561" s="267"/>
      <c r="B561" s="267"/>
      <c r="C561" s="268"/>
      <c r="D561" s="121"/>
      <c r="E561" s="128"/>
      <c r="F561" s="175"/>
      <c r="G561" s="128"/>
      <c r="H561" s="123"/>
      <c r="I561" s="128"/>
      <c r="J561" s="128"/>
      <c r="K561" s="128"/>
      <c r="L561" s="128"/>
      <c r="M561" s="269"/>
      <c r="N561" s="128"/>
      <c r="O561" s="267"/>
      <c r="P561" s="128"/>
      <c r="Q561" s="128"/>
      <c r="R561" s="128"/>
      <c r="S561" s="132"/>
      <c r="T561" s="269"/>
      <c r="U561" s="128"/>
      <c r="V561" s="128"/>
      <c r="W561" s="128"/>
      <c r="X561" s="128"/>
      <c r="Y561" s="128"/>
      <c r="Z561" s="270"/>
      <c r="AA561" s="128"/>
      <c r="AB561" s="267"/>
      <c r="AC561" s="267"/>
      <c r="AD561" s="139"/>
      <c r="AE561" s="139"/>
      <c r="AF561" s="267"/>
    </row>
    <row r="562">
      <c r="A562" s="258"/>
      <c r="B562" s="258"/>
      <c r="C562" s="259"/>
      <c r="D562" s="126"/>
      <c r="E562" s="113"/>
      <c r="F562" s="112"/>
      <c r="G562" s="113"/>
      <c r="H562" s="136"/>
      <c r="I562" s="113"/>
      <c r="J562" s="113"/>
      <c r="K562" s="113"/>
      <c r="L562" s="113"/>
      <c r="M562" s="271"/>
      <c r="N562" s="113"/>
      <c r="O562" s="258"/>
      <c r="P562" s="113"/>
      <c r="Q562" s="113"/>
      <c r="R562" s="113"/>
      <c r="S562" s="118"/>
      <c r="T562" s="271"/>
      <c r="U562" s="113"/>
      <c r="V562" s="113"/>
      <c r="W562" s="113"/>
      <c r="X562" s="113"/>
      <c r="Y562" s="113"/>
      <c r="Z562" s="272"/>
      <c r="AA562" s="113"/>
      <c r="AB562" s="258"/>
      <c r="AC562" s="258"/>
      <c r="AD562" s="127"/>
      <c r="AE562" s="127"/>
      <c r="AF562" s="258"/>
    </row>
    <row r="563">
      <c r="A563" s="267"/>
      <c r="B563" s="267"/>
      <c r="C563" s="268"/>
      <c r="D563" s="121"/>
      <c r="E563" s="128"/>
      <c r="F563" s="175"/>
      <c r="G563" s="128"/>
      <c r="H563" s="123"/>
      <c r="I563" s="128"/>
      <c r="J563" s="128"/>
      <c r="K563" s="128"/>
      <c r="L563" s="128"/>
      <c r="M563" s="269"/>
      <c r="N563" s="128"/>
      <c r="O563" s="267"/>
      <c r="P563" s="128"/>
      <c r="Q563" s="128"/>
      <c r="R563" s="128"/>
      <c r="S563" s="132"/>
      <c r="T563" s="269"/>
      <c r="U563" s="128"/>
      <c r="V563" s="128"/>
      <c r="W563" s="128"/>
      <c r="X563" s="128"/>
      <c r="Y563" s="128"/>
      <c r="Z563" s="270"/>
      <c r="AA563" s="128"/>
      <c r="AB563" s="267"/>
      <c r="AC563" s="267"/>
      <c r="AD563" s="139"/>
      <c r="AE563" s="139"/>
      <c r="AF563" s="267"/>
    </row>
    <row r="564">
      <c r="A564" s="258"/>
      <c r="B564" s="258"/>
      <c r="C564" s="259"/>
      <c r="D564" s="126"/>
      <c r="E564" s="113"/>
      <c r="F564" s="112"/>
      <c r="G564" s="113"/>
      <c r="H564" s="136"/>
      <c r="I564" s="113"/>
      <c r="J564" s="113"/>
      <c r="K564" s="113"/>
      <c r="L564" s="113"/>
      <c r="M564" s="271"/>
      <c r="N564" s="113"/>
      <c r="O564" s="258"/>
      <c r="P564" s="113"/>
      <c r="Q564" s="113"/>
      <c r="R564" s="113"/>
      <c r="S564" s="118"/>
      <c r="T564" s="271"/>
      <c r="U564" s="113"/>
      <c r="V564" s="113"/>
      <c r="W564" s="113"/>
      <c r="X564" s="113"/>
      <c r="Y564" s="113"/>
      <c r="Z564" s="272"/>
      <c r="AA564" s="113"/>
      <c r="AB564" s="258"/>
      <c r="AC564" s="258"/>
      <c r="AD564" s="127"/>
      <c r="AE564" s="127"/>
      <c r="AF564" s="258"/>
    </row>
    <row r="565">
      <c r="A565" s="267"/>
      <c r="B565" s="267"/>
      <c r="C565" s="268"/>
      <c r="D565" s="121"/>
      <c r="E565" s="128"/>
      <c r="F565" s="175"/>
      <c r="G565" s="128"/>
      <c r="H565" s="123"/>
      <c r="I565" s="128"/>
      <c r="J565" s="128"/>
      <c r="K565" s="128"/>
      <c r="L565" s="128"/>
      <c r="M565" s="269"/>
      <c r="N565" s="128"/>
      <c r="O565" s="267"/>
      <c r="P565" s="128"/>
      <c r="Q565" s="128"/>
      <c r="R565" s="128"/>
      <c r="S565" s="132"/>
      <c r="T565" s="269"/>
      <c r="U565" s="128"/>
      <c r="V565" s="128"/>
      <c r="W565" s="128"/>
      <c r="X565" s="128"/>
      <c r="Y565" s="128"/>
      <c r="Z565" s="270"/>
      <c r="AA565" s="128"/>
      <c r="AB565" s="267"/>
      <c r="AC565" s="267"/>
      <c r="AD565" s="139"/>
      <c r="AE565" s="139"/>
      <c r="AF565" s="267"/>
    </row>
    <row r="566">
      <c r="A566" s="258"/>
      <c r="B566" s="258"/>
      <c r="C566" s="259"/>
      <c r="D566" s="126"/>
      <c r="E566" s="113"/>
      <c r="F566" s="112"/>
      <c r="G566" s="113"/>
      <c r="H566" s="136"/>
      <c r="I566" s="113"/>
      <c r="J566" s="113"/>
      <c r="K566" s="113"/>
      <c r="L566" s="113"/>
      <c r="M566" s="271"/>
      <c r="N566" s="113"/>
      <c r="O566" s="258"/>
      <c r="P566" s="113"/>
      <c r="Q566" s="113"/>
      <c r="R566" s="113"/>
      <c r="S566" s="118"/>
      <c r="T566" s="271"/>
      <c r="U566" s="113"/>
      <c r="V566" s="113"/>
      <c r="W566" s="113"/>
      <c r="X566" s="113"/>
      <c r="Y566" s="113"/>
      <c r="Z566" s="272"/>
      <c r="AA566" s="113"/>
      <c r="AB566" s="258"/>
      <c r="AC566" s="258"/>
      <c r="AD566" s="127"/>
      <c r="AE566" s="127"/>
      <c r="AF566" s="258"/>
    </row>
    <row r="567">
      <c r="A567" s="267"/>
      <c r="B567" s="267"/>
      <c r="C567" s="268"/>
      <c r="D567" s="121"/>
      <c r="E567" s="128"/>
      <c r="F567" s="175"/>
      <c r="G567" s="128"/>
      <c r="H567" s="123"/>
      <c r="I567" s="128"/>
      <c r="J567" s="128"/>
      <c r="K567" s="128"/>
      <c r="L567" s="128"/>
      <c r="M567" s="269"/>
      <c r="N567" s="128"/>
      <c r="O567" s="267"/>
      <c r="P567" s="128"/>
      <c r="Q567" s="128"/>
      <c r="R567" s="128"/>
      <c r="S567" s="132"/>
      <c r="T567" s="269"/>
      <c r="U567" s="128"/>
      <c r="V567" s="128"/>
      <c r="W567" s="128"/>
      <c r="X567" s="128"/>
      <c r="Y567" s="128"/>
      <c r="Z567" s="270"/>
      <c r="AA567" s="128"/>
      <c r="AB567" s="267"/>
      <c r="AC567" s="267"/>
      <c r="AD567" s="139"/>
      <c r="AE567" s="139"/>
      <c r="AF567" s="267"/>
    </row>
    <row r="568">
      <c r="A568" s="258"/>
      <c r="B568" s="258"/>
      <c r="C568" s="259"/>
      <c r="D568" s="126"/>
      <c r="E568" s="113"/>
      <c r="F568" s="112"/>
      <c r="G568" s="113"/>
      <c r="H568" s="136"/>
      <c r="I568" s="113"/>
      <c r="J568" s="113"/>
      <c r="K568" s="113"/>
      <c r="L568" s="113"/>
      <c r="M568" s="271"/>
      <c r="N568" s="113"/>
      <c r="O568" s="258"/>
      <c r="P568" s="113"/>
      <c r="Q568" s="113"/>
      <c r="R568" s="113"/>
      <c r="S568" s="118"/>
      <c r="T568" s="271"/>
      <c r="U568" s="113"/>
      <c r="V568" s="113"/>
      <c r="W568" s="113"/>
      <c r="X568" s="113"/>
      <c r="Y568" s="113"/>
      <c r="Z568" s="272"/>
      <c r="AA568" s="113"/>
      <c r="AB568" s="258"/>
      <c r="AC568" s="258"/>
      <c r="AD568" s="127"/>
      <c r="AE568" s="127"/>
      <c r="AF568" s="258"/>
    </row>
    <row r="569">
      <c r="A569" s="267"/>
      <c r="B569" s="267"/>
      <c r="C569" s="268"/>
      <c r="D569" s="121"/>
      <c r="E569" s="128"/>
      <c r="F569" s="175"/>
      <c r="G569" s="128"/>
      <c r="H569" s="123"/>
      <c r="I569" s="128"/>
      <c r="J569" s="128"/>
      <c r="K569" s="128"/>
      <c r="L569" s="128"/>
      <c r="M569" s="269"/>
      <c r="N569" s="128"/>
      <c r="O569" s="267"/>
      <c r="P569" s="128"/>
      <c r="Q569" s="128"/>
      <c r="R569" s="128"/>
      <c r="S569" s="132"/>
      <c r="T569" s="269"/>
      <c r="U569" s="128"/>
      <c r="V569" s="128"/>
      <c r="W569" s="128"/>
      <c r="X569" s="128"/>
      <c r="Y569" s="128"/>
      <c r="Z569" s="270"/>
      <c r="AA569" s="128"/>
      <c r="AB569" s="267"/>
      <c r="AC569" s="267"/>
      <c r="AD569" s="139"/>
      <c r="AE569" s="139"/>
      <c r="AF569" s="267"/>
    </row>
    <row r="570">
      <c r="A570" s="258"/>
      <c r="B570" s="258"/>
      <c r="C570" s="259"/>
      <c r="D570" s="126"/>
      <c r="E570" s="113"/>
      <c r="F570" s="112"/>
      <c r="G570" s="113"/>
      <c r="H570" s="136"/>
      <c r="I570" s="113"/>
      <c r="J570" s="113"/>
      <c r="K570" s="113"/>
      <c r="L570" s="113"/>
      <c r="M570" s="271"/>
      <c r="N570" s="113"/>
      <c r="O570" s="258"/>
      <c r="P570" s="113"/>
      <c r="Q570" s="113"/>
      <c r="R570" s="113"/>
      <c r="S570" s="118"/>
      <c r="T570" s="271"/>
      <c r="U570" s="113"/>
      <c r="V570" s="113"/>
      <c r="W570" s="113"/>
      <c r="X570" s="113"/>
      <c r="Y570" s="113"/>
      <c r="Z570" s="272"/>
      <c r="AA570" s="113"/>
      <c r="AB570" s="258"/>
      <c r="AC570" s="258"/>
      <c r="AD570" s="127"/>
      <c r="AE570" s="127"/>
      <c r="AF570" s="258"/>
    </row>
    <row r="571">
      <c r="A571" s="267"/>
      <c r="B571" s="267"/>
      <c r="C571" s="268"/>
      <c r="D571" s="121"/>
      <c r="E571" s="128"/>
      <c r="F571" s="175"/>
      <c r="G571" s="128"/>
      <c r="H571" s="123"/>
      <c r="I571" s="128"/>
      <c r="J571" s="128"/>
      <c r="K571" s="128"/>
      <c r="L571" s="128"/>
      <c r="M571" s="269"/>
      <c r="N571" s="128"/>
      <c r="O571" s="267"/>
      <c r="P571" s="128"/>
      <c r="Q571" s="128"/>
      <c r="R571" s="128"/>
      <c r="S571" s="132"/>
      <c r="T571" s="269"/>
      <c r="U571" s="128"/>
      <c r="V571" s="128"/>
      <c r="W571" s="128"/>
      <c r="X571" s="128"/>
      <c r="Y571" s="128"/>
      <c r="Z571" s="270"/>
      <c r="AA571" s="128"/>
      <c r="AB571" s="267"/>
      <c r="AC571" s="267"/>
      <c r="AD571" s="139"/>
      <c r="AE571" s="139"/>
      <c r="AF571" s="267"/>
    </row>
    <row r="572">
      <c r="A572" s="258"/>
      <c r="B572" s="258"/>
      <c r="C572" s="259"/>
      <c r="D572" s="126"/>
      <c r="E572" s="113"/>
      <c r="F572" s="112"/>
      <c r="G572" s="113"/>
      <c r="H572" s="136"/>
      <c r="I572" s="113"/>
      <c r="J572" s="113"/>
      <c r="K572" s="113"/>
      <c r="L572" s="113"/>
      <c r="M572" s="271"/>
      <c r="N572" s="113"/>
      <c r="O572" s="258"/>
      <c r="P572" s="113"/>
      <c r="Q572" s="113"/>
      <c r="R572" s="113"/>
      <c r="S572" s="118"/>
      <c r="T572" s="271"/>
      <c r="U572" s="113"/>
      <c r="V572" s="113"/>
      <c r="W572" s="113"/>
      <c r="X572" s="113"/>
      <c r="Y572" s="113"/>
      <c r="Z572" s="272"/>
      <c r="AA572" s="113"/>
      <c r="AB572" s="258"/>
      <c r="AC572" s="258"/>
      <c r="AD572" s="127"/>
      <c r="AE572" s="127"/>
      <c r="AF572" s="258"/>
    </row>
    <row r="573">
      <c r="A573" s="267"/>
      <c r="B573" s="267"/>
      <c r="C573" s="268"/>
      <c r="D573" s="121"/>
      <c r="E573" s="128"/>
      <c r="F573" s="175"/>
      <c r="G573" s="128"/>
      <c r="H573" s="123"/>
      <c r="I573" s="128"/>
      <c r="J573" s="128"/>
      <c r="K573" s="128"/>
      <c r="L573" s="128"/>
      <c r="M573" s="269"/>
      <c r="N573" s="128"/>
      <c r="O573" s="267"/>
      <c r="P573" s="128"/>
      <c r="Q573" s="128"/>
      <c r="R573" s="128"/>
      <c r="S573" s="132"/>
      <c r="T573" s="269"/>
      <c r="U573" s="128"/>
      <c r="V573" s="128"/>
      <c r="W573" s="128"/>
      <c r="X573" s="128"/>
      <c r="Y573" s="128"/>
      <c r="Z573" s="270"/>
      <c r="AA573" s="128"/>
      <c r="AB573" s="267"/>
      <c r="AC573" s="267"/>
      <c r="AD573" s="139"/>
      <c r="AE573" s="139"/>
      <c r="AF573" s="267"/>
    </row>
    <row r="574">
      <c r="A574" s="258"/>
      <c r="B574" s="258"/>
      <c r="C574" s="259"/>
      <c r="D574" s="126"/>
      <c r="E574" s="113"/>
      <c r="F574" s="112"/>
      <c r="G574" s="113"/>
      <c r="H574" s="136"/>
      <c r="I574" s="113"/>
      <c r="J574" s="113"/>
      <c r="K574" s="113"/>
      <c r="L574" s="113"/>
      <c r="M574" s="271"/>
      <c r="N574" s="113"/>
      <c r="O574" s="258"/>
      <c r="P574" s="113"/>
      <c r="Q574" s="113"/>
      <c r="R574" s="113"/>
      <c r="S574" s="118"/>
      <c r="T574" s="271"/>
      <c r="U574" s="113"/>
      <c r="V574" s="113"/>
      <c r="W574" s="113"/>
      <c r="X574" s="113"/>
      <c r="Y574" s="113"/>
      <c r="Z574" s="272"/>
      <c r="AA574" s="113"/>
      <c r="AB574" s="258"/>
      <c r="AC574" s="258"/>
      <c r="AD574" s="127"/>
      <c r="AE574" s="127"/>
      <c r="AF574" s="258"/>
    </row>
    <row r="575">
      <c r="A575" s="267"/>
      <c r="B575" s="267"/>
      <c r="C575" s="268"/>
      <c r="D575" s="121"/>
      <c r="E575" s="128"/>
      <c r="F575" s="175"/>
      <c r="G575" s="128"/>
      <c r="H575" s="123"/>
      <c r="I575" s="128"/>
      <c r="J575" s="128"/>
      <c r="K575" s="128"/>
      <c r="L575" s="128"/>
      <c r="M575" s="269"/>
      <c r="N575" s="128"/>
      <c r="O575" s="267"/>
      <c r="P575" s="128"/>
      <c r="Q575" s="128"/>
      <c r="R575" s="128"/>
      <c r="S575" s="132"/>
      <c r="T575" s="269"/>
      <c r="U575" s="128"/>
      <c r="V575" s="128"/>
      <c r="W575" s="128"/>
      <c r="X575" s="128"/>
      <c r="Y575" s="128"/>
      <c r="Z575" s="270"/>
      <c r="AA575" s="128"/>
      <c r="AB575" s="267"/>
      <c r="AC575" s="267"/>
      <c r="AD575" s="139"/>
      <c r="AE575" s="139"/>
      <c r="AF575" s="267"/>
    </row>
    <row r="576">
      <c r="A576" s="258"/>
      <c r="B576" s="258"/>
      <c r="C576" s="259"/>
      <c r="D576" s="126"/>
      <c r="E576" s="113"/>
      <c r="F576" s="112"/>
      <c r="G576" s="113"/>
      <c r="H576" s="136"/>
      <c r="I576" s="113"/>
      <c r="J576" s="113"/>
      <c r="K576" s="113"/>
      <c r="L576" s="113"/>
      <c r="M576" s="271"/>
      <c r="N576" s="113"/>
      <c r="O576" s="258"/>
      <c r="P576" s="113"/>
      <c r="Q576" s="113"/>
      <c r="R576" s="113"/>
      <c r="S576" s="118"/>
      <c r="T576" s="271"/>
      <c r="U576" s="113"/>
      <c r="V576" s="113"/>
      <c r="W576" s="113"/>
      <c r="X576" s="113"/>
      <c r="Y576" s="113"/>
      <c r="Z576" s="272"/>
      <c r="AA576" s="113"/>
      <c r="AB576" s="258"/>
      <c r="AC576" s="258"/>
      <c r="AD576" s="127"/>
      <c r="AE576" s="127"/>
      <c r="AF576" s="258"/>
    </row>
    <row r="577">
      <c r="A577" s="267"/>
      <c r="B577" s="267"/>
      <c r="C577" s="268"/>
      <c r="D577" s="121"/>
      <c r="E577" s="128"/>
      <c r="F577" s="175"/>
      <c r="G577" s="128"/>
      <c r="H577" s="123"/>
      <c r="I577" s="128"/>
      <c r="J577" s="128"/>
      <c r="K577" s="128"/>
      <c r="L577" s="128"/>
      <c r="M577" s="269"/>
      <c r="N577" s="128"/>
      <c r="O577" s="267"/>
      <c r="P577" s="128"/>
      <c r="Q577" s="128"/>
      <c r="R577" s="128"/>
      <c r="S577" s="132"/>
      <c r="T577" s="269"/>
      <c r="U577" s="128"/>
      <c r="V577" s="128"/>
      <c r="W577" s="128"/>
      <c r="X577" s="128"/>
      <c r="Y577" s="128"/>
      <c r="Z577" s="270"/>
      <c r="AA577" s="128"/>
      <c r="AB577" s="267"/>
      <c r="AC577" s="267"/>
      <c r="AD577" s="139"/>
      <c r="AE577" s="139"/>
      <c r="AF577" s="267"/>
    </row>
    <row r="578">
      <c r="A578" s="258"/>
      <c r="B578" s="258"/>
      <c r="C578" s="259"/>
      <c r="D578" s="126"/>
      <c r="E578" s="113"/>
      <c r="F578" s="112"/>
      <c r="G578" s="113"/>
      <c r="H578" s="136"/>
      <c r="I578" s="113"/>
      <c r="J578" s="113"/>
      <c r="K578" s="113"/>
      <c r="L578" s="113"/>
      <c r="M578" s="271"/>
      <c r="N578" s="113"/>
      <c r="O578" s="258"/>
      <c r="P578" s="113"/>
      <c r="Q578" s="113"/>
      <c r="R578" s="113"/>
      <c r="S578" s="118"/>
      <c r="T578" s="271"/>
      <c r="U578" s="113"/>
      <c r="V578" s="113"/>
      <c r="W578" s="113"/>
      <c r="X578" s="113"/>
      <c r="Y578" s="113"/>
      <c r="Z578" s="272"/>
      <c r="AA578" s="113"/>
      <c r="AB578" s="258"/>
      <c r="AC578" s="258"/>
      <c r="AD578" s="127"/>
      <c r="AE578" s="127"/>
      <c r="AF578" s="258"/>
    </row>
    <row r="579">
      <c r="A579" s="267"/>
      <c r="B579" s="267"/>
      <c r="C579" s="268"/>
      <c r="D579" s="121"/>
      <c r="E579" s="128"/>
      <c r="F579" s="175"/>
      <c r="G579" s="128"/>
      <c r="H579" s="123"/>
      <c r="I579" s="128"/>
      <c r="J579" s="128"/>
      <c r="K579" s="128"/>
      <c r="L579" s="128"/>
      <c r="M579" s="269"/>
      <c r="N579" s="128"/>
      <c r="O579" s="267"/>
      <c r="P579" s="128"/>
      <c r="Q579" s="128"/>
      <c r="R579" s="128"/>
      <c r="S579" s="132"/>
      <c r="T579" s="269"/>
      <c r="U579" s="128"/>
      <c r="V579" s="128"/>
      <c r="W579" s="128"/>
      <c r="X579" s="128"/>
      <c r="Y579" s="128"/>
      <c r="Z579" s="270"/>
      <c r="AA579" s="128"/>
      <c r="AB579" s="267"/>
      <c r="AC579" s="267"/>
      <c r="AD579" s="139"/>
      <c r="AE579" s="139"/>
      <c r="AF579" s="267"/>
    </row>
    <row r="580">
      <c r="A580" s="258"/>
      <c r="B580" s="258"/>
      <c r="C580" s="259"/>
      <c r="D580" s="126"/>
      <c r="E580" s="113"/>
      <c r="F580" s="112"/>
      <c r="G580" s="113"/>
      <c r="H580" s="136"/>
      <c r="I580" s="113"/>
      <c r="J580" s="113"/>
      <c r="K580" s="113"/>
      <c r="L580" s="113"/>
      <c r="M580" s="271"/>
      <c r="N580" s="113"/>
      <c r="O580" s="258"/>
      <c r="P580" s="113"/>
      <c r="Q580" s="113"/>
      <c r="R580" s="113"/>
      <c r="S580" s="118"/>
      <c r="T580" s="271"/>
      <c r="U580" s="113"/>
      <c r="V580" s="113"/>
      <c r="W580" s="113"/>
      <c r="X580" s="113"/>
      <c r="Y580" s="113"/>
      <c r="Z580" s="272"/>
      <c r="AA580" s="113"/>
      <c r="AB580" s="258"/>
      <c r="AC580" s="258"/>
      <c r="AD580" s="127"/>
      <c r="AE580" s="127"/>
      <c r="AF580" s="258"/>
    </row>
    <row r="581">
      <c r="A581" s="267"/>
      <c r="B581" s="267"/>
      <c r="C581" s="268"/>
      <c r="D581" s="121"/>
      <c r="E581" s="128"/>
      <c r="F581" s="175"/>
      <c r="G581" s="128"/>
      <c r="H581" s="123"/>
      <c r="I581" s="128"/>
      <c r="J581" s="128"/>
      <c r="K581" s="128"/>
      <c r="L581" s="128"/>
      <c r="M581" s="269"/>
      <c r="N581" s="128"/>
      <c r="O581" s="267"/>
      <c r="P581" s="128"/>
      <c r="Q581" s="128"/>
      <c r="R581" s="128"/>
      <c r="S581" s="132"/>
      <c r="T581" s="269"/>
      <c r="U581" s="128"/>
      <c r="V581" s="128"/>
      <c r="W581" s="128"/>
      <c r="X581" s="128"/>
      <c r="Y581" s="128"/>
      <c r="Z581" s="270"/>
      <c r="AA581" s="128"/>
      <c r="AB581" s="267"/>
      <c r="AC581" s="267"/>
      <c r="AD581" s="139"/>
      <c r="AE581" s="139"/>
      <c r="AF581" s="267"/>
    </row>
    <row r="582">
      <c r="A582" s="258"/>
      <c r="B582" s="258"/>
      <c r="C582" s="259"/>
      <c r="D582" s="126"/>
      <c r="E582" s="113"/>
      <c r="F582" s="112"/>
      <c r="G582" s="113"/>
      <c r="H582" s="136"/>
      <c r="I582" s="113"/>
      <c r="J582" s="113"/>
      <c r="K582" s="113"/>
      <c r="L582" s="113"/>
      <c r="M582" s="271"/>
      <c r="N582" s="113"/>
      <c r="O582" s="258"/>
      <c r="P582" s="113"/>
      <c r="Q582" s="113"/>
      <c r="R582" s="113"/>
      <c r="S582" s="118"/>
      <c r="T582" s="271"/>
      <c r="U582" s="113"/>
      <c r="V582" s="113"/>
      <c r="W582" s="113"/>
      <c r="X582" s="113"/>
      <c r="Y582" s="113"/>
      <c r="Z582" s="272"/>
      <c r="AA582" s="113"/>
      <c r="AB582" s="258"/>
      <c r="AC582" s="258"/>
      <c r="AD582" s="127"/>
      <c r="AE582" s="127"/>
      <c r="AF582" s="258"/>
    </row>
    <row r="583">
      <c r="A583" s="267"/>
      <c r="B583" s="267"/>
      <c r="C583" s="268"/>
      <c r="D583" s="121"/>
      <c r="E583" s="128"/>
      <c r="F583" s="175"/>
      <c r="G583" s="128"/>
      <c r="H583" s="123"/>
      <c r="I583" s="128"/>
      <c r="J583" s="128"/>
      <c r="K583" s="128"/>
      <c r="L583" s="128"/>
      <c r="M583" s="269"/>
      <c r="N583" s="128"/>
      <c r="O583" s="267"/>
      <c r="P583" s="128"/>
      <c r="Q583" s="128"/>
      <c r="R583" s="128"/>
      <c r="S583" s="132"/>
      <c r="T583" s="269"/>
      <c r="U583" s="128"/>
      <c r="V583" s="128"/>
      <c r="W583" s="128"/>
      <c r="X583" s="128"/>
      <c r="Y583" s="128"/>
      <c r="Z583" s="270"/>
      <c r="AA583" s="128"/>
      <c r="AB583" s="267"/>
      <c r="AC583" s="267"/>
      <c r="AD583" s="139"/>
      <c r="AE583" s="139"/>
      <c r="AF583" s="267"/>
    </row>
    <row r="584">
      <c r="A584" s="258"/>
      <c r="B584" s="258"/>
      <c r="C584" s="259"/>
      <c r="D584" s="126"/>
      <c r="E584" s="113"/>
      <c r="F584" s="112"/>
      <c r="G584" s="113"/>
      <c r="H584" s="136"/>
      <c r="I584" s="113"/>
      <c r="J584" s="113"/>
      <c r="K584" s="113"/>
      <c r="L584" s="113"/>
      <c r="M584" s="271"/>
      <c r="N584" s="113"/>
      <c r="O584" s="258"/>
      <c r="P584" s="113"/>
      <c r="Q584" s="113"/>
      <c r="R584" s="113"/>
      <c r="S584" s="118"/>
      <c r="T584" s="271"/>
      <c r="U584" s="113"/>
      <c r="V584" s="113"/>
      <c r="W584" s="113"/>
      <c r="X584" s="113"/>
      <c r="Y584" s="113"/>
      <c r="Z584" s="272"/>
      <c r="AA584" s="113"/>
      <c r="AB584" s="258"/>
      <c r="AC584" s="258"/>
      <c r="AD584" s="127"/>
      <c r="AE584" s="127"/>
      <c r="AF584" s="258"/>
    </row>
    <row r="585">
      <c r="A585" s="267"/>
      <c r="B585" s="267"/>
      <c r="C585" s="268"/>
      <c r="D585" s="121"/>
      <c r="E585" s="128"/>
      <c r="F585" s="175"/>
      <c r="G585" s="128"/>
      <c r="H585" s="123"/>
      <c r="I585" s="128"/>
      <c r="J585" s="128"/>
      <c r="K585" s="128"/>
      <c r="L585" s="128"/>
      <c r="M585" s="269"/>
      <c r="N585" s="128"/>
      <c r="O585" s="267"/>
      <c r="P585" s="128"/>
      <c r="Q585" s="128"/>
      <c r="R585" s="128"/>
      <c r="S585" s="132"/>
      <c r="T585" s="269"/>
      <c r="U585" s="128"/>
      <c r="V585" s="128"/>
      <c r="W585" s="128"/>
      <c r="X585" s="128"/>
      <c r="Y585" s="128"/>
      <c r="Z585" s="270"/>
      <c r="AA585" s="128"/>
      <c r="AB585" s="267"/>
      <c r="AC585" s="267"/>
      <c r="AD585" s="139"/>
      <c r="AE585" s="139"/>
      <c r="AF585" s="267"/>
    </row>
    <row r="586">
      <c r="A586" s="258"/>
      <c r="B586" s="258"/>
      <c r="C586" s="259"/>
      <c r="D586" s="126"/>
      <c r="E586" s="113"/>
      <c r="F586" s="112"/>
      <c r="G586" s="113"/>
      <c r="H586" s="136"/>
      <c r="I586" s="113"/>
      <c r="J586" s="113"/>
      <c r="K586" s="113"/>
      <c r="L586" s="113"/>
      <c r="M586" s="271"/>
      <c r="N586" s="113"/>
      <c r="O586" s="258"/>
      <c r="P586" s="113"/>
      <c r="Q586" s="113"/>
      <c r="R586" s="113"/>
      <c r="S586" s="118"/>
      <c r="T586" s="271"/>
      <c r="U586" s="113"/>
      <c r="V586" s="113"/>
      <c r="W586" s="113"/>
      <c r="X586" s="113"/>
      <c r="Y586" s="113"/>
      <c r="Z586" s="272"/>
      <c r="AA586" s="113"/>
      <c r="AB586" s="258"/>
      <c r="AC586" s="258"/>
      <c r="AD586" s="127"/>
      <c r="AE586" s="127"/>
      <c r="AF586" s="258"/>
    </row>
    <row r="587">
      <c r="A587" s="267"/>
      <c r="B587" s="267"/>
      <c r="C587" s="268"/>
      <c r="D587" s="121"/>
      <c r="E587" s="128"/>
      <c r="F587" s="175"/>
      <c r="G587" s="128"/>
      <c r="H587" s="123"/>
      <c r="I587" s="128"/>
      <c r="J587" s="128"/>
      <c r="K587" s="128"/>
      <c r="L587" s="128"/>
      <c r="M587" s="269"/>
      <c r="N587" s="128"/>
      <c r="O587" s="267"/>
      <c r="P587" s="128"/>
      <c r="Q587" s="128"/>
      <c r="R587" s="128"/>
      <c r="S587" s="132"/>
      <c r="T587" s="269"/>
      <c r="U587" s="128"/>
      <c r="V587" s="128"/>
      <c r="W587" s="128"/>
      <c r="X587" s="128"/>
      <c r="Y587" s="128"/>
      <c r="Z587" s="270"/>
      <c r="AA587" s="128"/>
      <c r="AB587" s="267"/>
      <c r="AC587" s="267"/>
      <c r="AD587" s="139"/>
      <c r="AE587" s="139"/>
      <c r="AF587" s="267"/>
    </row>
    <row r="588">
      <c r="A588" s="258"/>
      <c r="B588" s="258"/>
      <c r="C588" s="259"/>
      <c r="D588" s="126"/>
      <c r="E588" s="113"/>
      <c r="F588" s="112"/>
      <c r="G588" s="113"/>
      <c r="H588" s="136"/>
      <c r="I588" s="113"/>
      <c r="J588" s="113"/>
      <c r="K588" s="113"/>
      <c r="L588" s="113"/>
      <c r="M588" s="271"/>
      <c r="N588" s="113"/>
      <c r="O588" s="258"/>
      <c r="P588" s="113"/>
      <c r="Q588" s="113"/>
      <c r="R588" s="113"/>
      <c r="S588" s="118"/>
      <c r="T588" s="271"/>
      <c r="U588" s="113"/>
      <c r="V588" s="113"/>
      <c r="W588" s="113"/>
      <c r="X588" s="113"/>
      <c r="Y588" s="113"/>
      <c r="Z588" s="272"/>
      <c r="AA588" s="113"/>
      <c r="AB588" s="258"/>
      <c r="AC588" s="258"/>
      <c r="AD588" s="127"/>
      <c r="AE588" s="127"/>
      <c r="AF588" s="258"/>
    </row>
    <row r="589">
      <c r="A589" s="267"/>
      <c r="B589" s="267"/>
      <c r="C589" s="268"/>
      <c r="D589" s="121"/>
      <c r="E589" s="128"/>
      <c r="F589" s="175"/>
      <c r="G589" s="128"/>
      <c r="H589" s="123"/>
      <c r="I589" s="128"/>
      <c r="J589" s="128"/>
      <c r="K589" s="128"/>
      <c r="L589" s="128"/>
      <c r="M589" s="269"/>
      <c r="N589" s="128"/>
      <c r="O589" s="267"/>
      <c r="P589" s="128"/>
      <c r="Q589" s="128"/>
      <c r="R589" s="128"/>
      <c r="S589" s="132"/>
      <c r="T589" s="269"/>
      <c r="U589" s="128"/>
      <c r="V589" s="128"/>
      <c r="W589" s="128"/>
      <c r="X589" s="128"/>
      <c r="Y589" s="128"/>
      <c r="Z589" s="270"/>
      <c r="AA589" s="128"/>
      <c r="AB589" s="267"/>
      <c r="AC589" s="267"/>
      <c r="AD589" s="139"/>
      <c r="AE589" s="139"/>
      <c r="AF589" s="267"/>
    </row>
    <row r="590">
      <c r="A590" s="258"/>
      <c r="B590" s="258"/>
      <c r="C590" s="259"/>
      <c r="D590" s="126"/>
      <c r="E590" s="113"/>
      <c r="F590" s="112"/>
      <c r="G590" s="113"/>
      <c r="H590" s="136"/>
      <c r="I590" s="113"/>
      <c r="J590" s="113"/>
      <c r="K590" s="113"/>
      <c r="L590" s="113"/>
      <c r="M590" s="271"/>
      <c r="N590" s="113"/>
      <c r="O590" s="258"/>
      <c r="P590" s="113"/>
      <c r="Q590" s="113"/>
      <c r="R590" s="113"/>
      <c r="S590" s="118"/>
      <c r="T590" s="271"/>
      <c r="U590" s="113"/>
      <c r="V590" s="113"/>
      <c r="W590" s="113"/>
      <c r="X590" s="113"/>
      <c r="Y590" s="113"/>
      <c r="Z590" s="272"/>
      <c r="AA590" s="113"/>
      <c r="AB590" s="258"/>
      <c r="AC590" s="258"/>
      <c r="AD590" s="127"/>
      <c r="AE590" s="127"/>
      <c r="AF590" s="258"/>
    </row>
    <row r="591">
      <c r="A591" s="267"/>
      <c r="B591" s="267"/>
      <c r="C591" s="268"/>
      <c r="D591" s="121"/>
      <c r="E591" s="128"/>
      <c r="F591" s="175"/>
      <c r="G591" s="128"/>
      <c r="H591" s="123"/>
      <c r="I591" s="128"/>
      <c r="J591" s="128"/>
      <c r="K591" s="128"/>
      <c r="L591" s="128"/>
      <c r="M591" s="269"/>
      <c r="N591" s="128"/>
      <c r="O591" s="267"/>
      <c r="P591" s="128"/>
      <c r="Q591" s="128"/>
      <c r="R591" s="128"/>
      <c r="S591" s="132"/>
      <c r="T591" s="269"/>
      <c r="U591" s="128"/>
      <c r="V591" s="128"/>
      <c r="W591" s="128"/>
      <c r="X591" s="128"/>
      <c r="Y591" s="128"/>
      <c r="Z591" s="270"/>
      <c r="AA591" s="128"/>
      <c r="AB591" s="267"/>
      <c r="AC591" s="267"/>
      <c r="AD591" s="139"/>
      <c r="AE591" s="139"/>
      <c r="AF591" s="267"/>
    </row>
    <row r="592">
      <c r="A592" s="258"/>
      <c r="B592" s="258"/>
      <c r="C592" s="259"/>
      <c r="D592" s="126"/>
      <c r="E592" s="113"/>
      <c r="F592" s="112"/>
      <c r="G592" s="113"/>
      <c r="H592" s="136"/>
      <c r="I592" s="113"/>
      <c r="J592" s="113"/>
      <c r="K592" s="113"/>
      <c r="L592" s="113"/>
      <c r="M592" s="271"/>
      <c r="N592" s="113"/>
      <c r="O592" s="258"/>
      <c r="P592" s="113"/>
      <c r="Q592" s="113"/>
      <c r="R592" s="113"/>
      <c r="S592" s="118"/>
      <c r="T592" s="271"/>
      <c r="U592" s="113"/>
      <c r="V592" s="113"/>
      <c r="W592" s="113"/>
      <c r="X592" s="113"/>
      <c r="Y592" s="113"/>
      <c r="Z592" s="272"/>
      <c r="AA592" s="113"/>
      <c r="AB592" s="258"/>
      <c r="AC592" s="258"/>
      <c r="AD592" s="127"/>
      <c r="AE592" s="127"/>
      <c r="AF592" s="258"/>
    </row>
    <row r="593">
      <c r="A593" s="267"/>
      <c r="B593" s="267"/>
      <c r="C593" s="268"/>
      <c r="D593" s="121"/>
      <c r="E593" s="128"/>
      <c r="F593" s="175"/>
      <c r="G593" s="128"/>
      <c r="H593" s="123"/>
      <c r="I593" s="128"/>
      <c r="J593" s="128"/>
      <c r="K593" s="128"/>
      <c r="L593" s="128"/>
      <c r="M593" s="269"/>
      <c r="N593" s="128"/>
      <c r="O593" s="267"/>
      <c r="P593" s="128"/>
      <c r="Q593" s="128"/>
      <c r="R593" s="128"/>
      <c r="S593" s="132"/>
      <c r="T593" s="269"/>
      <c r="U593" s="128"/>
      <c r="V593" s="128"/>
      <c r="W593" s="128"/>
      <c r="X593" s="128"/>
      <c r="Y593" s="128"/>
      <c r="Z593" s="270"/>
      <c r="AA593" s="128"/>
      <c r="AB593" s="267"/>
      <c r="AC593" s="267"/>
      <c r="AD593" s="139"/>
      <c r="AE593" s="139"/>
      <c r="AF593" s="267"/>
    </row>
    <row r="594">
      <c r="A594" s="258"/>
      <c r="B594" s="258"/>
      <c r="C594" s="259"/>
      <c r="D594" s="126"/>
      <c r="E594" s="113"/>
      <c r="F594" s="112"/>
      <c r="G594" s="113"/>
      <c r="H594" s="136"/>
      <c r="I594" s="113"/>
      <c r="J594" s="113"/>
      <c r="K594" s="113"/>
      <c r="L594" s="113"/>
      <c r="M594" s="271"/>
      <c r="N594" s="113"/>
      <c r="O594" s="258"/>
      <c r="P594" s="113"/>
      <c r="Q594" s="113"/>
      <c r="R594" s="113"/>
      <c r="S594" s="118"/>
      <c r="T594" s="271"/>
      <c r="U594" s="113"/>
      <c r="V594" s="113"/>
      <c r="W594" s="113"/>
      <c r="X594" s="113"/>
      <c r="Y594" s="113"/>
      <c r="Z594" s="272"/>
      <c r="AA594" s="113"/>
      <c r="AB594" s="258"/>
      <c r="AC594" s="258"/>
      <c r="AD594" s="127"/>
      <c r="AE594" s="127"/>
      <c r="AF594" s="258"/>
    </row>
    <row r="595">
      <c r="A595" s="267"/>
      <c r="B595" s="267"/>
      <c r="C595" s="268"/>
      <c r="D595" s="121"/>
      <c r="E595" s="128"/>
      <c r="F595" s="175"/>
      <c r="G595" s="128"/>
      <c r="H595" s="123"/>
      <c r="I595" s="128"/>
      <c r="J595" s="128"/>
      <c r="K595" s="128"/>
      <c r="L595" s="128"/>
      <c r="M595" s="269"/>
      <c r="N595" s="128"/>
      <c r="O595" s="267"/>
      <c r="P595" s="128"/>
      <c r="Q595" s="128"/>
      <c r="R595" s="128"/>
      <c r="S595" s="132"/>
      <c r="T595" s="269"/>
      <c r="U595" s="128"/>
      <c r="V595" s="128"/>
      <c r="W595" s="128"/>
      <c r="X595" s="128"/>
      <c r="Y595" s="128"/>
      <c r="Z595" s="270"/>
      <c r="AA595" s="128"/>
      <c r="AB595" s="267"/>
      <c r="AC595" s="267"/>
      <c r="AD595" s="139"/>
      <c r="AE595" s="139"/>
      <c r="AF595" s="267"/>
    </row>
    <row r="596">
      <c r="A596" s="258"/>
      <c r="B596" s="258"/>
      <c r="C596" s="259"/>
      <c r="D596" s="126"/>
      <c r="E596" s="113"/>
      <c r="F596" s="112"/>
      <c r="G596" s="113"/>
      <c r="H596" s="136"/>
      <c r="I596" s="113"/>
      <c r="J596" s="113"/>
      <c r="K596" s="113"/>
      <c r="L596" s="113"/>
      <c r="M596" s="271"/>
      <c r="N596" s="113"/>
      <c r="O596" s="258"/>
      <c r="P596" s="113"/>
      <c r="Q596" s="113"/>
      <c r="R596" s="113"/>
      <c r="S596" s="118"/>
      <c r="T596" s="271"/>
      <c r="U596" s="113"/>
      <c r="V596" s="113"/>
      <c r="W596" s="113"/>
      <c r="X596" s="113"/>
      <c r="Y596" s="113"/>
      <c r="Z596" s="272"/>
      <c r="AA596" s="113"/>
      <c r="AB596" s="258"/>
      <c r="AC596" s="258"/>
      <c r="AD596" s="127"/>
      <c r="AE596" s="127"/>
      <c r="AF596" s="258"/>
    </row>
    <row r="597">
      <c r="A597" s="267"/>
      <c r="B597" s="267"/>
      <c r="C597" s="268"/>
      <c r="D597" s="121"/>
      <c r="E597" s="128"/>
      <c r="F597" s="175"/>
      <c r="G597" s="128"/>
      <c r="H597" s="123"/>
      <c r="I597" s="128"/>
      <c r="J597" s="128"/>
      <c r="K597" s="128"/>
      <c r="L597" s="128"/>
      <c r="M597" s="269"/>
      <c r="N597" s="128"/>
      <c r="O597" s="267"/>
      <c r="P597" s="128"/>
      <c r="Q597" s="128"/>
      <c r="R597" s="128"/>
      <c r="S597" s="132"/>
      <c r="T597" s="269"/>
      <c r="U597" s="128"/>
      <c r="V597" s="128"/>
      <c r="W597" s="128"/>
      <c r="X597" s="128"/>
      <c r="Y597" s="128"/>
      <c r="Z597" s="270"/>
      <c r="AA597" s="128"/>
      <c r="AB597" s="267"/>
      <c r="AC597" s="267"/>
      <c r="AD597" s="139"/>
      <c r="AE597" s="139"/>
      <c r="AF597" s="267"/>
    </row>
    <row r="598">
      <c r="A598" s="258"/>
      <c r="B598" s="258"/>
      <c r="C598" s="259"/>
      <c r="D598" s="126"/>
      <c r="E598" s="113"/>
      <c r="F598" s="112"/>
      <c r="G598" s="113"/>
      <c r="H598" s="136"/>
      <c r="I598" s="113"/>
      <c r="J598" s="113"/>
      <c r="K598" s="113"/>
      <c r="L598" s="113"/>
      <c r="M598" s="271"/>
      <c r="N598" s="113"/>
      <c r="O598" s="258"/>
      <c r="P598" s="113"/>
      <c r="Q598" s="113"/>
      <c r="R598" s="113"/>
      <c r="S598" s="118"/>
      <c r="T598" s="271"/>
      <c r="U598" s="113"/>
      <c r="V598" s="113"/>
      <c r="W598" s="113"/>
      <c r="X598" s="113"/>
      <c r="Y598" s="113"/>
      <c r="Z598" s="272"/>
      <c r="AA598" s="113"/>
      <c r="AB598" s="258"/>
      <c r="AC598" s="258"/>
      <c r="AD598" s="127"/>
      <c r="AE598" s="127"/>
      <c r="AF598" s="258"/>
    </row>
    <row r="599">
      <c r="A599" s="267"/>
      <c r="B599" s="267"/>
      <c r="C599" s="268"/>
      <c r="D599" s="121"/>
      <c r="E599" s="128"/>
      <c r="F599" s="175"/>
      <c r="G599" s="128"/>
      <c r="H599" s="123"/>
      <c r="I599" s="128"/>
      <c r="J599" s="128"/>
      <c r="K599" s="128"/>
      <c r="L599" s="128"/>
      <c r="M599" s="269"/>
      <c r="N599" s="128"/>
      <c r="O599" s="267"/>
      <c r="P599" s="128"/>
      <c r="Q599" s="128"/>
      <c r="R599" s="128"/>
      <c r="S599" s="132"/>
      <c r="T599" s="269"/>
      <c r="U599" s="128"/>
      <c r="V599" s="128"/>
      <c r="W599" s="128"/>
      <c r="X599" s="128"/>
      <c r="Y599" s="128"/>
      <c r="Z599" s="270"/>
      <c r="AA599" s="128"/>
      <c r="AB599" s="267"/>
      <c r="AC599" s="267"/>
      <c r="AD599" s="139"/>
      <c r="AE599" s="139"/>
      <c r="AF599" s="267"/>
    </row>
    <row r="600">
      <c r="A600" s="258"/>
      <c r="B600" s="258"/>
      <c r="C600" s="259"/>
      <c r="D600" s="126"/>
      <c r="E600" s="113"/>
      <c r="F600" s="112"/>
      <c r="G600" s="113"/>
      <c r="H600" s="136"/>
      <c r="I600" s="113"/>
      <c r="J600" s="113"/>
      <c r="K600" s="113"/>
      <c r="L600" s="113"/>
      <c r="M600" s="271"/>
      <c r="N600" s="113"/>
      <c r="O600" s="258"/>
      <c r="P600" s="113"/>
      <c r="Q600" s="113"/>
      <c r="R600" s="113"/>
      <c r="S600" s="118"/>
      <c r="T600" s="271"/>
      <c r="U600" s="113"/>
      <c r="V600" s="113"/>
      <c r="W600" s="113"/>
      <c r="X600" s="113"/>
      <c r="Y600" s="113"/>
      <c r="Z600" s="272"/>
      <c r="AA600" s="113"/>
      <c r="AB600" s="258"/>
      <c r="AC600" s="258"/>
      <c r="AD600" s="127"/>
      <c r="AE600" s="127"/>
      <c r="AF600" s="258"/>
    </row>
    <row r="601">
      <c r="A601" s="267"/>
      <c r="B601" s="267"/>
      <c r="C601" s="268"/>
      <c r="D601" s="121"/>
      <c r="E601" s="128"/>
      <c r="F601" s="175"/>
      <c r="G601" s="128"/>
      <c r="H601" s="123"/>
      <c r="I601" s="128"/>
      <c r="J601" s="128"/>
      <c r="K601" s="128"/>
      <c r="L601" s="128"/>
      <c r="M601" s="269"/>
      <c r="N601" s="128"/>
      <c r="O601" s="267"/>
      <c r="P601" s="128"/>
      <c r="Q601" s="128"/>
      <c r="R601" s="128"/>
      <c r="S601" s="132"/>
      <c r="T601" s="269"/>
      <c r="U601" s="128"/>
      <c r="V601" s="128"/>
      <c r="W601" s="128"/>
      <c r="X601" s="128"/>
      <c r="Y601" s="128"/>
      <c r="Z601" s="270"/>
      <c r="AA601" s="128"/>
      <c r="AB601" s="267"/>
      <c r="AC601" s="267"/>
      <c r="AD601" s="139"/>
      <c r="AE601" s="139"/>
      <c r="AF601" s="267"/>
    </row>
    <row r="602">
      <c r="A602" s="258"/>
      <c r="B602" s="258"/>
      <c r="C602" s="259"/>
      <c r="D602" s="126"/>
      <c r="E602" s="113"/>
      <c r="F602" s="112"/>
      <c r="G602" s="113"/>
      <c r="H602" s="136"/>
      <c r="I602" s="113"/>
      <c r="J602" s="113"/>
      <c r="K602" s="113"/>
      <c r="L602" s="113"/>
      <c r="M602" s="271"/>
      <c r="N602" s="113"/>
      <c r="O602" s="258"/>
      <c r="P602" s="113"/>
      <c r="Q602" s="113"/>
      <c r="R602" s="113"/>
      <c r="S602" s="118"/>
      <c r="T602" s="271"/>
      <c r="U602" s="113"/>
      <c r="V602" s="113"/>
      <c r="W602" s="113"/>
      <c r="X602" s="113"/>
      <c r="Y602" s="113"/>
      <c r="Z602" s="272"/>
      <c r="AA602" s="113"/>
      <c r="AB602" s="258"/>
      <c r="AC602" s="258"/>
      <c r="AD602" s="127"/>
      <c r="AE602" s="127"/>
      <c r="AF602" s="258"/>
    </row>
    <row r="603">
      <c r="A603" s="267"/>
      <c r="B603" s="267"/>
      <c r="C603" s="268"/>
      <c r="D603" s="121"/>
      <c r="E603" s="128"/>
      <c r="F603" s="175"/>
      <c r="G603" s="128"/>
      <c r="H603" s="123"/>
      <c r="I603" s="128"/>
      <c r="J603" s="128"/>
      <c r="K603" s="128"/>
      <c r="L603" s="128"/>
      <c r="M603" s="269"/>
      <c r="N603" s="128"/>
      <c r="O603" s="267"/>
      <c r="P603" s="128"/>
      <c r="Q603" s="128"/>
      <c r="R603" s="128"/>
      <c r="S603" s="132"/>
      <c r="T603" s="269"/>
      <c r="U603" s="128"/>
      <c r="V603" s="128"/>
      <c r="W603" s="128"/>
      <c r="X603" s="128"/>
      <c r="Y603" s="128"/>
      <c r="Z603" s="270"/>
      <c r="AA603" s="128"/>
      <c r="AB603" s="267"/>
      <c r="AC603" s="267"/>
      <c r="AD603" s="139"/>
      <c r="AE603" s="139"/>
      <c r="AF603" s="267"/>
    </row>
    <row r="604">
      <c r="A604" s="258"/>
      <c r="B604" s="258"/>
      <c r="C604" s="259"/>
      <c r="D604" s="126"/>
      <c r="E604" s="113"/>
      <c r="F604" s="112"/>
      <c r="G604" s="113"/>
      <c r="H604" s="136"/>
      <c r="I604" s="113"/>
      <c r="J604" s="113"/>
      <c r="K604" s="113"/>
      <c r="L604" s="113"/>
      <c r="M604" s="271"/>
      <c r="N604" s="113"/>
      <c r="O604" s="258"/>
      <c r="P604" s="113"/>
      <c r="Q604" s="113"/>
      <c r="R604" s="113"/>
      <c r="S604" s="118"/>
      <c r="T604" s="271"/>
      <c r="U604" s="113"/>
      <c r="V604" s="113"/>
      <c r="W604" s="113"/>
      <c r="X604" s="113"/>
      <c r="Y604" s="113"/>
      <c r="Z604" s="272"/>
      <c r="AA604" s="113"/>
      <c r="AB604" s="258"/>
      <c r="AC604" s="258"/>
      <c r="AD604" s="127"/>
      <c r="AE604" s="127"/>
      <c r="AF604" s="258"/>
    </row>
    <row r="605">
      <c r="A605" s="267"/>
      <c r="B605" s="267"/>
      <c r="C605" s="268"/>
      <c r="D605" s="121"/>
      <c r="E605" s="128"/>
      <c r="F605" s="175"/>
      <c r="G605" s="128"/>
      <c r="H605" s="123"/>
      <c r="I605" s="128"/>
      <c r="J605" s="128"/>
      <c r="K605" s="128"/>
      <c r="L605" s="128"/>
      <c r="M605" s="269"/>
      <c r="N605" s="128"/>
      <c r="O605" s="267"/>
      <c r="P605" s="128"/>
      <c r="Q605" s="128"/>
      <c r="R605" s="128"/>
      <c r="S605" s="132"/>
      <c r="T605" s="269"/>
      <c r="U605" s="128"/>
      <c r="V605" s="128"/>
      <c r="W605" s="128"/>
      <c r="X605" s="128"/>
      <c r="Y605" s="128"/>
      <c r="Z605" s="270"/>
      <c r="AA605" s="128"/>
      <c r="AB605" s="267"/>
      <c r="AC605" s="267"/>
      <c r="AD605" s="139"/>
      <c r="AE605" s="139"/>
      <c r="AF605" s="267"/>
    </row>
    <row r="606">
      <c r="A606" s="258"/>
      <c r="B606" s="258"/>
      <c r="C606" s="259"/>
      <c r="D606" s="126"/>
      <c r="E606" s="113"/>
      <c r="F606" s="112"/>
      <c r="G606" s="113"/>
      <c r="H606" s="136"/>
      <c r="I606" s="113"/>
      <c r="J606" s="113"/>
      <c r="K606" s="113"/>
      <c r="L606" s="113"/>
      <c r="M606" s="271"/>
      <c r="N606" s="113"/>
      <c r="O606" s="258"/>
      <c r="P606" s="113"/>
      <c r="Q606" s="113"/>
      <c r="R606" s="113"/>
      <c r="S606" s="118"/>
      <c r="T606" s="271"/>
      <c r="U606" s="113"/>
      <c r="V606" s="113"/>
      <c r="W606" s="113"/>
      <c r="X606" s="113"/>
      <c r="Y606" s="113"/>
      <c r="Z606" s="272"/>
      <c r="AA606" s="113"/>
      <c r="AB606" s="258"/>
      <c r="AC606" s="258"/>
      <c r="AD606" s="127"/>
      <c r="AE606" s="127"/>
      <c r="AF606" s="258"/>
    </row>
    <row r="607">
      <c r="A607" s="267"/>
      <c r="B607" s="267"/>
      <c r="C607" s="268"/>
      <c r="D607" s="121"/>
      <c r="E607" s="128"/>
      <c r="F607" s="175"/>
      <c r="G607" s="128"/>
      <c r="H607" s="123"/>
      <c r="I607" s="128"/>
      <c r="J607" s="128"/>
      <c r="K607" s="128"/>
      <c r="L607" s="128"/>
      <c r="M607" s="269"/>
      <c r="N607" s="128"/>
      <c r="O607" s="267"/>
      <c r="P607" s="128"/>
      <c r="Q607" s="128"/>
      <c r="R607" s="128"/>
      <c r="S607" s="132"/>
      <c r="T607" s="269"/>
      <c r="U607" s="128"/>
      <c r="V607" s="128"/>
      <c r="W607" s="128"/>
      <c r="X607" s="128"/>
      <c r="Y607" s="128"/>
      <c r="Z607" s="270"/>
      <c r="AA607" s="128"/>
      <c r="AB607" s="267"/>
      <c r="AC607" s="267"/>
      <c r="AD607" s="139"/>
      <c r="AE607" s="139"/>
      <c r="AF607" s="267"/>
    </row>
    <row r="608">
      <c r="A608" s="258"/>
      <c r="B608" s="258"/>
      <c r="C608" s="259"/>
      <c r="D608" s="126"/>
      <c r="E608" s="113"/>
      <c r="F608" s="112"/>
      <c r="G608" s="113"/>
      <c r="H608" s="136"/>
      <c r="I608" s="113"/>
      <c r="J608" s="113"/>
      <c r="K608" s="113"/>
      <c r="L608" s="113"/>
      <c r="M608" s="271"/>
      <c r="N608" s="113"/>
      <c r="O608" s="258"/>
      <c r="P608" s="113"/>
      <c r="Q608" s="113"/>
      <c r="R608" s="113"/>
      <c r="S608" s="118"/>
      <c r="T608" s="271"/>
      <c r="U608" s="113"/>
      <c r="V608" s="113"/>
      <c r="W608" s="113"/>
      <c r="X608" s="113"/>
      <c r="Y608" s="113"/>
      <c r="Z608" s="272"/>
      <c r="AA608" s="113"/>
      <c r="AB608" s="258"/>
      <c r="AC608" s="258"/>
      <c r="AD608" s="127"/>
      <c r="AE608" s="127"/>
      <c r="AF608" s="258"/>
    </row>
    <row r="609">
      <c r="A609" s="267"/>
      <c r="B609" s="267"/>
      <c r="C609" s="268"/>
      <c r="D609" s="121"/>
      <c r="E609" s="128"/>
      <c r="F609" s="175"/>
      <c r="G609" s="128"/>
      <c r="H609" s="123"/>
      <c r="I609" s="128"/>
      <c r="J609" s="128"/>
      <c r="K609" s="128"/>
      <c r="L609" s="128"/>
      <c r="M609" s="269"/>
      <c r="N609" s="128"/>
      <c r="O609" s="267"/>
      <c r="P609" s="128"/>
      <c r="Q609" s="128"/>
      <c r="R609" s="128"/>
      <c r="S609" s="132"/>
      <c r="T609" s="269"/>
      <c r="U609" s="128"/>
      <c r="V609" s="128"/>
      <c r="W609" s="128"/>
      <c r="X609" s="128"/>
      <c r="Y609" s="128"/>
      <c r="Z609" s="270"/>
      <c r="AA609" s="128"/>
      <c r="AB609" s="267"/>
      <c r="AC609" s="267"/>
      <c r="AD609" s="139"/>
      <c r="AE609" s="139"/>
      <c r="AF609" s="267"/>
    </row>
    <row r="610">
      <c r="A610" s="258"/>
      <c r="B610" s="258"/>
      <c r="C610" s="259"/>
      <c r="D610" s="126"/>
      <c r="E610" s="113"/>
      <c r="F610" s="112"/>
      <c r="G610" s="113"/>
      <c r="H610" s="136"/>
      <c r="I610" s="113"/>
      <c r="J610" s="113"/>
      <c r="K610" s="113"/>
      <c r="L610" s="113"/>
      <c r="M610" s="271"/>
      <c r="N610" s="113"/>
      <c r="O610" s="258"/>
      <c r="P610" s="113"/>
      <c r="Q610" s="113"/>
      <c r="R610" s="113"/>
      <c r="S610" s="118"/>
      <c r="T610" s="271"/>
      <c r="U610" s="113"/>
      <c r="V610" s="113"/>
      <c r="W610" s="113"/>
      <c r="X610" s="113"/>
      <c r="Y610" s="113"/>
      <c r="Z610" s="272"/>
      <c r="AA610" s="113"/>
      <c r="AB610" s="258"/>
      <c r="AC610" s="258"/>
      <c r="AD610" s="127"/>
      <c r="AE610" s="127"/>
      <c r="AF610" s="258"/>
    </row>
    <row r="611">
      <c r="A611" s="267"/>
      <c r="B611" s="267"/>
      <c r="C611" s="268"/>
      <c r="D611" s="121"/>
      <c r="E611" s="128"/>
      <c r="F611" s="175"/>
      <c r="G611" s="128"/>
      <c r="H611" s="123"/>
      <c r="I611" s="128"/>
      <c r="J611" s="128"/>
      <c r="K611" s="128"/>
      <c r="L611" s="128"/>
      <c r="M611" s="269"/>
      <c r="N611" s="128"/>
      <c r="O611" s="267"/>
      <c r="P611" s="128"/>
      <c r="Q611" s="128"/>
      <c r="R611" s="128"/>
      <c r="S611" s="132"/>
      <c r="T611" s="269"/>
      <c r="U611" s="128"/>
      <c r="V611" s="128"/>
      <c r="W611" s="128"/>
      <c r="X611" s="128"/>
      <c r="Y611" s="128"/>
      <c r="Z611" s="270"/>
      <c r="AA611" s="128"/>
      <c r="AB611" s="267"/>
      <c r="AC611" s="267"/>
      <c r="AD611" s="139"/>
      <c r="AE611" s="139"/>
      <c r="AF611" s="267"/>
    </row>
    <row r="612">
      <c r="A612" s="258"/>
      <c r="B612" s="258"/>
      <c r="C612" s="259"/>
      <c r="D612" s="126"/>
      <c r="E612" s="113"/>
      <c r="F612" s="112"/>
      <c r="G612" s="113"/>
      <c r="H612" s="136"/>
      <c r="I612" s="113"/>
      <c r="J612" s="113"/>
      <c r="K612" s="113"/>
      <c r="L612" s="113"/>
      <c r="M612" s="271"/>
      <c r="N612" s="113"/>
      <c r="O612" s="258"/>
      <c r="P612" s="113"/>
      <c r="Q612" s="113"/>
      <c r="R612" s="113"/>
      <c r="S612" s="118"/>
      <c r="T612" s="271"/>
      <c r="U612" s="113"/>
      <c r="V612" s="113"/>
      <c r="W612" s="113"/>
      <c r="X612" s="113"/>
      <c r="Y612" s="113"/>
      <c r="Z612" s="272"/>
      <c r="AA612" s="113"/>
      <c r="AB612" s="258"/>
      <c r="AC612" s="258"/>
      <c r="AD612" s="127"/>
      <c r="AE612" s="127"/>
      <c r="AF612" s="258"/>
    </row>
    <row r="613">
      <c r="A613" s="267"/>
      <c r="B613" s="267"/>
      <c r="C613" s="268"/>
      <c r="D613" s="121"/>
      <c r="E613" s="128"/>
      <c r="F613" s="175"/>
      <c r="G613" s="128"/>
      <c r="H613" s="123"/>
      <c r="I613" s="128"/>
      <c r="J613" s="128"/>
      <c r="K613" s="128"/>
      <c r="L613" s="128"/>
      <c r="M613" s="269"/>
      <c r="N613" s="128"/>
      <c r="O613" s="267"/>
      <c r="P613" s="128"/>
      <c r="Q613" s="128"/>
      <c r="R613" s="128"/>
      <c r="S613" s="132"/>
      <c r="T613" s="269"/>
      <c r="U613" s="128"/>
      <c r="V613" s="128"/>
      <c r="W613" s="128"/>
      <c r="X613" s="128"/>
      <c r="Y613" s="128"/>
      <c r="Z613" s="270"/>
      <c r="AA613" s="128"/>
      <c r="AB613" s="267"/>
      <c r="AC613" s="267"/>
      <c r="AD613" s="139"/>
      <c r="AE613" s="139"/>
      <c r="AF613" s="267"/>
    </row>
    <row r="614">
      <c r="A614" s="258"/>
      <c r="B614" s="258"/>
      <c r="C614" s="259"/>
      <c r="D614" s="126"/>
      <c r="E614" s="113"/>
      <c r="F614" s="112"/>
      <c r="G614" s="113"/>
      <c r="H614" s="136"/>
      <c r="I614" s="113"/>
      <c r="J614" s="113"/>
      <c r="K614" s="113"/>
      <c r="L614" s="113"/>
      <c r="M614" s="271"/>
      <c r="N614" s="113"/>
      <c r="O614" s="258"/>
      <c r="P614" s="113"/>
      <c r="Q614" s="113"/>
      <c r="R614" s="113"/>
      <c r="S614" s="118"/>
      <c r="T614" s="271"/>
      <c r="U614" s="113"/>
      <c r="V614" s="113"/>
      <c r="W614" s="113"/>
      <c r="X614" s="113"/>
      <c r="Y614" s="113"/>
      <c r="Z614" s="272"/>
      <c r="AA614" s="113"/>
      <c r="AB614" s="258"/>
      <c r="AC614" s="258"/>
      <c r="AD614" s="127"/>
      <c r="AE614" s="127"/>
      <c r="AF614" s="258"/>
    </row>
    <row r="615">
      <c r="A615" s="267"/>
      <c r="B615" s="267"/>
      <c r="C615" s="268"/>
      <c r="D615" s="121"/>
      <c r="E615" s="128"/>
      <c r="F615" s="175"/>
      <c r="G615" s="128"/>
      <c r="H615" s="123"/>
      <c r="I615" s="128"/>
      <c r="J615" s="128"/>
      <c r="K615" s="128"/>
      <c r="L615" s="128"/>
      <c r="M615" s="269"/>
      <c r="N615" s="128"/>
      <c r="O615" s="267"/>
      <c r="P615" s="128"/>
      <c r="Q615" s="128"/>
      <c r="R615" s="128"/>
      <c r="S615" s="132"/>
      <c r="T615" s="269"/>
      <c r="U615" s="128"/>
      <c r="V615" s="128"/>
      <c r="W615" s="128"/>
      <c r="X615" s="128"/>
      <c r="Y615" s="128"/>
      <c r="Z615" s="270"/>
      <c r="AA615" s="128"/>
      <c r="AB615" s="267"/>
      <c r="AC615" s="267"/>
      <c r="AD615" s="139"/>
      <c r="AE615" s="139"/>
      <c r="AF615" s="267"/>
    </row>
    <row r="616">
      <c r="A616" s="258"/>
      <c r="B616" s="258"/>
      <c r="C616" s="259"/>
      <c r="D616" s="126"/>
      <c r="E616" s="113"/>
      <c r="F616" s="112"/>
      <c r="G616" s="113"/>
      <c r="H616" s="136"/>
      <c r="I616" s="113"/>
      <c r="J616" s="113"/>
      <c r="K616" s="113"/>
      <c r="L616" s="113"/>
      <c r="M616" s="271"/>
      <c r="N616" s="113"/>
      <c r="O616" s="258"/>
      <c r="P616" s="113"/>
      <c r="Q616" s="113"/>
      <c r="R616" s="113"/>
      <c r="S616" s="118"/>
      <c r="T616" s="271"/>
      <c r="U616" s="113"/>
      <c r="V616" s="113"/>
      <c r="W616" s="113"/>
      <c r="X616" s="113"/>
      <c r="Y616" s="113"/>
      <c r="Z616" s="272"/>
      <c r="AA616" s="113"/>
      <c r="AB616" s="258"/>
      <c r="AC616" s="258"/>
      <c r="AD616" s="127"/>
      <c r="AE616" s="127"/>
      <c r="AF616" s="258"/>
    </row>
    <row r="617">
      <c r="A617" s="267"/>
      <c r="B617" s="267"/>
      <c r="C617" s="268"/>
      <c r="D617" s="121"/>
      <c r="E617" s="128"/>
      <c r="F617" s="175"/>
      <c r="G617" s="128"/>
      <c r="H617" s="123"/>
      <c r="I617" s="128"/>
      <c r="J617" s="128"/>
      <c r="K617" s="128"/>
      <c r="L617" s="128"/>
      <c r="M617" s="269"/>
      <c r="N617" s="128"/>
      <c r="O617" s="267"/>
      <c r="P617" s="128"/>
      <c r="Q617" s="128"/>
      <c r="R617" s="128"/>
      <c r="S617" s="132"/>
      <c r="T617" s="269"/>
      <c r="U617" s="128"/>
      <c r="V617" s="128"/>
      <c r="W617" s="128"/>
      <c r="X617" s="128"/>
      <c r="Y617" s="128"/>
      <c r="Z617" s="270"/>
      <c r="AA617" s="128"/>
      <c r="AB617" s="267"/>
      <c r="AC617" s="267"/>
      <c r="AD617" s="139"/>
      <c r="AE617" s="139"/>
      <c r="AF617" s="267"/>
    </row>
    <row r="618">
      <c r="A618" s="258"/>
      <c r="B618" s="258"/>
      <c r="C618" s="259"/>
      <c r="D618" s="126"/>
      <c r="E618" s="113"/>
      <c r="F618" s="112"/>
      <c r="G618" s="113"/>
      <c r="H618" s="136"/>
      <c r="I618" s="113"/>
      <c r="J618" s="113"/>
      <c r="K618" s="113"/>
      <c r="L618" s="113"/>
      <c r="M618" s="271"/>
      <c r="N618" s="113"/>
      <c r="O618" s="258"/>
      <c r="P618" s="113"/>
      <c r="Q618" s="113"/>
      <c r="R618" s="113"/>
      <c r="S618" s="118"/>
      <c r="T618" s="271"/>
      <c r="U618" s="113"/>
      <c r="V618" s="113"/>
      <c r="W618" s="113"/>
      <c r="X618" s="113"/>
      <c r="Y618" s="113"/>
      <c r="Z618" s="272"/>
      <c r="AA618" s="113"/>
      <c r="AB618" s="258"/>
      <c r="AC618" s="258"/>
      <c r="AD618" s="127"/>
      <c r="AE618" s="127"/>
      <c r="AF618" s="258"/>
    </row>
    <row r="619">
      <c r="A619" s="267"/>
      <c r="B619" s="267"/>
      <c r="C619" s="268"/>
      <c r="D619" s="121"/>
      <c r="E619" s="128"/>
      <c r="F619" s="175"/>
      <c r="G619" s="128"/>
      <c r="H619" s="123"/>
      <c r="I619" s="128"/>
      <c r="J619" s="128"/>
      <c r="K619" s="128"/>
      <c r="L619" s="128"/>
      <c r="M619" s="269"/>
      <c r="N619" s="128"/>
      <c r="O619" s="267"/>
      <c r="P619" s="128"/>
      <c r="Q619" s="128"/>
      <c r="R619" s="128"/>
      <c r="S619" s="132"/>
      <c r="T619" s="269"/>
      <c r="U619" s="128"/>
      <c r="V619" s="128"/>
      <c r="W619" s="128"/>
      <c r="X619" s="128"/>
      <c r="Y619" s="128"/>
      <c r="Z619" s="270"/>
      <c r="AA619" s="128"/>
      <c r="AB619" s="267"/>
      <c r="AC619" s="267"/>
      <c r="AD619" s="139"/>
      <c r="AE619" s="139"/>
      <c r="AF619" s="267"/>
    </row>
    <row r="620">
      <c r="A620" s="258"/>
      <c r="B620" s="258"/>
      <c r="C620" s="259"/>
      <c r="D620" s="126"/>
      <c r="E620" s="113"/>
      <c r="F620" s="112"/>
      <c r="G620" s="113"/>
      <c r="H620" s="136"/>
      <c r="I620" s="113"/>
      <c r="J620" s="113"/>
      <c r="K620" s="113"/>
      <c r="L620" s="113"/>
      <c r="M620" s="271"/>
      <c r="N620" s="113"/>
      <c r="O620" s="258"/>
      <c r="P620" s="113"/>
      <c r="Q620" s="113"/>
      <c r="R620" s="113"/>
      <c r="S620" s="118"/>
      <c r="T620" s="271"/>
      <c r="U620" s="113"/>
      <c r="V620" s="113"/>
      <c r="W620" s="113"/>
      <c r="X620" s="113"/>
      <c r="Y620" s="113"/>
      <c r="Z620" s="272"/>
      <c r="AA620" s="113"/>
      <c r="AB620" s="258"/>
      <c r="AC620" s="258"/>
      <c r="AD620" s="127"/>
      <c r="AE620" s="127"/>
      <c r="AF620" s="258"/>
    </row>
    <row r="621">
      <c r="A621" s="267"/>
      <c r="B621" s="267"/>
      <c r="C621" s="268"/>
      <c r="D621" s="121"/>
      <c r="E621" s="128"/>
      <c r="F621" s="175"/>
      <c r="G621" s="128"/>
      <c r="H621" s="123"/>
      <c r="I621" s="128"/>
      <c r="J621" s="128"/>
      <c r="K621" s="128"/>
      <c r="L621" s="128"/>
      <c r="M621" s="269"/>
      <c r="N621" s="128"/>
      <c r="O621" s="267"/>
      <c r="P621" s="128"/>
      <c r="Q621" s="128"/>
      <c r="R621" s="128"/>
      <c r="S621" s="132"/>
      <c r="T621" s="269"/>
      <c r="U621" s="128"/>
      <c r="V621" s="128"/>
      <c r="W621" s="128"/>
      <c r="X621" s="128"/>
      <c r="Y621" s="128"/>
      <c r="Z621" s="270"/>
      <c r="AA621" s="128"/>
      <c r="AB621" s="267"/>
      <c r="AC621" s="267"/>
      <c r="AD621" s="139"/>
      <c r="AE621" s="139"/>
      <c r="AF621" s="267"/>
    </row>
    <row r="622">
      <c r="A622" s="258"/>
      <c r="B622" s="258"/>
      <c r="C622" s="259"/>
      <c r="D622" s="126"/>
      <c r="E622" s="113"/>
      <c r="F622" s="112"/>
      <c r="G622" s="113"/>
      <c r="H622" s="136"/>
      <c r="I622" s="113"/>
      <c r="J622" s="113"/>
      <c r="K622" s="113"/>
      <c r="L622" s="113"/>
      <c r="M622" s="271"/>
      <c r="N622" s="113"/>
      <c r="O622" s="258"/>
      <c r="P622" s="113"/>
      <c r="Q622" s="113"/>
      <c r="R622" s="113"/>
      <c r="S622" s="118"/>
      <c r="T622" s="271"/>
      <c r="U622" s="113"/>
      <c r="V622" s="113"/>
      <c r="W622" s="113"/>
      <c r="X622" s="113"/>
      <c r="Y622" s="113"/>
      <c r="Z622" s="272"/>
      <c r="AA622" s="113"/>
      <c r="AB622" s="258"/>
      <c r="AC622" s="258"/>
      <c r="AD622" s="127"/>
      <c r="AE622" s="127"/>
      <c r="AF622" s="258"/>
    </row>
    <row r="623">
      <c r="A623" s="267"/>
      <c r="B623" s="267"/>
      <c r="C623" s="268"/>
      <c r="D623" s="121"/>
      <c r="E623" s="128"/>
      <c r="F623" s="175"/>
      <c r="G623" s="128"/>
      <c r="H623" s="123"/>
      <c r="I623" s="128"/>
      <c r="J623" s="128"/>
      <c r="K623" s="128"/>
      <c r="L623" s="128"/>
      <c r="M623" s="269"/>
      <c r="N623" s="128"/>
      <c r="O623" s="267"/>
      <c r="P623" s="128"/>
      <c r="Q623" s="128"/>
      <c r="R623" s="128"/>
      <c r="S623" s="132"/>
      <c r="T623" s="269"/>
      <c r="U623" s="128"/>
      <c r="V623" s="128"/>
      <c r="W623" s="128"/>
      <c r="X623" s="128"/>
      <c r="Y623" s="128"/>
      <c r="Z623" s="270"/>
      <c r="AA623" s="128"/>
      <c r="AB623" s="267"/>
      <c r="AC623" s="267"/>
      <c r="AD623" s="139"/>
      <c r="AE623" s="139"/>
      <c r="AF623" s="267"/>
    </row>
    <row r="624">
      <c r="A624" s="258"/>
      <c r="B624" s="258"/>
      <c r="C624" s="259"/>
      <c r="D624" s="126"/>
      <c r="E624" s="113"/>
      <c r="F624" s="112"/>
      <c r="G624" s="113"/>
      <c r="H624" s="136"/>
      <c r="I624" s="113"/>
      <c r="J624" s="113"/>
      <c r="K624" s="113"/>
      <c r="L624" s="113"/>
      <c r="M624" s="271"/>
      <c r="N624" s="113"/>
      <c r="O624" s="258"/>
      <c r="P624" s="113"/>
      <c r="Q624" s="113"/>
      <c r="R624" s="113"/>
      <c r="S624" s="118"/>
      <c r="T624" s="271"/>
      <c r="U624" s="113"/>
      <c r="V624" s="113"/>
      <c r="W624" s="113"/>
      <c r="X624" s="113"/>
      <c r="Y624" s="113"/>
      <c r="Z624" s="272"/>
      <c r="AA624" s="113"/>
      <c r="AB624" s="258"/>
      <c r="AC624" s="258"/>
      <c r="AD624" s="127"/>
      <c r="AE624" s="127"/>
      <c r="AF624" s="258"/>
    </row>
    <row r="625">
      <c r="A625" s="267"/>
      <c r="B625" s="267"/>
      <c r="C625" s="268"/>
      <c r="D625" s="121"/>
      <c r="E625" s="128"/>
      <c r="F625" s="175"/>
      <c r="G625" s="128"/>
      <c r="H625" s="123"/>
      <c r="I625" s="128"/>
      <c r="J625" s="128"/>
      <c r="K625" s="128"/>
      <c r="L625" s="128"/>
      <c r="M625" s="269"/>
      <c r="N625" s="128"/>
      <c r="O625" s="267"/>
      <c r="P625" s="128"/>
      <c r="Q625" s="128"/>
      <c r="R625" s="128"/>
      <c r="S625" s="132"/>
      <c r="T625" s="269"/>
      <c r="U625" s="128"/>
      <c r="V625" s="128"/>
      <c r="W625" s="128"/>
      <c r="X625" s="128"/>
      <c r="Y625" s="128"/>
      <c r="Z625" s="270"/>
      <c r="AA625" s="128"/>
      <c r="AB625" s="267"/>
      <c r="AC625" s="267"/>
      <c r="AD625" s="139"/>
      <c r="AE625" s="139"/>
      <c r="AF625" s="267"/>
    </row>
    <row r="626">
      <c r="A626" s="258"/>
      <c r="B626" s="258"/>
      <c r="C626" s="259"/>
      <c r="D626" s="126"/>
      <c r="E626" s="113"/>
      <c r="F626" s="112"/>
      <c r="G626" s="113"/>
      <c r="H626" s="136"/>
      <c r="I626" s="113"/>
      <c r="J626" s="113"/>
      <c r="K626" s="113"/>
      <c r="L626" s="113"/>
      <c r="M626" s="271"/>
      <c r="N626" s="113"/>
      <c r="O626" s="258"/>
      <c r="P626" s="113"/>
      <c r="Q626" s="113"/>
      <c r="R626" s="113"/>
      <c r="S626" s="118"/>
      <c r="T626" s="271"/>
      <c r="U626" s="113"/>
      <c r="V626" s="113"/>
      <c r="W626" s="113"/>
      <c r="X626" s="113"/>
      <c r="Y626" s="113"/>
      <c r="Z626" s="272"/>
      <c r="AA626" s="113"/>
      <c r="AB626" s="258"/>
      <c r="AC626" s="258"/>
      <c r="AD626" s="127"/>
      <c r="AE626" s="127"/>
      <c r="AF626" s="258"/>
    </row>
    <row r="627">
      <c r="A627" s="267"/>
      <c r="B627" s="267"/>
      <c r="C627" s="268"/>
      <c r="D627" s="121"/>
      <c r="E627" s="128"/>
      <c r="F627" s="175"/>
      <c r="G627" s="128"/>
      <c r="H627" s="123"/>
      <c r="I627" s="128"/>
      <c r="J627" s="128"/>
      <c r="K627" s="128"/>
      <c r="L627" s="128"/>
      <c r="M627" s="269"/>
      <c r="N627" s="128"/>
      <c r="O627" s="267"/>
      <c r="P627" s="128"/>
      <c r="Q627" s="128"/>
      <c r="R627" s="128"/>
      <c r="S627" s="132"/>
      <c r="T627" s="269"/>
      <c r="U627" s="128"/>
      <c r="V627" s="128"/>
      <c r="W627" s="128"/>
      <c r="X627" s="128"/>
      <c r="Y627" s="128"/>
      <c r="Z627" s="270"/>
      <c r="AA627" s="128"/>
      <c r="AB627" s="267"/>
      <c r="AC627" s="267"/>
      <c r="AD627" s="139"/>
      <c r="AE627" s="139"/>
      <c r="AF627" s="267"/>
    </row>
    <row r="628">
      <c r="A628" s="258"/>
      <c r="B628" s="258"/>
      <c r="C628" s="259"/>
      <c r="D628" s="126"/>
      <c r="E628" s="113"/>
      <c r="F628" s="112"/>
      <c r="G628" s="113"/>
      <c r="H628" s="136"/>
      <c r="I628" s="113"/>
      <c r="J628" s="113"/>
      <c r="K628" s="113"/>
      <c r="L628" s="113"/>
      <c r="M628" s="271"/>
      <c r="N628" s="113"/>
      <c r="O628" s="258"/>
      <c r="P628" s="113"/>
      <c r="Q628" s="113"/>
      <c r="R628" s="113"/>
      <c r="S628" s="118"/>
      <c r="T628" s="271"/>
      <c r="U628" s="113"/>
      <c r="V628" s="113"/>
      <c r="W628" s="113"/>
      <c r="X628" s="113"/>
      <c r="Y628" s="113"/>
      <c r="Z628" s="272"/>
      <c r="AA628" s="113"/>
      <c r="AB628" s="258"/>
      <c r="AC628" s="258"/>
      <c r="AD628" s="127"/>
      <c r="AE628" s="127"/>
      <c r="AF628" s="258"/>
    </row>
    <row r="629">
      <c r="A629" s="267"/>
      <c r="B629" s="267"/>
      <c r="C629" s="268"/>
      <c r="D629" s="121"/>
      <c r="E629" s="128"/>
      <c r="F629" s="175"/>
      <c r="G629" s="128"/>
      <c r="H629" s="123"/>
      <c r="I629" s="128"/>
      <c r="J629" s="128"/>
      <c r="K629" s="128"/>
      <c r="L629" s="128"/>
      <c r="M629" s="269"/>
      <c r="N629" s="128"/>
      <c r="O629" s="267"/>
      <c r="P629" s="128"/>
      <c r="Q629" s="128"/>
      <c r="R629" s="128"/>
      <c r="S629" s="132"/>
      <c r="T629" s="269"/>
      <c r="U629" s="128"/>
      <c r="V629" s="128"/>
      <c r="W629" s="128"/>
      <c r="X629" s="128"/>
      <c r="Y629" s="128"/>
      <c r="Z629" s="270"/>
      <c r="AA629" s="128"/>
      <c r="AB629" s="267"/>
      <c r="AC629" s="267"/>
      <c r="AD629" s="139"/>
      <c r="AE629" s="139"/>
      <c r="AF629" s="267"/>
    </row>
    <row r="630">
      <c r="A630" s="258"/>
      <c r="B630" s="258"/>
      <c r="C630" s="259"/>
      <c r="D630" s="126"/>
      <c r="E630" s="113"/>
      <c r="F630" s="112"/>
      <c r="G630" s="113"/>
      <c r="H630" s="136"/>
      <c r="I630" s="113"/>
      <c r="J630" s="113"/>
      <c r="K630" s="113"/>
      <c r="L630" s="113"/>
      <c r="M630" s="271"/>
      <c r="N630" s="113"/>
      <c r="O630" s="258"/>
      <c r="P630" s="113"/>
      <c r="Q630" s="113"/>
      <c r="R630" s="113"/>
      <c r="S630" s="118"/>
      <c r="T630" s="271"/>
      <c r="U630" s="113"/>
      <c r="V630" s="113"/>
      <c r="W630" s="113"/>
      <c r="X630" s="113"/>
      <c r="Y630" s="113"/>
      <c r="Z630" s="272"/>
      <c r="AA630" s="113"/>
      <c r="AB630" s="258"/>
      <c r="AC630" s="258"/>
      <c r="AD630" s="127"/>
      <c r="AE630" s="127"/>
      <c r="AF630" s="258"/>
    </row>
    <row r="631">
      <c r="A631" s="267"/>
      <c r="B631" s="267"/>
      <c r="C631" s="268"/>
      <c r="D631" s="121"/>
      <c r="E631" s="128"/>
      <c r="F631" s="175"/>
      <c r="G631" s="128"/>
      <c r="H631" s="123"/>
      <c r="I631" s="128"/>
      <c r="J631" s="128"/>
      <c r="K631" s="128"/>
      <c r="L631" s="128"/>
      <c r="M631" s="269"/>
      <c r="N631" s="128"/>
      <c r="O631" s="267"/>
      <c r="P631" s="128"/>
      <c r="Q631" s="128"/>
      <c r="R631" s="128"/>
      <c r="S631" s="132"/>
      <c r="T631" s="269"/>
      <c r="U631" s="128"/>
      <c r="V631" s="128"/>
      <c r="W631" s="128"/>
      <c r="X631" s="128"/>
      <c r="Y631" s="128"/>
      <c r="Z631" s="270"/>
      <c r="AA631" s="128"/>
      <c r="AB631" s="267"/>
      <c r="AC631" s="267"/>
      <c r="AD631" s="139"/>
      <c r="AE631" s="139"/>
      <c r="AF631" s="267"/>
    </row>
    <row r="632">
      <c r="A632" s="258"/>
      <c r="B632" s="258"/>
      <c r="C632" s="259"/>
      <c r="D632" s="126"/>
      <c r="E632" s="113"/>
      <c r="F632" s="112"/>
      <c r="G632" s="113"/>
      <c r="H632" s="136"/>
      <c r="I632" s="113"/>
      <c r="J632" s="113"/>
      <c r="K632" s="113"/>
      <c r="L632" s="113"/>
      <c r="M632" s="271"/>
      <c r="N632" s="113"/>
      <c r="O632" s="258"/>
      <c r="P632" s="113"/>
      <c r="Q632" s="113"/>
      <c r="R632" s="113"/>
      <c r="S632" s="118"/>
      <c r="T632" s="271"/>
      <c r="U632" s="113"/>
      <c r="V632" s="113"/>
      <c r="W632" s="113"/>
      <c r="X632" s="113"/>
      <c r="Y632" s="113"/>
      <c r="Z632" s="272"/>
      <c r="AA632" s="113"/>
      <c r="AB632" s="258"/>
      <c r="AC632" s="258"/>
      <c r="AD632" s="127"/>
      <c r="AE632" s="127"/>
      <c r="AF632" s="258"/>
    </row>
    <row r="633">
      <c r="A633" s="267"/>
      <c r="B633" s="267"/>
      <c r="C633" s="268"/>
      <c r="D633" s="121"/>
      <c r="E633" s="128"/>
      <c r="F633" s="175"/>
      <c r="G633" s="128"/>
      <c r="H633" s="123"/>
      <c r="I633" s="128"/>
      <c r="J633" s="128"/>
      <c r="K633" s="128"/>
      <c r="L633" s="128"/>
      <c r="M633" s="269"/>
      <c r="N633" s="128"/>
      <c r="O633" s="267"/>
      <c r="P633" s="128"/>
      <c r="Q633" s="128"/>
      <c r="R633" s="128"/>
      <c r="S633" s="132"/>
      <c r="T633" s="269"/>
      <c r="U633" s="128"/>
      <c r="V633" s="128"/>
      <c r="W633" s="128"/>
      <c r="X633" s="128"/>
      <c r="Y633" s="128"/>
      <c r="Z633" s="270"/>
      <c r="AA633" s="128"/>
      <c r="AB633" s="267"/>
      <c r="AC633" s="267"/>
      <c r="AD633" s="139"/>
      <c r="AE633" s="139"/>
      <c r="AF633" s="267"/>
    </row>
    <row r="634">
      <c r="A634" s="258"/>
      <c r="B634" s="258"/>
      <c r="C634" s="259"/>
      <c r="D634" s="126"/>
      <c r="E634" s="113"/>
      <c r="F634" s="112"/>
      <c r="G634" s="113"/>
      <c r="H634" s="136"/>
      <c r="I634" s="113"/>
      <c r="J634" s="113"/>
      <c r="K634" s="113"/>
      <c r="L634" s="113"/>
      <c r="M634" s="271"/>
      <c r="N634" s="113"/>
      <c r="O634" s="258"/>
      <c r="P634" s="113"/>
      <c r="Q634" s="113"/>
      <c r="R634" s="113"/>
      <c r="S634" s="118"/>
      <c r="T634" s="271"/>
      <c r="U634" s="113"/>
      <c r="V634" s="113"/>
      <c r="W634" s="113"/>
      <c r="X634" s="113"/>
      <c r="Y634" s="113"/>
      <c r="Z634" s="272"/>
      <c r="AA634" s="113"/>
      <c r="AB634" s="258"/>
      <c r="AC634" s="258"/>
      <c r="AD634" s="127"/>
      <c r="AE634" s="127"/>
      <c r="AF634" s="258"/>
    </row>
    <row r="635">
      <c r="A635" s="267"/>
      <c r="B635" s="267"/>
      <c r="C635" s="268"/>
      <c r="D635" s="121"/>
      <c r="E635" s="128"/>
      <c r="F635" s="175"/>
      <c r="G635" s="128"/>
      <c r="H635" s="123"/>
      <c r="I635" s="128"/>
      <c r="J635" s="128"/>
      <c r="K635" s="128"/>
      <c r="L635" s="128"/>
      <c r="M635" s="269"/>
      <c r="N635" s="128"/>
      <c r="O635" s="267"/>
      <c r="P635" s="128"/>
      <c r="Q635" s="128"/>
      <c r="R635" s="128"/>
      <c r="S635" s="132"/>
      <c r="T635" s="269"/>
      <c r="U635" s="128"/>
      <c r="V635" s="128"/>
      <c r="W635" s="128"/>
      <c r="X635" s="128"/>
      <c r="Y635" s="128"/>
      <c r="Z635" s="270"/>
      <c r="AA635" s="128"/>
      <c r="AB635" s="267"/>
      <c r="AC635" s="267"/>
      <c r="AD635" s="139"/>
      <c r="AE635" s="139"/>
      <c r="AF635" s="267"/>
    </row>
    <row r="636">
      <c r="A636" s="258"/>
      <c r="B636" s="258"/>
      <c r="C636" s="259"/>
      <c r="D636" s="126"/>
      <c r="E636" s="113"/>
      <c r="F636" s="112"/>
      <c r="G636" s="113"/>
      <c r="H636" s="136"/>
      <c r="I636" s="113"/>
      <c r="J636" s="113"/>
      <c r="K636" s="113"/>
      <c r="L636" s="113"/>
      <c r="M636" s="271"/>
      <c r="N636" s="113"/>
      <c r="O636" s="258"/>
      <c r="P636" s="113"/>
      <c r="Q636" s="113"/>
      <c r="R636" s="113"/>
      <c r="S636" s="118"/>
      <c r="T636" s="271"/>
      <c r="U636" s="113"/>
      <c r="V636" s="113"/>
      <c r="W636" s="113"/>
      <c r="X636" s="113"/>
      <c r="Y636" s="113"/>
      <c r="Z636" s="272"/>
      <c r="AA636" s="113"/>
      <c r="AB636" s="258"/>
      <c r="AC636" s="258"/>
      <c r="AD636" s="127"/>
      <c r="AE636" s="127"/>
      <c r="AF636" s="258"/>
    </row>
    <row r="637">
      <c r="A637" s="267"/>
      <c r="B637" s="267"/>
      <c r="C637" s="268"/>
      <c r="D637" s="121"/>
      <c r="E637" s="128"/>
      <c r="F637" s="175"/>
      <c r="G637" s="128"/>
      <c r="H637" s="123"/>
      <c r="I637" s="128"/>
      <c r="J637" s="128"/>
      <c r="K637" s="128"/>
      <c r="L637" s="128"/>
      <c r="M637" s="269"/>
      <c r="N637" s="128"/>
      <c r="O637" s="267"/>
      <c r="P637" s="128"/>
      <c r="Q637" s="128"/>
      <c r="R637" s="128"/>
      <c r="S637" s="132"/>
      <c r="T637" s="269"/>
      <c r="U637" s="128"/>
      <c r="V637" s="128"/>
      <c r="W637" s="128"/>
      <c r="X637" s="128"/>
      <c r="Y637" s="128"/>
      <c r="Z637" s="270"/>
      <c r="AA637" s="128"/>
      <c r="AB637" s="267"/>
      <c r="AC637" s="267"/>
      <c r="AD637" s="139"/>
      <c r="AE637" s="139"/>
      <c r="AF637" s="267"/>
    </row>
    <row r="638">
      <c r="A638" s="258"/>
      <c r="B638" s="258"/>
      <c r="C638" s="259"/>
      <c r="D638" s="126"/>
      <c r="E638" s="113"/>
      <c r="F638" s="112"/>
      <c r="G638" s="113"/>
      <c r="H638" s="136"/>
      <c r="I638" s="113"/>
      <c r="J638" s="113"/>
      <c r="K638" s="113"/>
      <c r="L638" s="113"/>
      <c r="M638" s="271"/>
      <c r="N638" s="113"/>
      <c r="O638" s="258"/>
      <c r="P638" s="113"/>
      <c r="Q638" s="113"/>
      <c r="R638" s="113"/>
      <c r="S638" s="118"/>
      <c r="T638" s="271"/>
      <c r="U638" s="113"/>
      <c r="V638" s="113"/>
      <c r="W638" s="113"/>
      <c r="X638" s="113"/>
      <c r="Y638" s="113"/>
      <c r="Z638" s="272"/>
      <c r="AA638" s="113"/>
      <c r="AB638" s="258"/>
      <c r="AC638" s="258"/>
      <c r="AD638" s="127"/>
      <c r="AE638" s="127"/>
      <c r="AF638" s="258"/>
    </row>
    <row r="639">
      <c r="A639" s="267"/>
      <c r="B639" s="267"/>
      <c r="C639" s="268"/>
      <c r="D639" s="121"/>
      <c r="E639" s="128"/>
      <c r="F639" s="175"/>
      <c r="G639" s="128"/>
      <c r="H639" s="123"/>
      <c r="I639" s="128"/>
      <c r="J639" s="128"/>
      <c r="K639" s="128"/>
      <c r="L639" s="128"/>
      <c r="M639" s="269"/>
      <c r="N639" s="128"/>
      <c r="O639" s="267"/>
      <c r="P639" s="128"/>
      <c r="Q639" s="128"/>
      <c r="R639" s="128"/>
      <c r="S639" s="132"/>
      <c r="T639" s="269"/>
      <c r="U639" s="128"/>
      <c r="V639" s="128"/>
      <c r="W639" s="128"/>
      <c r="X639" s="128"/>
      <c r="Y639" s="128"/>
      <c r="Z639" s="270"/>
      <c r="AA639" s="128"/>
      <c r="AB639" s="267"/>
      <c r="AC639" s="267"/>
      <c r="AD639" s="139"/>
      <c r="AE639" s="139"/>
      <c r="AF639" s="267"/>
    </row>
    <row r="640">
      <c r="A640" s="258"/>
      <c r="B640" s="258"/>
      <c r="C640" s="259"/>
      <c r="D640" s="126"/>
      <c r="E640" s="113"/>
      <c r="F640" s="112"/>
      <c r="G640" s="113"/>
      <c r="H640" s="136"/>
      <c r="I640" s="113"/>
      <c r="J640" s="113"/>
      <c r="K640" s="113"/>
      <c r="L640" s="113"/>
      <c r="M640" s="271"/>
      <c r="N640" s="113"/>
      <c r="O640" s="258"/>
      <c r="P640" s="113"/>
      <c r="Q640" s="113"/>
      <c r="R640" s="113"/>
      <c r="S640" s="118"/>
      <c r="T640" s="271"/>
      <c r="U640" s="113"/>
      <c r="V640" s="113"/>
      <c r="W640" s="113"/>
      <c r="X640" s="113"/>
      <c r="Y640" s="113"/>
      <c r="Z640" s="272"/>
      <c r="AA640" s="113"/>
      <c r="AB640" s="258"/>
      <c r="AC640" s="258"/>
      <c r="AD640" s="127"/>
      <c r="AE640" s="127"/>
      <c r="AF640" s="258"/>
    </row>
    <row r="641">
      <c r="A641" s="267"/>
      <c r="B641" s="267"/>
      <c r="C641" s="268"/>
      <c r="D641" s="121"/>
      <c r="E641" s="128"/>
      <c r="F641" s="175"/>
      <c r="G641" s="128"/>
      <c r="H641" s="123"/>
      <c r="I641" s="128"/>
      <c r="J641" s="128"/>
      <c r="K641" s="128"/>
      <c r="L641" s="128"/>
      <c r="M641" s="269"/>
      <c r="N641" s="128"/>
      <c r="O641" s="267"/>
      <c r="P641" s="128"/>
      <c r="Q641" s="128"/>
      <c r="R641" s="128"/>
      <c r="S641" s="132"/>
      <c r="T641" s="269"/>
      <c r="U641" s="128"/>
      <c r="V641" s="128"/>
      <c r="W641" s="128"/>
      <c r="X641" s="128"/>
      <c r="Y641" s="128"/>
      <c r="Z641" s="270"/>
      <c r="AA641" s="128"/>
      <c r="AB641" s="267"/>
      <c r="AC641" s="267"/>
      <c r="AD641" s="139"/>
      <c r="AE641" s="139"/>
      <c r="AF641" s="267"/>
    </row>
    <row r="642">
      <c r="A642" s="258"/>
      <c r="B642" s="258"/>
      <c r="C642" s="259"/>
      <c r="D642" s="126"/>
      <c r="E642" s="113"/>
      <c r="F642" s="112"/>
      <c r="G642" s="113"/>
      <c r="H642" s="136"/>
      <c r="I642" s="113"/>
      <c r="J642" s="113"/>
      <c r="K642" s="113"/>
      <c r="L642" s="113"/>
      <c r="M642" s="271"/>
      <c r="N642" s="113"/>
      <c r="O642" s="258"/>
      <c r="P642" s="113"/>
      <c r="Q642" s="113"/>
      <c r="R642" s="113"/>
      <c r="S642" s="118"/>
      <c r="T642" s="271"/>
      <c r="U642" s="113"/>
      <c r="V642" s="113"/>
      <c r="W642" s="113"/>
      <c r="X642" s="113"/>
      <c r="Y642" s="113"/>
      <c r="Z642" s="272"/>
      <c r="AA642" s="113"/>
      <c r="AB642" s="258"/>
      <c r="AC642" s="258"/>
      <c r="AD642" s="127"/>
      <c r="AE642" s="127"/>
      <c r="AF642" s="258"/>
    </row>
    <row r="643">
      <c r="A643" s="267"/>
      <c r="B643" s="267"/>
      <c r="C643" s="268"/>
      <c r="D643" s="121"/>
      <c r="E643" s="128"/>
      <c r="F643" s="175"/>
      <c r="G643" s="128"/>
      <c r="H643" s="123"/>
      <c r="I643" s="128"/>
      <c r="J643" s="128"/>
      <c r="K643" s="128"/>
      <c r="L643" s="128"/>
      <c r="M643" s="269"/>
      <c r="N643" s="128"/>
      <c r="O643" s="267"/>
      <c r="P643" s="128"/>
      <c r="Q643" s="128"/>
      <c r="R643" s="128"/>
      <c r="S643" s="132"/>
      <c r="T643" s="269"/>
      <c r="U643" s="128"/>
      <c r="V643" s="128"/>
      <c r="W643" s="128"/>
      <c r="X643" s="128"/>
      <c r="Y643" s="128"/>
      <c r="Z643" s="270"/>
      <c r="AA643" s="128"/>
      <c r="AB643" s="267"/>
      <c r="AC643" s="267"/>
      <c r="AD643" s="139"/>
      <c r="AE643" s="139"/>
      <c r="AF643" s="267"/>
    </row>
    <row r="644">
      <c r="A644" s="258"/>
      <c r="B644" s="258"/>
      <c r="C644" s="259"/>
      <c r="D644" s="126"/>
      <c r="E644" s="113"/>
      <c r="F644" s="112"/>
      <c r="G644" s="113"/>
      <c r="H644" s="136"/>
      <c r="I644" s="113"/>
      <c r="J644" s="113"/>
      <c r="K644" s="113"/>
      <c r="L644" s="113"/>
      <c r="M644" s="271"/>
      <c r="N644" s="113"/>
      <c r="O644" s="258"/>
      <c r="P644" s="113"/>
      <c r="Q644" s="113"/>
      <c r="R644" s="113"/>
      <c r="S644" s="118"/>
      <c r="T644" s="271"/>
      <c r="U644" s="113"/>
      <c r="V644" s="113"/>
      <c r="W644" s="113"/>
      <c r="X644" s="113"/>
      <c r="Y644" s="113"/>
      <c r="Z644" s="272"/>
      <c r="AA644" s="113"/>
      <c r="AB644" s="258"/>
      <c r="AC644" s="258"/>
      <c r="AD644" s="127"/>
      <c r="AE644" s="127"/>
      <c r="AF644" s="258"/>
    </row>
    <row r="645">
      <c r="A645" s="267"/>
      <c r="B645" s="267"/>
      <c r="C645" s="268"/>
      <c r="D645" s="121"/>
      <c r="E645" s="128"/>
      <c r="F645" s="175"/>
      <c r="G645" s="128"/>
      <c r="H645" s="123"/>
      <c r="I645" s="128"/>
      <c r="J645" s="128"/>
      <c r="K645" s="128"/>
      <c r="L645" s="128"/>
      <c r="M645" s="269"/>
      <c r="N645" s="128"/>
      <c r="O645" s="267"/>
      <c r="P645" s="128"/>
      <c r="Q645" s="128"/>
      <c r="R645" s="128"/>
      <c r="S645" s="132"/>
      <c r="T645" s="269"/>
      <c r="U645" s="128"/>
      <c r="V645" s="128"/>
      <c r="W645" s="128"/>
      <c r="X645" s="128"/>
      <c r="Y645" s="128"/>
      <c r="Z645" s="270"/>
      <c r="AA645" s="128"/>
      <c r="AB645" s="267"/>
      <c r="AC645" s="267"/>
      <c r="AD645" s="139"/>
      <c r="AE645" s="139"/>
      <c r="AF645" s="267"/>
    </row>
    <row r="646">
      <c r="A646" s="258"/>
      <c r="B646" s="258"/>
      <c r="C646" s="259"/>
      <c r="D646" s="126"/>
      <c r="E646" s="113"/>
      <c r="F646" s="112"/>
      <c r="G646" s="113"/>
      <c r="H646" s="136"/>
      <c r="I646" s="113"/>
      <c r="J646" s="113"/>
      <c r="K646" s="113"/>
      <c r="L646" s="113"/>
      <c r="M646" s="271"/>
      <c r="N646" s="113"/>
      <c r="O646" s="258"/>
      <c r="P646" s="113"/>
      <c r="Q646" s="113"/>
      <c r="R646" s="113"/>
      <c r="S646" s="118"/>
      <c r="T646" s="271"/>
      <c r="U646" s="113"/>
      <c r="V646" s="113"/>
      <c r="W646" s="113"/>
      <c r="X646" s="113"/>
      <c r="Y646" s="113"/>
      <c r="Z646" s="272"/>
      <c r="AA646" s="113"/>
      <c r="AB646" s="258"/>
      <c r="AC646" s="258"/>
      <c r="AD646" s="127"/>
      <c r="AE646" s="127"/>
      <c r="AF646" s="258"/>
    </row>
    <row r="647">
      <c r="A647" s="267"/>
      <c r="B647" s="267"/>
      <c r="C647" s="268"/>
      <c r="D647" s="121"/>
      <c r="E647" s="128"/>
      <c r="F647" s="175"/>
      <c r="G647" s="128"/>
      <c r="H647" s="123"/>
      <c r="I647" s="128"/>
      <c r="J647" s="128"/>
      <c r="K647" s="128"/>
      <c r="L647" s="128"/>
      <c r="M647" s="269"/>
      <c r="N647" s="128"/>
      <c r="O647" s="267"/>
      <c r="P647" s="128"/>
      <c r="Q647" s="128"/>
      <c r="R647" s="128"/>
      <c r="S647" s="132"/>
      <c r="T647" s="269"/>
      <c r="U647" s="128"/>
      <c r="V647" s="128"/>
      <c r="W647" s="128"/>
      <c r="X647" s="128"/>
      <c r="Y647" s="128"/>
      <c r="Z647" s="270"/>
      <c r="AA647" s="128"/>
      <c r="AB647" s="267"/>
      <c r="AC647" s="267"/>
      <c r="AD647" s="139"/>
      <c r="AE647" s="139"/>
      <c r="AF647" s="267"/>
    </row>
    <row r="648">
      <c r="A648" s="258"/>
      <c r="B648" s="258"/>
      <c r="C648" s="259"/>
      <c r="D648" s="126"/>
      <c r="E648" s="113"/>
      <c r="F648" s="112"/>
      <c r="G648" s="113"/>
      <c r="H648" s="136"/>
      <c r="I648" s="113"/>
      <c r="J648" s="113"/>
      <c r="K648" s="113"/>
      <c r="L648" s="113"/>
      <c r="M648" s="271"/>
      <c r="N648" s="113"/>
      <c r="O648" s="258"/>
      <c r="P648" s="113"/>
      <c r="Q648" s="113"/>
      <c r="R648" s="113"/>
      <c r="S648" s="118"/>
      <c r="T648" s="271"/>
      <c r="U648" s="113"/>
      <c r="V648" s="113"/>
      <c r="W648" s="113"/>
      <c r="X648" s="113"/>
      <c r="Y648" s="113"/>
      <c r="Z648" s="272"/>
      <c r="AA648" s="113"/>
      <c r="AB648" s="258"/>
      <c r="AC648" s="258"/>
      <c r="AD648" s="127"/>
      <c r="AE648" s="127"/>
      <c r="AF648" s="258"/>
    </row>
    <row r="649">
      <c r="A649" s="267"/>
      <c r="B649" s="267"/>
      <c r="C649" s="268"/>
      <c r="D649" s="121"/>
      <c r="E649" s="128"/>
      <c r="F649" s="175"/>
      <c r="G649" s="128"/>
      <c r="H649" s="123"/>
      <c r="I649" s="128"/>
      <c r="J649" s="128"/>
      <c r="K649" s="128"/>
      <c r="L649" s="128"/>
      <c r="M649" s="269"/>
      <c r="N649" s="128"/>
      <c r="O649" s="267"/>
      <c r="P649" s="128"/>
      <c r="Q649" s="128"/>
      <c r="R649" s="128"/>
      <c r="S649" s="132"/>
      <c r="T649" s="269"/>
      <c r="U649" s="128"/>
      <c r="V649" s="128"/>
      <c r="W649" s="128"/>
      <c r="X649" s="128"/>
      <c r="Y649" s="128"/>
      <c r="Z649" s="270"/>
      <c r="AA649" s="128"/>
      <c r="AB649" s="267"/>
      <c r="AC649" s="267"/>
      <c r="AD649" s="139"/>
      <c r="AE649" s="139"/>
      <c r="AF649" s="267"/>
    </row>
    <row r="650">
      <c r="A650" s="258"/>
      <c r="B650" s="258"/>
      <c r="C650" s="259"/>
      <c r="D650" s="126"/>
      <c r="E650" s="113"/>
      <c r="F650" s="112"/>
      <c r="G650" s="113"/>
      <c r="H650" s="136"/>
      <c r="I650" s="113"/>
      <c r="J650" s="113"/>
      <c r="K650" s="113"/>
      <c r="L650" s="113"/>
      <c r="M650" s="271"/>
      <c r="N650" s="113"/>
      <c r="O650" s="258"/>
      <c r="P650" s="113"/>
      <c r="Q650" s="113"/>
      <c r="R650" s="113"/>
      <c r="S650" s="118"/>
      <c r="T650" s="271"/>
      <c r="U650" s="113"/>
      <c r="V650" s="113"/>
      <c r="W650" s="113"/>
      <c r="X650" s="113"/>
      <c r="Y650" s="113"/>
      <c r="Z650" s="272"/>
      <c r="AA650" s="113"/>
      <c r="AB650" s="258"/>
      <c r="AC650" s="258"/>
      <c r="AD650" s="127"/>
      <c r="AE650" s="127"/>
      <c r="AF650" s="258"/>
    </row>
    <row r="651">
      <c r="A651" s="267"/>
      <c r="B651" s="267"/>
      <c r="C651" s="268"/>
      <c r="D651" s="121"/>
      <c r="E651" s="128"/>
      <c r="F651" s="175"/>
      <c r="G651" s="128"/>
      <c r="H651" s="123"/>
      <c r="I651" s="128"/>
      <c r="J651" s="128"/>
      <c r="K651" s="128"/>
      <c r="L651" s="128"/>
      <c r="M651" s="269"/>
      <c r="N651" s="128"/>
      <c r="O651" s="267"/>
      <c r="P651" s="128"/>
      <c r="Q651" s="128"/>
      <c r="R651" s="128"/>
      <c r="S651" s="132"/>
      <c r="T651" s="269"/>
      <c r="U651" s="128"/>
      <c r="V651" s="128"/>
      <c r="W651" s="128"/>
      <c r="X651" s="128"/>
      <c r="Y651" s="128"/>
      <c r="Z651" s="270"/>
      <c r="AA651" s="128"/>
      <c r="AB651" s="267"/>
      <c r="AC651" s="267"/>
      <c r="AD651" s="139"/>
      <c r="AE651" s="139"/>
      <c r="AF651" s="267"/>
    </row>
    <row r="652">
      <c r="A652" s="258"/>
      <c r="B652" s="258"/>
      <c r="C652" s="259"/>
      <c r="D652" s="126"/>
      <c r="E652" s="113"/>
      <c r="F652" s="112"/>
      <c r="G652" s="113"/>
      <c r="H652" s="136"/>
      <c r="I652" s="113"/>
      <c r="J652" s="113"/>
      <c r="K652" s="113"/>
      <c r="L652" s="113"/>
      <c r="M652" s="271"/>
      <c r="N652" s="113"/>
      <c r="O652" s="258"/>
      <c r="P652" s="113"/>
      <c r="Q652" s="113"/>
      <c r="R652" s="113"/>
      <c r="S652" s="118"/>
      <c r="T652" s="271"/>
      <c r="U652" s="113"/>
      <c r="V652" s="113"/>
      <c r="W652" s="113"/>
      <c r="X652" s="113"/>
      <c r="Y652" s="113"/>
      <c r="Z652" s="272"/>
      <c r="AA652" s="113"/>
      <c r="AB652" s="258"/>
      <c r="AC652" s="258"/>
      <c r="AD652" s="127"/>
      <c r="AE652" s="127"/>
      <c r="AF652" s="258"/>
    </row>
    <row r="653">
      <c r="A653" s="267"/>
      <c r="B653" s="267"/>
      <c r="C653" s="268"/>
      <c r="D653" s="121"/>
      <c r="E653" s="128"/>
      <c r="F653" s="175"/>
      <c r="G653" s="128"/>
      <c r="H653" s="123"/>
      <c r="I653" s="128"/>
      <c r="J653" s="128"/>
      <c r="K653" s="128"/>
      <c r="L653" s="128"/>
      <c r="M653" s="269"/>
      <c r="N653" s="128"/>
      <c r="O653" s="267"/>
      <c r="P653" s="128"/>
      <c r="Q653" s="128"/>
      <c r="R653" s="128"/>
      <c r="S653" s="132"/>
      <c r="T653" s="269"/>
      <c r="U653" s="128"/>
      <c r="V653" s="128"/>
      <c r="W653" s="128"/>
      <c r="X653" s="128"/>
      <c r="Y653" s="128"/>
      <c r="Z653" s="270"/>
      <c r="AA653" s="128"/>
      <c r="AB653" s="267"/>
      <c r="AC653" s="267"/>
      <c r="AD653" s="139"/>
      <c r="AE653" s="139"/>
      <c r="AF653" s="267"/>
    </row>
    <row r="654">
      <c r="A654" s="258"/>
      <c r="B654" s="258"/>
      <c r="C654" s="259"/>
      <c r="D654" s="126"/>
      <c r="E654" s="113"/>
      <c r="F654" s="112"/>
      <c r="G654" s="113"/>
      <c r="H654" s="136"/>
      <c r="I654" s="113"/>
      <c r="J654" s="113"/>
      <c r="K654" s="113"/>
      <c r="L654" s="113"/>
      <c r="M654" s="271"/>
      <c r="N654" s="113"/>
      <c r="O654" s="258"/>
      <c r="P654" s="113"/>
      <c r="Q654" s="113"/>
      <c r="R654" s="113"/>
      <c r="S654" s="118"/>
      <c r="T654" s="271"/>
      <c r="U654" s="113"/>
      <c r="V654" s="113"/>
      <c r="W654" s="113"/>
      <c r="X654" s="113"/>
      <c r="Y654" s="113"/>
      <c r="Z654" s="272"/>
      <c r="AA654" s="113"/>
      <c r="AB654" s="258"/>
      <c r="AC654" s="258"/>
      <c r="AD654" s="127"/>
      <c r="AE654" s="127"/>
      <c r="AF654" s="258"/>
    </row>
    <row r="655">
      <c r="A655" s="267"/>
      <c r="B655" s="267"/>
      <c r="C655" s="268"/>
      <c r="D655" s="121"/>
      <c r="E655" s="128"/>
      <c r="F655" s="175"/>
      <c r="G655" s="128"/>
      <c r="H655" s="123"/>
      <c r="I655" s="128"/>
      <c r="J655" s="128"/>
      <c r="K655" s="128"/>
      <c r="L655" s="128"/>
      <c r="M655" s="269"/>
      <c r="N655" s="128"/>
      <c r="O655" s="267"/>
      <c r="P655" s="128"/>
      <c r="Q655" s="128"/>
      <c r="R655" s="128"/>
      <c r="S655" s="132"/>
      <c r="T655" s="269"/>
      <c r="U655" s="128"/>
      <c r="V655" s="128"/>
      <c r="W655" s="128"/>
      <c r="X655" s="128"/>
      <c r="Y655" s="128"/>
      <c r="Z655" s="270"/>
      <c r="AA655" s="128"/>
      <c r="AB655" s="267"/>
      <c r="AC655" s="267"/>
      <c r="AD655" s="139"/>
      <c r="AE655" s="139"/>
      <c r="AF655" s="267"/>
    </row>
    <row r="656">
      <c r="A656" s="258"/>
      <c r="B656" s="258"/>
      <c r="C656" s="259"/>
      <c r="D656" s="126"/>
      <c r="E656" s="113"/>
      <c r="F656" s="112"/>
      <c r="G656" s="113"/>
      <c r="H656" s="136"/>
      <c r="I656" s="113"/>
      <c r="J656" s="113"/>
      <c r="K656" s="113"/>
      <c r="L656" s="113"/>
      <c r="M656" s="271"/>
      <c r="N656" s="113"/>
      <c r="O656" s="258"/>
      <c r="P656" s="113"/>
      <c r="Q656" s="113"/>
      <c r="R656" s="113"/>
      <c r="S656" s="118"/>
      <c r="T656" s="271"/>
      <c r="U656" s="113"/>
      <c r="V656" s="113"/>
      <c r="W656" s="113"/>
      <c r="X656" s="113"/>
      <c r="Y656" s="113"/>
      <c r="Z656" s="272"/>
      <c r="AA656" s="113"/>
      <c r="AB656" s="258"/>
      <c r="AC656" s="258"/>
      <c r="AD656" s="127"/>
      <c r="AE656" s="127"/>
      <c r="AF656" s="258"/>
    </row>
    <row r="657">
      <c r="A657" s="267"/>
      <c r="B657" s="267"/>
      <c r="C657" s="268"/>
      <c r="D657" s="121"/>
      <c r="E657" s="128"/>
      <c r="F657" s="175"/>
      <c r="G657" s="128"/>
      <c r="H657" s="123"/>
      <c r="I657" s="128"/>
      <c r="J657" s="128"/>
      <c r="K657" s="128"/>
      <c r="L657" s="128"/>
      <c r="M657" s="269"/>
      <c r="N657" s="128"/>
      <c r="O657" s="267"/>
      <c r="P657" s="128"/>
      <c r="Q657" s="128"/>
      <c r="R657" s="128"/>
      <c r="S657" s="132"/>
      <c r="T657" s="269"/>
      <c r="U657" s="128"/>
      <c r="V657" s="128"/>
      <c r="W657" s="128"/>
      <c r="X657" s="128"/>
      <c r="Y657" s="128"/>
      <c r="Z657" s="270"/>
      <c r="AA657" s="128"/>
      <c r="AB657" s="267"/>
      <c r="AC657" s="267"/>
      <c r="AD657" s="139"/>
      <c r="AE657" s="139"/>
      <c r="AF657" s="267"/>
    </row>
    <row r="658">
      <c r="A658" s="258"/>
      <c r="B658" s="258"/>
      <c r="C658" s="259"/>
      <c r="D658" s="126"/>
      <c r="E658" s="113"/>
      <c r="F658" s="112"/>
      <c r="G658" s="113"/>
      <c r="H658" s="136"/>
      <c r="I658" s="113"/>
      <c r="J658" s="113"/>
      <c r="K658" s="113"/>
      <c r="L658" s="113"/>
      <c r="M658" s="271"/>
      <c r="N658" s="113"/>
      <c r="O658" s="258"/>
      <c r="P658" s="113"/>
      <c r="Q658" s="113"/>
      <c r="R658" s="113"/>
      <c r="S658" s="118"/>
      <c r="T658" s="271"/>
      <c r="U658" s="113"/>
      <c r="V658" s="113"/>
      <c r="W658" s="113"/>
      <c r="X658" s="113"/>
      <c r="Y658" s="113"/>
      <c r="Z658" s="272"/>
      <c r="AA658" s="113"/>
      <c r="AB658" s="258"/>
      <c r="AC658" s="258"/>
      <c r="AD658" s="127"/>
      <c r="AE658" s="127"/>
      <c r="AF658" s="258"/>
    </row>
    <row r="659">
      <c r="A659" s="267"/>
      <c r="B659" s="267"/>
      <c r="C659" s="268"/>
      <c r="D659" s="121"/>
      <c r="E659" s="128"/>
      <c r="F659" s="175"/>
      <c r="G659" s="128"/>
      <c r="H659" s="123"/>
      <c r="I659" s="128"/>
      <c r="J659" s="128"/>
      <c r="K659" s="128"/>
      <c r="L659" s="128"/>
      <c r="M659" s="269"/>
      <c r="N659" s="128"/>
      <c r="O659" s="267"/>
      <c r="P659" s="128"/>
      <c r="Q659" s="128"/>
      <c r="R659" s="128"/>
      <c r="S659" s="132"/>
      <c r="T659" s="269"/>
      <c r="U659" s="128"/>
      <c r="V659" s="128"/>
      <c r="W659" s="128"/>
      <c r="X659" s="128"/>
      <c r="Y659" s="128"/>
      <c r="Z659" s="270"/>
      <c r="AA659" s="128"/>
      <c r="AB659" s="267"/>
      <c r="AC659" s="267"/>
      <c r="AD659" s="139"/>
      <c r="AE659" s="139"/>
      <c r="AF659" s="267"/>
    </row>
    <row r="660">
      <c r="A660" s="258"/>
      <c r="B660" s="258"/>
      <c r="C660" s="259"/>
      <c r="D660" s="126"/>
      <c r="E660" s="113"/>
      <c r="F660" s="112"/>
      <c r="G660" s="113"/>
      <c r="H660" s="136"/>
      <c r="I660" s="113"/>
      <c r="J660" s="113"/>
      <c r="K660" s="113"/>
      <c r="L660" s="113"/>
      <c r="M660" s="271"/>
      <c r="N660" s="113"/>
      <c r="O660" s="258"/>
      <c r="P660" s="113"/>
      <c r="Q660" s="113"/>
      <c r="R660" s="113"/>
      <c r="S660" s="118"/>
      <c r="T660" s="271"/>
      <c r="U660" s="113"/>
      <c r="V660" s="113"/>
      <c r="W660" s="113"/>
      <c r="X660" s="113"/>
      <c r="Y660" s="113"/>
      <c r="Z660" s="272"/>
      <c r="AA660" s="113"/>
      <c r="AB660" s="258"/>
      <c r="AC660" s="258"/>
      <c r="AD660" s="127"/>
      <c r="AE660" s="127"/>
      <c r="AF660" s="258"/>
    </row>
    <row r="661">
      <c r="A661" s="267"/>
      <c r="B661" s="267"/>
      <c r="C661" s="268"/>
      <c r="D661" s="121"/>
      <c r="E661" s="128"/>
      <c r="F661" s="175"/>
      <c r="G661" s="128"/>
      <c r="H661" s="123"/>
      <c r="I661" s="128"/>
      <c r="J661" s="128"/>
      <c r="K661" s="128"/>
      <c r="L661" s="128"/>
      <c r="M661" s="269"/>
      <c r="N661" s="128"/>
      <c r="O661" s="267"/>
      <c r="P661" s="128"/>
      <c r="Q661" s="128"/>
      <c r="R661" s="128"/>
      <c r="S661" s="132"/>
      <c r="T661" s="269"/>
      <c r="U661" s="128"/>
      <c r="V661" s="128"/>
      <c r="W661" s="128"/>
      <c r="X661" s="128"/>
      <c r="Y661" s="128"/>
      <c r="Z661" s="270"/>
      <c r="AA661" s="128"/>
      <c r="AB661" s="267"/>
      <c r="AC661" s="267"/>
      <c r="AD661" s="139"/>
      <c r="AE661" s="139"/>
      <c r="AF661" s="267"/>
    </row>
    <row r="662">
      <c r="A662" s="258"/>
      <c r="B662" s="258"/>
      <c r="C662" s="259"/>
      <c r="D662" s="126"/>
      <c r="E662" s="113"/>
      <c r="F662" s="112"/>
      <c r="G662" s="113"/>
      <c r="H662" s="136"/>
      <c r="I662" s="113"/>
      <c r="J662" s="113"/>
      <c r="K662" s="113"/>
      <c r="L662" s="113"/>
      <c r="M662" s="271"/>
      <c r="N662" s="113"/>
      <c r="O662" s="258"/>
      <c r="P662" s="113"/>
      <c r="Q662" s="113"/>
      <c r="R662" s="113"/>
      <c r="S662" s="118"/>
      <c r="T662" s="271"/>
      <c r="U662" s="113"/>
      <c r="V662" s="113"/>
      <c r="W662" s="113"/>
      <c r="X662" s="113"/>
      <c r="Y662" s="113"/>
      <c r="Z662" s="272"/>
      <c r="AA662" s="113"/>
      <c r="AB662" s="258"/>
      <c r="AC662" s="258"/>
      <c r="AD662" s="127"/>
      <c r="AE662" s="127"/>
      <c r="AF662" s="258"/>
    </row>
    <row r="663">
      <c r="A663" s="267"/>
      <c r="B663" s="267"/>
      <c r="C663" s="268"/>
      <c r="D663" s="121"/>
      <c r="E663" s="128"/>
      <c r="F663" s="175"/>
      <c r="G663" s="128"/>
      <c r="H663" s="123"/>
      <c r="I663" s="128"/>
      <c r="J663" s="128"/>
      <c r="K663" s="128"/>
      <c r="L663" s="128"/>
      <c r="M663" s="269"/>
      <c r="N663" s="128"/>
      <c r="O663" s="267"/>
      <c r="P663" s="128"/>
      <c r="Q663" s="128"/>
      <c r="R663" s="128"/>
      <c r="S663" s="132"/>
      <c r="T663" s="269"/>
      <c r="U663" s="128"/>
      <c r="V663" s="128"/>
      <c r="W663" s="128"/>
      <c r="X663" s="128"/>
      <c r="Y663" s="128"/>
      <c r="Z663" s="270"/>
      <c r="AA663" s="128"/>
      <c r="AB663" s="267"/>
      <c r="AC663" s="267"/>
      <c r="AD663" s="139"/>
      <c r="AE663" s="139"/>
      <c r="AF663" s="267"/>
    </row>
    <row r="664">
      <c r="A664" s="258"/>
      <c r="B664" s="258"/>
      <c r="C664" s="259"/>
      <c r="D664" s="126"/>
      <c r="E664" s="113"/>
      <c r="F664" s="112"/>
      <c r="G664" s="113"/>
      <c r="H664" s="136"/>
      <c r="I664" s="113"/>
      <c r="J664" s="113"/>
      <c r="K664" s="113"/>
      <c r="L664" s="113"/>
      <c r="M664" s="271"/>
      <c r="N664" s="113"/>
      <c r="O664" s="258"/>
      <c r="P664" s="113"/>
      <c r="Q664" s="113"/>
      <c r="R664" s="113"/>
      <c r="S664" s="118"/>
      <c r="T664" s="271"/>
      <c r="U664" s="113"/>
      <c r="V664" s="113"/>
      <c r="W664" s="113"/>
      <c r="X664" s="113"/>
      <c r="Y664" s="113"/>
      <c r="Z664" s="272"/>
      <c r="AA664" s="113"/>
      <c r="AB664" s="258"/>
      <c r="AC664" s="258"/>
      <c r="AD664" s="127"/>
      <c r="AE664" s="127"/>
      <c r="AF664" s="258"/>
    </row>
    <row r="665">
      <c r="A665" s="267"/>
      <c r="B665" s="267"/>
      <c r="C665" s="268"/>
      <c r="D665" s="121"/>
      <c r="E665" s="128"/>
      <c r="F665" s="175"/>
      <c r="G665" s="128"/>
      <c r="H665" s="123"/>
      <c r="I665" s="128"/>
      <c r="J665" s="128"/>
      <c r="K665" s="128"/>
      <c r="L665" s="128"/>
      <c r="M665" s="269"/>
      <c r="N665" s="128"/>
      <c r="O665" s="267"/>
      <c r="P665" s="128"/>
      <c r="Q665" s="128"/>
      <c r="R665" s="128"/>
      <c r="S665" s="132"/>
      <c r="T665" s="269"/>
      <c r="U665" s="128"/>
      <c r="V665" s="128"/>
      <c r="W665" s="128"/>
      <c r="X665" s="128"/>
      <c r="Y665" s="128"/>
      <c r="Z665" s="270"/>
      <c r="AA665" s="128"/>
      <c r="AB665" s="267"/>
      <c r="AC665" s="267"/>
      <c r="AD665" s="139"/>
      <c r="AE665" s="139"/>
      <c r="AF665" s="267"/>
    </row>
    <row r="666">
      <c r="A666" s="258"/>
      <c r="B666" s="258"/>
      <c r="C666" s="259"/>
      <c r="D666" s="126"/>
      <c r="E666" s="113"/>
      <c r="F666" s="112"/>
      <c r="G666" s="113"/>
      <c r="H666" s="136"/>
      <c r="I666" s="113"/>
      <c r="J666" s="113"/>
      <c r="K666" s="113"/>
      <c r="L666" s="113"/>
      <c r="M666" s="271"/>
      <c r="N666" s="113"/>
      <c r="O666" s="258"/>
      <c r="P666" s="113"/>
      <c r="Q666" s="113"/>
      <c r="R666" s="113"/>
      <c r="S666" s="118"/>
      <c r="T666" s="271"/>
      <c r="U666" s="113"/>
      <c r="V666" s="113"/>
      <c r="W666" s="113"/>
      <c r="X666" s="113"/>
      <c r="Y666" s="113"/>
      <c r="Z666" s="272"/>
      <c r="AA666" s="113"/>
      <c r="AB666" s="258"/>
      <c r="AC666" s="258"/>
      <c r="AD666" s="127"/>
      <c r="AE666" s="127"/>
      <c r="AF666" s="258"/>
    </row>
    <row r="667">
      <c r="A667" s="267"/>
      <c r="B667" s="267"/>
      <c r="C667" s="268"/>
      <c r="D667" s="121"/>
      <c r="E667" s="128"/>
      <c r="F667" s="175"/>
      <c r="G667" s="128"/>
      <c r="H667" s="123"/>
      <c r="I667" s="128"/>
      <c r="J667" s="128"/>
      <c r="K667" s="128"/>
      <c r="L667" s="128"/>
      <c r="M667" s="269"/>
      <c r="N667" s="128"/>
      <c r="O667" s="267"/>
      <c r="P667" s="128"/>
      <c r="Q667" s="128"/>
      <c r="R667" s="128"/>
      <c r="S667" s="132"/>
      <c r="T667" s="269"/>
      <c r="U667" s="128"/>
      <c r="V667" s="128"/>
      <c r="W667" s="128"/>
      <c r="X667" s="128"/>
      <c r="Y667" s="128"/>
      <c r="Z667" s="270"/>
      <c r="AA667" s="128"/>
      <c r="AB667" s="267"/>
      <c r="AC667" s="267"/>
      <c r="AD667" s="139"/>
      <c r="AE667" s="139"/>
      <c r="AF667" s="267"/>
    </row>
    <row r="668">
      <c r="A668" s="258"/>
      <c r="B668" s="258"/>
      <c r="C668" s="259"/>
      <c r="D668" s="126"/>
      <c r="E668" s="113"/>
      <c r="F668" s="112"/>
      <c r="G668" s="113"/>
      <c r="H668" s="136"/>
      <c r="I668" s="113"/>
      <c r="J668" s="113"/>
      <c r="K668" s="113"/>
      <c r="L668" s="113"/>
      <c r="M668" s="271"/>
      <c r="N668" s="113"/>
      <c r="O668" s="258"/>
      <c r="P668" s="113"/>
      <c r="Q668" s="113"/>
      <c r="R668" s="113"/>
      <c r="S668" s="118"/>
      <c r="T668" s="271"/>
      <c r="U668" s="113"/>
      <c r="V668" s="113"/>
      <c r="W668" s="113"/>
      <c r="X668" s="113"/>
      <c r="Y668" s="113"/>
      <c r="Z668" s="272"/>
      <c r="AA668" s="113"/>
      <c r="AB668" s="258"/>
      <c r="AC668" s="258"/>
      <c r="AD668" s="127"/>
      <c r="AE668" s="127"/>
      <c r="AF668" s="258"/>
    </row>
    <row r="669">
      <c r="A669" s="267"/>
      <c r="B669" s="267"/>
      <c r="C669" s="268"/>
      <c r="D669" s="121"/>
      <c r="E669" s="128"/>
      <c r="F669" s="175"/>
      <c r="G669" s="128"/>
      <c r="H669" s="123"/>
      <c r="I669" s="128"/>
      <c r="J669" s="128"/>
      <c r="K669" s="128"/>
      <c r="L669" s="128"/>
      <c r="M669" s="269"/>
      <c r="N669" s="128"/>
      <c r="O669" s="267"/>
      <c r="P669" s="128"/>
      <c r="Q669" s="128"/>
      <c r="R669" s="128"/>
      <c r="S669" s="132"/>
      <c r="T669" s="269"/>
      <c r="U669" s="128"/>
      <c r="V669" s="128"/>
      <c r="W669" s="128"/>
      <c r="X669" s="128"/>
      <c r="Y669" s="128"/>
      <c r="Z669" s="270"/>
      <c r="AA669" s="128"/>
      <c r="AB669" s="267"/>
      <c r="AC669" s="267"/>
      <c r="AD669" s="139"/>
      <c r="AE669" s="139"/>
      <c r="AF669" s="267"/>
    </row>
    <row r="670">
      <c r="A670" s="258"/>
      <c r="B670" s="258"/>
      <c r="C670" s="259"/>
      <c r="D670" s="126"/>
      <c r="E670" s="113"/>
      <c r="F670" s="112"/>
      <c r="G670" s="113"/>
      <c r="H670" s="136"/>
      <c r="I670" s="113"/>
      <c r="J670" s="113"/>
      <c r="K670" s="113"/>
      <c r="L670" s="113"/>
      <c r="M670" s="271"/>
      <c r="N670" s="113"/>
      <c r="O670" s="258"/>
      <c r="P670" s="113"/>
      <c r="Q670" s="113"/>
      <c r="R670" s="113"/>
      <c r="S670" s="118"/>
      <c r="T670" s="271"/>
      <c r="U670" s="113"/>
      <c r="V670" s="113"/>
      <c r="W670" s="113"/>
      <c r="X670" s="113"/>
      <c r="Y670" s="113"/>
      <c r="Z670" s="272"/>
      <c r="AA670" s="113"/>
      <c r="AB670" s="258"/>
      <c r="AC670" s="258"/>
      <c r="AD670" s="127"/>
      <c r="AE670" s="127"/>
      <c r="AF670" s="258"/>
    </row>
    <row r="671">
      <c r="A671" s="267"/>
      <c r="B671" s="267"/>
      <c r="C671" s="268"/>
      <c r="D671" s="121"/>
      <c r="E671" s="128"/>
      <c r="F671" s="175"/>
      <c r="G671" s="128"/>
      <c r="H671" s="123"/>
      <c r="I671" s="128"/>
      <c r="J671" s="128"/>
      <c r="K671" s="128"/>
      <c r="L671" s="128"/>
      <c r="M671" s="269"/>
      <c r="N671" s="128"/>
      <c r="O671" s="267"/>
      <c r="P671" s="128"/>
      <c r="Q671" s="128"/>
      <c r="R671" s="128"/>
      <c r="S671" s="132"/>
      <c r="T671" s="269"/>
      <c r="U671" s="128"/>
      <c r="V671" s="128"/>
      <c r="W671" s="128"/>
      <c r="X671" s="128"/>
      <c r="Y671" s="128"/>
      <c r="Z671" s="270"/>
      <c r="AA671" s="128"/>
      <c r="AB671" s="267"/>
      <c r="AC671" s="267"/>
      <c r="AD671" s="139"/>
      <c r="AE671" s="139"/>
      <c r="AF671" s="267"/>
    </row>
    <row r="672">
      <c r="A672" s="258"/>
      <c r="B672" s="258"/>
      <c r="C672" s="259"/>
      <c r="D672" s="126"/>
      <c r="E672" s="113"/>
      <c r="F672" s="112"/>
      <c r="G672" s="113"/>
      <c r="H672" s="136"/>
      <c r="I672" s="113"/>
      <c r="J672" s="113"/>
      <c r="K672" s="113"/>
      <c r="L672" s="113"/>
      <c r="M672" s="271"/>
      <c r="N672" s="113"/>
      <c r="O672" s="258"/>
      <c r="P672" s="113"/>
      <c r="Q672" s="113"/>
      <c r="R672" s="113"/>
      <c r="S672" s="118"/>
      <c r="T672" s="271"/>
      <c r="U672" s="113"/>
      <c r="V672" s="113"/>
      <c r="W672" s="113"/>
      <c r="X672" s="113"/>
      <c r="Y672" s="113"/>
      <c r="Z672" s="272"/>
      <c r="AA672" s="113"/>
      <c r="AB672" s="258"/>
      <c r="AC672" s="258"/>
      <c r="AD672" s="127"/>
      <c r="AE672" s="127"/>
      <c r="AF672" s="258"/>
    </row>
    <row r="673">
      <c r="A673" s="267"/>
      <c r="B673" s="267"/>
      <c r="C673" s="268"/>
      <c r="D673" s="121"/>
      <c r="E673" s="128"/>
      <c r="F673" s="175"/>
      <c r="G673" s="128"/>
      <c r="H673" s="123"/>
      <c r="I673" s="128"/>
      <c r="J673" s="128"/>
      <c r="K673" s="128"/>
      <c r="L673" s="128"/>
      <c r="M673" s="269"/>
      <c r="N673" s="128"/>
      <c r="O673" s="267"/>
      <c r="P673" s="128"/>
      <c r="Q673" s="128"/>
      <c r="R673" s="128"/>
      <c r="S673" s="132"/>
      <c r="T673" s="269"/>
      <c r="U673" s="128"/>
      <c r="V673" s="128"/>
      <c r="W673" s="128"/>
      <c r="X673" s="128"/>
      <c r="Y673" s="128"/>
      <c r="Z673" s="270"/>
      <c r="AA673" s="128"/>
      <c r="AB673" s="267"/>
      <c r="AC673" s="267"/>
      <c r="AD673" s="139"/>
      <c r="AE673" s="139"/>
      <c r="AF673" s="267"/>
    </row>
    <row r="674">
      <c r="A674" s="258"/>
      <c r="B674" s="258"/>
      <c r="C674" s="259"/>
      <c r="D674" s="126"/>
      <c r="E674" s="113"/>
      <c r="F674" s="112"/>
      <c r="G674" s="113"/>
      <c r="H674" s="136"/>
      <c r="I674" s="113"/>
      <c r="J674" s="113"/>
      <c r="K674" s="113"/>
      <c r="L674" s="113"/>
      <c r="M674" s="271"/>
      <c r="N674" s="113"/>
      <c r="O674" s="258"/>
      <c r="P674" s="113"/>
      <c r="Q674" s="113"/>
      <c r="R674" s="113"/>
      <c r="S674" s="118"/>
      <c r="T674" s="271"/>
      <c r="U674" s="113"/>
      <c r="V674" s="113"/>
      <c r="W674" s="113"/>
      <c r="X674" s="113"/>
      <c r="Y674" s="113"/>
      <c r="Z674" s="272"/>
      <c r="AA674" s="113"/>
      <c r="AB674" s="258"/>
      <c r="AC674" s="258"/>
      <c r="AD674" s="127"/>
      <c r="AE674" s="127"/>
      <c r="AF674" s="258"/>
    </row>
    <row r="675">
      <c r="A675" s="267"/>
      <c r="B675" s="267"/>
      <c r="C675" s="268"/>
      <c r="D675" s="121"/>
      <c r="E675" s="128"/>
      <c r="F675" s="175"/>
      <c r="G675" s="128"/>
      <c r="H675" s="123"/>
      <c r="I675" s="128"/>
      <c r="J675" s="128"/>
      <c r="K675" s="128"/>
      <c r="L675" s="128"/>
      <c r="M675" s="269"/>
      <c r="N675" s="128"/>
      <c r="O675" s="267"/>
      <c r="P675" s="128"/>
      <c r="Q675" s="128"/>
      <c r="R675" s="128"/>
      <c r="S675" s="132"/>
      <c r="T675" s="269"/>
      <c r="U675" s="128"/>
      <c r="V675" s="128"/>
      <c r="W675" s="128"/>
      <c r="X675" s="128"/>
      <c r="Y675" s="128"/>
      <c r="Z675" s="270"/>
      <c r="AA675" s="128"/>
      <c r="AB675" s="267"/>
      <c r="AC675" s="267"/>
      <c r="AD675" s="139"/>
      <c r="AE675" s="139"/>
      <c r="AF675" s="267"/>
    </row>
    <row r="676">
      <c r="A676" s="258"/>
      <c r="B676" s="258"/>
      <c r="C676" s="259"/>
      <c r="D676" s="126"/>
      <c r="E676" s="113"/>
      <c r="F676" s="112"/>
      <c r="G676" s="113"/>
      <c r="H676" s="136"/>
      <c r="I676" s="113"/>
      <c r="J676" s="113"/>
      <c r="K676" s="113"/>
      <c r="L676" s="113"/>
      <c r="M676" s="271"/>
      <c r="N676" s="113"/>
      <c r="O676" s="258"/>
      <c r="P676" s="113"/>
      <c r="Q676" s="113"/>
      <c r="R676" s="113"/>
      <c r="S676" s="118"/>
      <c r="T676" s="271"/>
      <c r="U676" s="113"/>
      <c r="V676" s="113"/>
      <c r="W676" s="113"/>
      <c r="X676" s="113"/>
      <c r="Y676" s="113"/>
      <c r="Z676" s="272"/>
      <c r="AA676" s="113"/>
      <c r="AB676" s="258"/>
      <c r="AC676" s="258"/>
      <c r="AD676" s="127"/>
      <c r="AE676" s="127"/>
      <c r="AF676" s="258"/>
    </row>
    <row r="677">
      <c r="A677" s="267"/>
      <c r="B677" s="267"/>
      <c r="C677" s="268"/>
      <c r="D677" s="121"/>
      <c r="E677" s="128"/>
      <c r="F677" s="175"/>
      <c r="G677" s="128"/>
      <c r="H677" s="123"/>
      <c r="I677" s="128"/>
      <c r="J677" s="128"/>
      <c r="K677" s="128"/>
      <c r="L677" s="128"/>
      <c r="M677" s="269"/>
      <c r="N677" s="128"/>
      <c r="O677" s="267"/>
      <c r="P677" s="128"/>
      <c r="Q677" s="128"/>
      <c r="R677" s="128"/>
      <c r="S677" s="132"/>
      <c r="T677" s="269"/>
      <c r="U677" s="128"/>
      <c r="V677" s="128"/>
      <c r="W677" s="128"/>
      <c r="X677" s="128"/>
      <c r="Y677" s="128"/>
      <c r="Z677" s="270"/>
      <c r="AA677" s="128"/>
      <c r="AB677" s="267"/>
      <c r="AC677" s="267"/>
      <c r="AD677" s="139"/>
      <c r="AE677" s="139"/>
      <c r="AF677" s="267"/>
    </row>
    <row r="678">
      <c r="A678" s="258"/>
      <c r="B678" s="258"/>
      <c r="C678" s="259"/>
      <c r="D678" s="126"/>
      <c r="E678" s="113"/>
      <c r="F678" s="112"/>
      <c r="G678" s="113"/>
      <c r="H678" s="136"/>
      <c r="I678" s="113"/>
      <c r="J678" s="113"/>
      <c r="K678" s="113"/>
      <c r="L678" s="113"/>
      <c r="M678" s="271"/>
      <c r="N678" s="113"/>
      <c r="O678" s="258"/>
      <c r="P678" s="113"/>
      <c r="Q678" s="113"/>
      <c r="R678" s="113"/>
      <c r="S678" s="118"/>
      <c r="T678" s="271"/>
      <c r="U678" s="113"/>
      <c r="V678" s="113"/>
      <c r="W678" s="113"/>
      <c r="X678" s="113"/>
      <c r="Y678" s="113"/>
      <c r="Z678" s="272"/>
      <c r="AA678" s="113"/>
      <c r="AB678" s="258"/>
      <c r="AC678" s="258"/>
      <c r="AD678" s="127"/>
      <c r="AE678" s="127"/>
      <c r="AF678" s="258"/>
    </row>
    <row r="679">
      <c r="A679" s="267"/>
      <c r="B679" s="267"/>
      <c r="C679" s="268"/>
      <c r="D679" s="121"/>
      <c r="E679" s="128"/>
      <c r="F679" s="175"/>
      <c r="G679" s="128"/>
      <c r="H679" s="123"/>
      <c r="I679" s="128"/>
      <c r="J679" s="128"/>
      <c r="K679" s="128"/>
      <c r="L679" s="128"/>
      <c r="M679" s="269"/>
      <c r="N679" s="128"/>
      <c r="O679" s="267"/>
      <c r="P679" s="128"/>
      <c r="Q679" s="128"/>
      <c r="R679" s="128"/>
      <c r="S679" s="132"/>
      <c r="T679" s="269"/>
      <c r="U679" s="128"/>
      <c r="V679" s="128"/>
      <c r="W679" s="128"/>
      <c r="X679" s="128"/>
      <c r="Y679" s="128"/>
      <c r="Z679" s="270"/>
      <c r="AA679" s="128"/>
      <c r="AB679" s="267"/>
      <c r="AC679" s="267"/>
      <c r="AD679" s="139"/>
      <c r="AE679" s="139"/>
      <c r="AF679" s="267"/>
    </row>
    <row r="680">
      <c r="A680" s="258"/>
      <c r="B680" s="258"/>
      <c r="C680" s="259"/>
      <c r="D680" s="126"/>
      <c r="E680" s="113"/>
      <c r="F680" s="112"/>
      <c r="G680" s="113"/>
      <c r="H680" s="136"/>
      <c r="I680" s="113"/>
      <c r="J680" s="113"/>
      <c r="K680" s="113"/>
      <c r="L680" s="113"/>
      <c r="M680" s="271"/>
      <c r="N680" s="113"/>
      <c r="O680" s="258"/>
      <c r="P680" s="113"/>
      <c r="Q680" s="113"/>
      <c r="R680" s="113"/>
      <c r="S680" s="118"/>
      <c r="T680" s="271"/>
      <c r="U680" s="113"/>
      <c r="V680" s="113"/>
      <c r="W680" s="113"/>
      <c r="X680" s="113"/>
      <c r="Y680" s="113"/>
      <c r="Z680" s="272"/>
      <c r="AA680" s="113"/>
      <c r="AB680" s="258"/>
      <c r="AC680" s="258"/>
      <c r="AD680" s="127"/>
      <c r="AE680" s="127"/>
      <c r="AF680" s="258"/>
    </row>
    <row r="681">
      <c r="A681" s="267"/>
      <c r="B681" s="267"/>
      <c r="C681" s="268"/>
      <c r="D681" s="121"/>
      <c r="E681" s="128"/>
      <c r="F681" s="175"/>
      <c r="G681" s="128"/>
      <c r="H681" s="123"/>
      <c r="I681" s="128"/>
      <c r="J681" s="128"/>
      <c r="K681" s="128"/>
      <c r="L681" s="128"/>
      <c r="M681" s="269"/>
      <c r="N681" s="128"/>
      <c r="O681" s="267"/>
      <c r="P681" s="128"/>
      <c r="Q681" s="128"/>
      <c r="R681" s="128"/>
      <c r="S681" s="132"/>
      <c r="T681" s="269"/>
      <c r="U681" s="128"/>
      <c r="V681" s="128"/>
      <c r="W681" s="128"/>
      <c r="X681" s="128"/>
      <c r="Y681" s="128"/>
      <c r="Z681" s="270"/>
      <c r="AA681" s="128"/>
      <c r="AB681" s="267"/>
      <c r="AC681" s="267"/>
      <c r="AD681" s="139"/>
      <c r="AE681" s="139"/>
      <c r="AF681" s="267"/>
    </row>
    <row r="682">
      <c r="A682" s="258"/>
      <c r="B682" s="258"/>
      <c r="C682" s="259"/>
      <c r="D682" s="126"/>
      <c r="E682" s="113"/>
      <c r="F682" s="112"/>
      <c r="G682" s="113"/>
      <c r="H682" s="136"/>
      <c r="I682" s="113"/>
      <c r="J682" s="113"/>
      <c r="K682" s="113"/>
      <c r="L682" s="113"/>
      <c r="M682" s="271"/>
      <c r="N682" s="113"/>
      <c r="O682" s="258"/>
      <c r="P682" s="113"/>
      <c r="Q682" s="113"/>
      <c r="R682" s="113"/>
      <c r="S682" s="118"/>
      <c r="T682" s="271"/>
      <c r="U682" s="113"/>
      <c r="V682" s="113"/>
      <c r="W682" s="113"/>
      <c r="X682" s="113"/>
      <c r="Y682" s="113"/>
      <c r="Z682" s="272"/>
      <c r="AA682" s="113"/>
      <c r="AB682" s="258"/>
      <c r="AC682" s="258"/>
      <c r="AD682" s="127"/>
      <c r="AE682" s="127"/>
      <c r="AF682" s="258"/>
    </row>
    <row r="683">
      <c r="A683" s="267"/>
      <c r="B683" s="267"/>
      <c r="C683" s="268"/>
      <c r="D683" s="121"/>
      <c r="E683" s="128"/>
      <c r="F683" s="175"/>
      <c r="G683" s="128"/>
      <c r="H683" s="123"/>
      <c r="I683" s="128"/>
      <c r="J683" s="128"/>
      <c r="K683" s="128"/>
      <c r="L683" s="128"/>
      <c r="M683" s="269"/>
      <c r="N683" s="128"/>
      <c r="O683" s="267"/>
      <c r="P683" s="128"/>
      <c r="Q683" s="128"/>
      <c r="R683" s="128"/>
      <c r="S683" s="132"/>
      <c r="T683" s="269"/>
      <c r="U683" s="128"/>
      <c r="V683" s="128"/>
      <c r="W683" s="128"/>
      <c r="X683" s="128"/>
      <c r="Y683" s="128"/>
      <c r="Z683" s="270"/>
      <c r="AA683" s="128"/>
      <c r="AB683" s="267"/>
      <c r="AC683" s="267"/>
      <c r="AD683" s="139"/>
      <c r="AE683" s="139"/>
      <c r="AF683" s="267"/>
    </row>
    <row r="684">
      <c r="A684" s="258"/>
      <c r="B684" s="258"/>
      <c r="C684" s="259"/>
      <c r="D684" s="126"/>
      <c r="E684" s="113"/>
      <c r="F684" s="112"/>
      <c r="G684" s="113"/>
      <c r="H684" s="136"/>
      <c r="I684" s="113"/>
      <c r="J684" s="113"/>
      <c r="K684" s="113"/>
      <c r="L684" s="113"/>
      <c r="M684" s="271"/>
      <c r="N684" s="113"/>
      <c r="O684" s="258"/>
      <c r="P684" s="113"/>
      <c r="Q684" s="113"/>
      <c r="R684" s="113"/>
      <c r="S684" s="118"/>
      <c r="T684" s="271"/>
      <c r="U684" s="113"/>
      <c r="V684" s="113"/>
      <c r="W684" s="113"/>
      <c r="X684" s="113"/>
      <c r="Y684" s="113"/>
      <c r="Z684" s="272"/>
      <c r="AA684" s="113"/>
      <c r="AB684" s="258"/>
      <c r="AC684" s="258"/>
      <c r="AD684" s="127"/>
      <c r="AE684" s="127"/>
      <c r="AF684" s="258"/>
    </row>
    <row r="685">
      <c r="A685" s="267"/>
      <c r="B685" s="267"/>
      <c r="C685" s="268"/>
      <c r="D685" s="121"/>
      <c r="E685" s="128"/>
      <c r="F685" s="175"/>
      <c r="G685" s="128"/>
      <c r="H685" s="123"/>
      <c r="I685" s="128"/>
      <c r="J685" s="128"/>
      <c r="K685" s="128"/>
      <c r="L685" s="128"/>
      <c r="M685" s="269"/>
      <c r="N685" s="128"/>
      <c r="O685" s="267"/>
      <c r="P685" s="128"/>
      <c r="Q685" s="128"/>
      <c r="R685" s="128"/>
      <c r="S685" s="132"/>
      <c r="T685" s="269"/>
      <c r="U685" s="128"/>
      <c r="V685" s="128"/>
      <c r="W685" s="128"/>
      <c r="X685" s="128"/>
      <c r="Y685" s="128"/>
      <c r="Z685" s="270"/>
      <c r="AA685" s="128"/>
      <c r="AB685" s="267"/>
      <c r="AC685" s="267"/>
      <c r="AD685" s="139"/>
      <c r="AE685" s="139"/>
      <c r="AF685" s="267"/>
    </row>
    <row r="686">
      <c r="A686" s="258"/>
      <c r="B686" s="258"/>
      <c r="C686" s="259"/>
      <c r="D686" s="126"/>
      <c r="E686" s="113"/>
      <c r="F686" s="112"/>
      <c r="G686" s="113"/>
      <c r="H686" s="136"/>
      <c r="I686" s="113"/>
      <c r="J686" s="113"/>
      <c r="K686" s="113"/>
      <c r="L686" s="113"/>
      <c r="M686" s="271"/>
      <c r="N686" s="113"/>
      <c r="O686" s="258"/>
      <c r="P686" s="113"/>
      <c r="Q686" s="113"/>
      <c r="R686" s="113"/>
      <c r="S686" s="118"/>
      <c r="T686" s="271"/>
      <c r="U686" s="113"/>
      <c r="V686" s="113"/>
      <c r="W686" s="113"/>
      <c r="X686" s="113"/>
      <c r="Y686" s="113"/>
      <c r="Z686" s="272"/>
      <c r="AA686" s="113"/>
      <c r="AB686" s="258"/>
      <c r="AC686" s="258"/>
      <c r="AD686" s="127"/>
      <c r="AE686" s="127"/>
      <c r="AF686" s="258"/>
    </row>
    <row r="687">
      <c r="A687" s="267"/>
      <c r="B687" s="267"/>
      <c r="C687" s="268"/>
      <c r="D687" s="121"/>
      <c r="E687" s="128"/>
      <c r="F687" s="175"/>
      <c r="G687" s="128"/>
      <c r="H687" s="123"/>
      <c r="I687" s="128"/>
      <c r="J687" s="128"/>
      <c r="K687" s="128"/>
      <c r="L687" s="128"/>
      <c r="M687" s="269"/>
      <c r="N687" s="128"/>
      <c r="O687" s="267"/>
      <c r="P687" s="128"/>
      <c r="Q687" s="128"/>
      <c r="R687" s="128"/>
      <c r="S687" s="132"/>
      <c r="T687" s="269"/>
      <c r="U687" s="128"/>
      <c r="V687" s="128"/>
      <c r="W687" s="128"/>
      <c r="X687" s="128"/>
      <c r="Y687" s="128"/>
      <c r="Z687" s="270"/>
      <c r="AA687" s="128"/>
      <c r="AB687" s="267"/>
      <c r="AC687" s="267"/>
      <c r="AD687" s="139"/>
      <c r="AE687" s="139"/>
      <c r="AF687" s="267"/>
    </row>
    <row r="688">
      <c r="A688" s="258"/>
      <c r="B688" s="258"/>
      <c r="C688" s="259"/>
      <c r="D688" s="126"/>
      <c r="E688" s="113"/>
      <c r="F688" s="112"/>
      <c r="G688" s="113"/>
      <c r="H688" s="136"/>
      <c r="I688" s="113"/>
      <c r="J688" s="113"/>
      <c r="K688" s="113"/>
      <c r="L688" s="113"/>
      <c r="M688" s="271"/>
      <c r="N688" s="113"/>
      <c r="O688" s="258"/>
      <c r="P688" s="113"/>
      <c r="Q688" s="113"/>
      <c r="R688" s="113"/>
      <c r="S688" s="118"/>
      <c r="T688" s="271"/>
      <c r="U688" s="113"/>
      <c r="V688" s="113"/>
      <c r="W688" s="113"/>
      <c r="X688" s="113"/>
      <c r="Y688" s="113"/>
      <c r="Z688" s="272"/>
      <c r="AA688" s="113"/>
      <c r="AB688" s="258"/>
      <c r="AC688" s="258"/>
      <c r="AD688" s="127"/>
      <c r="AE688" s="127"/>
      <c r="AF688" s="258"/>
    </row>
    <row r="689">
      <c r="A689" s="267"/>
      <c r="B689" s="267"/>
      <c r="C689" s="268"/>
      <c r="D689" s="121"/>
      <c r="E689" s="128"/>
      <c r="F689" s="175"/>
      <c r="G689" s="128"/>
      <c r="H689" s="123"/>
      <c r="I689" s="128"/>
      <c r="J689" s="128"/>
      <c r="K689" s="128"/>
      <c r="L689" s="128"/>
      <c r="M689" s="269"/>
      <c r="N689" s="128"/>
      <c r="O689" s="267"/>
      <c r="P689" s="128"/>
      <c r="Q689" s="128"/>
      <c r="R689" s="128"/>
      <c r="S689" s="132"/>
      <c r="T689" s="269"/>
      <c r="U689" s="128"/>
      <c r="V689" s="128"/>
      <c r="W689" s="128"/>
      <c r="X689" s="128"/>
      <c r="Y689" s="128"/>
      <c r="Z689" s="270"/>
      <c r="AA689" s="128"/>
      <c r="AB689" s="267"/>
      <c r="AC689" s="267"/>
      <c r="AD689" s="139"/>
      <c r="AE689" s="139"/>
      <c r="AF689" s="267"/>
    </row>
    <row r="690">
      <c r="A690" s="258"/>
      <c r="B690" s="258"/>
      <c r="C690" s="259"/>
      <c r="D690" s="126"/>
      <c r="E690" s="113"/>
      <c r="F690" s="112"/>
      <c r="G690" s="113"/>
      <c r="H690" s="136"/>
      <c r="I690" s="113"/>
      <c r="J690" s="113"/>
      <c r="K690" s="113"/>
      <c r="L690" s="113"/>
      <c r="M690" s="271"/>
      <c r="N690" s="113"/>
      <c r="O690" s="258"/>
      <c r="P690" s="113"/>
      <c r="Q690" s="113"/>
      <c r="R690" s="113"/>
      <c r="S690" s="118"/>
      <c r="T690" s="271"/>
      <c r="U690" s="113"/>
      <c r="V690" s="113"/>
      <c r="W690" s="113"/>
      <c r="X690" s="113"/>
      <c r="Y690" s="113"/>
      <c r="Z690" s="272"/>
      <c r="AA690" s="113"/>
      <c r="AB690" s="258"/>
      <c r="AC690" s="258"/>
      <c r="AD690" s="127"/>
      <c r="AE690" s="127"/>
      <c r="AF690" s="258"/>
    </row>
    <row r="691">
      <c r="A691" s="267"/>
      <c r="B691" s="267"/>
      <c r="C691" s="268"/>
      <c r="D691" s="121"/>
      <c r="E691" s="128"/>
      <c r="F691" s="175"/>
      <c r="G691" s="128"/>
      <c r="H691" s="123"/>
      <c r="I691" s="128"/>
      <c r="J691" s="128"/>
      <c r="K691" s="128"/>
      <c r="L691" s="128"/>
      <c r="M691" s="269"/>
      <c r="N691" s="128"/>
      <c r="O691" s="267"/>
      <c r="P691" s="128"/>
      <c r="Q691" s="128"/>
      <c r="R691" s="128"/>
      <c r="S691" s="132"/>
      <c r="T691" s="269"/>
      <c r="U691" s="128"/>
      <c r="V691" s="128"/>
      <c r="W691" s="128"/>
      <c r="X691" s="128"/>
      <c r="Y691" s="128"/>
      <c r="Z691" s="270"/>
      <c r="AA691" s="128"/>
      <c r="AB691" s="267"/>
      <c r="AC691" s="267"/>
      <c r="AD691" s="139"/>
      <c r="AE691" s="139"/>
      <c r="AF691" s="267"/>
    </row>
    <row r="692">
      <c r="A692" s="258"/>
      <c r="B692" s="258"/>
      <c r="C692" s="259"/>
      <c r="D692" s="126"/>
      <c r="E692" s="113"/>
      <c r="F692" s="112"/>
      <c r="G692" s="113"/>
      <c r="H692" s="136"/>
      <c r="I692" s="113"/>
      <c r="J692" s="113"/>
      <c r="K692" s="113"/>
      <c r="L692" s="113"/>
      <c r="M692" s="271"/>
      <c r="N692" s="113"/>
      <c r="O692" s="258"/>
      <c r="P692" s="113"/>
      <c r="Q692" s="113"/>
      <c r="R692" s="113"/>
      <c r="S692" s="118"/>
      <c r="T692" s="271"/>
      <c r="U692" s="113"/>
      <c r="V692" s="113"/>
      <c r="W692" s="113"/>
      <c r="X692" s="113"/>
      <c r="Y692" s="113"/>
      <c r="Z692" s="272"/>
      <c r="AA692" s="113"/>
      <c r="AB692" s="258"/>
      <c r="AC692" s="258"/>
      <c r="AD692" s="127"/>
      <c r="AE692" s="127"/>
      <c r="AF692" s="258"/>
    </row>
    <row r="693">
      <c r="A693" s="267"/>
      <c r="B693" s="267"/>
      <c r="C693" s="268"/>
      <c r="D693" s="121"/>
      <c r="E693" s="128"/>
      <c r="F693" s="175"/>
      <c r="G693" s="128"/>
      <c r="H693" s="123"/>
      <c r="I693" s="128"/>
      <c r="J693" s="128"/>
      <c r="K693" s="128"/>
      <c r="L693" s="128"/>
      <c r="M693" s="269"/>
      <c r="N693" s="128"/>
      <c r="O693" s="267"/>
      <c r="P693" s="128"/>
      <c r="Q693" s="128"/>
      <c r="R693" s="128"/>
      <c r="S693" s="132"/>
      <c r="T693" s="269"/>
      <c r="U693" s="128"/>
      <c r="V693" s="128"/>
      <c r="W693" s="128"/>
      <c r="X693" s="128"/>
      <c r="Y693" s="128"/>
      <c r="Z693" s="270"/>
      <c r="AA693" s="128"/>
      <c r="AB693" s="267"/>
      <c r="AC693" s="267"/>
      <c r="AD693" s="139"/>
      <c r="AE693" s="139"/>
      <c r="AF693" s="267"/>
    </row>
    <row r="694">
      <c r="A694" s="258"/>
      <c r="B694" s="258"/>
      <c r="C694" s="259"/>
      <c r="D694" s="126"/>
      <c r="E694" s="113"/>
      <c r="F694" s="112"/>
      <c r="G694" s="113"/>
      <c r="H694" s="136"/>
      <c r="I694" s="113"/>
      <c r="J694" s="113"/>
      <c r="K694" s="113"/>
      <c r="L694" s="113"/>
      <c r="M694" s="271"/>
      <c r="N694" s="113"/>
      <c r="O694" s="258"/>
      <c r="P694" s="113"/>
      <c r="Q694" s="113"/>
      <c r="R694" s="113"/>
      <c r="S694" s="118"/>
      <c r="T694" s="271"/>
      <c r="U694" s="113"/>
      <c r="V694" s="113"/>
      <c r="W694" s="113"/>
      <c r="X694" s="113"/>
      <c r="Y694" s="113"/>
      <c r="Z694" s="272"/>
      <c r="AA694" s="113"/>
      <c r="AB694" s="258"/>
      <c r="AC694" s="258"/>
      <c r="AD694" s="127"/>
      <c r="AE694" s="127"/>
      <c r="AF694" s="258"/>
    </row>
    <row r="695">
      <c r="A695" s="267"/>
      <c r="B695" s="267"/>
      <c r="C695" s="268"/>
      <c r="D695" s="121"/>
      <c r="E695" s="128"/>
      <c r="F695" s="175"/>
      <c r="G695" s="128"/>
      <c r="H695" s="123"/>
      <c r="I695" s="128"/>
      <c r="J695" s="128"/>
      <c r="K695" s="128"/>
      <c r="L695" s="128"/>
      <c r="M695" s="269"/>
      <c r="N695" s="128"/>
      <c r="O695" s="267"/>
      <c r="P695" s="128"/>
      <c r="Q695" s="128"/>
      <c r="R695" s="128"/>
      <c r="S695" s="132"/>
      <c r="T695" s="269"/>
      <c r="U695" s="128"/>
      <c r="V695" s="128"/>
      <c r="W695" s="128"/>
      <c r="X695" s="128"/>
      <c r="Y695" s="128"/>
      <c r="Z695" s="270"/>
      <c r="AA695" s="128"/>
      <c r="AB695" s="267"/>
      <c r="AC695" s="267"/>
      <c r="AD695" s="139"/>
      <c r="AE695" s="139"/>
      <c r="AF695" s="267"/>
    </row>
    <row r="696">
      <c r="A696" s="258"/>
      <c r="B696" s="258"/>
      <c r="C696" s="259"/>
      <c r="D696" s="126"/>
      <c r="E696" s="113"/>
      <c r="F696" s="112"/>
      <c r="G696" s="113"/>
      <c r="H696" s="136"/>
      <c r="I696" s="113"/>
      <c r="J696" s="113"/>
      <c r="K696" s="113"/>
      <c r="L696" s="113"/>
      <c r="M696" s="271"/>
      <c r="N696" s="113"/>
      <c r="O696" s="258"/>
      <c r="P696" s="113"/>
      <c r="Q696" s="113"/>
      <c r="R696" s="113"/>
      <c r="S696" s="118"/>
      <c r="T696" s="271"/>
      <c r="U696" s="113"/>
      <c r="V696" s="113"/>
      <c r="W696" s="113"/>
      <c r="X696" s="113"/>
      <c r="Y696" s="113"/>
      <c r="Z696" s="272"/>
      <c r="AA696" s="113"/>
      <c r="AB696" s="258"/>
      <c r="AC696" s="258"/>
      <c r="AD696" s="127"/>
      <c r="AE696" s="127"/>
      <c r="AF696" s="258"/>
    </row>
    <row r="697">
      <c r="A697" s="267"/>
      <c r="B697" s="267"/>
      <c r="C697" s="268"/>
      <c r="D697" s="121"/>
      <c r="E697" s="128"/>
      <c r="F697" s="175"/>
      <c r="G697" s="128"/>
      <c r="H697" s="123"/>
      <c r="I697" s="128"/>
      <c r="J697" s="128"/>
      <c r="K697" s="128"/>
      <c r="L697" s="128"/>
      <c r="M697" s="269"/>
      <c r="N697" s="128"/>
      <c r="O697" s="267"/>
      <c r="P697" s="128"/>
      <c r="Q697" s="128"/>
      <c r="R697" s="128"/>
      <c r="S697" s="132"/>
      <c r="T697" s="269"/>
      <c r="U697" s="128"/>
      <c r="V697" s="128"/>
      <c r="W697" s="128"/>
      <c r="X697" s="128"/>
      <c r="Y697" s="128"/>
      <c r="Z697" s="270"/>
      <c r="AA697" s="128"/>
      <c r="AB697" s="267"/>
      <c r="AC697" s="267"/>
      <c r="AD697" s="139"/>
      <c r="AE697" s="139"/>
      <c r="AF697" s="267"/>
    </row>
    <row r="698">
      <c r="A698" s="258"/>
      <c r="B698" s="258"/>
      <c r="C698" s="259"/>
      <c r="D698" s="126"/>
      <c r="E698" s="113"/>
      <c r="F698" s="112"/>
      <c r="G698" s="113"/>
      <c r="H698" s="136"/>
      <c r="I698" s="113"/>
      <c r="J698" s="113"/>
      <c r="K698" s="113"/>
      <c r="L698" s="113"/>
      <c r="M698" s="271"/>
      <c r="N698" s="113"/>
      <c r="O698" s="258"/>
      <c r="P698" s="113"/>
      <c r="Q698" s="113"/>
      <c r="R698" s="113"/>
      <c r="S698" s="118"/>
      <c r="T698" s="271"/>
      <c r="U698" s="113"/>
      <c r="V698" s="113"/>
      <c r="W698" s="113"/>
      <c r="X698" s="113"/>
      <c r="Y698" s="113"/>
      <c r="Z698" s="272"/>
      <c r="AA698" s="113"/>
      <c r="AB698" s="258"/>
      <c r="AC698" s="258"/>
      <c r="AD698" s="127"/>
      <c r="AE698" s="127"/>
      <c r="AF698" s="258"/>
    </row>
    <row r="699">
      <c r="A699" s="267"/>
      <c r="B699" s="267"/>
      <c r="C699" s="268"/>
      <c r="D699" s="121"/>
      <c r="E699" s="128"/>
      <c r="F699" s="175"/>
      <c r="G699" s="128"/>
      <c r="H699" s="123"/>
      <c r="I699" s="128"/>
      <c r="J699" s="128"/>
      <c r="K699" s="128"/>
      <c r="L699" s="128"/>
      <c r="M699" s="269"/>
      <c r="N699" s="128"/>
      <c r="O699" s="267"/>
      <c r="P699" s="128"/>
      <c r="Q699" s="128"/>
      <c r="R699" s="128"/>
      <c r="S699" s="132"/>
      <c r="T699" s="269"/>
      <c r="U699" s="128"/>
      <c r="V699" s="128"/>
      <c r="W699" s="128"/>
      <c r="X699" s="128"/>
      <c r="Y699" s="128"/>
      <c r="Z699" s="270"/>
      <c r="AA699" s="128"/>
      <c r="AB699" s="267"/>
      <c r="AC699" s="267"/>
      <c r="AD699" s="139"/>
      <c r="AE699" s="139"/>
      <c r="AF699" s="267"/>
    </row>
    <row r="700">
      <c r="A700" s="258"/>
      <c r="B700" s="258"/>
      <c r="C700" s="259"/>
      <c r="D700" s="126"/>
      <c r="E700" s="113"/>
      <c r="F700" s="112"/>
      <c r="G700" s="113"/>
      <c r="H700" s="136"/>
      <c r="I700" s="113"/>
      <c r="J700" s="113"/>
      <c r="K700" s="113"/>
      <c r="L700" s="113"/>
      <c r="M700" s="271"/>
      <c r="N700" s="113"/>
      <c r="O700" s="258"/>
      <c r="P700" s="113"/>
      <c r="Q700" s="113"/>
      <c r="R700" s="113"/>
      <c r="S700" s="118"/>
      <c r="T700" s="271"/>
      <c r="U700" s="113"/>
      <c r="V700" s="113"/>
      <c r="W700" s="113"/>
      <c r="X700" s="113"/>
      <c r="Y700" s="113"/>
      <c r="Z700" s="272"/>
      <c r="AA700" s="113"/>
      <c r="AB700" s="258"/>
      <c r="AC700" s="258"/>
      <c r="AD700" s="127"/>
      <c r="AE700" s="127"/>
      <c r="AF700" s="258"/>
    </row>
    <row r="701">
      <c r="A701" s="267"/>
      <c r="B701" s="267"/>
      <c r="C701" s="268"/>
      <c r="D701" s="121"/>
      <c r="E701" s="128"/>
      <c r="F701" s="175"/>
      <c r="G701" s="128"/>
      <c r="H701" s="123"/>
      <c r="I701" s="128"/>
      <c r="J701" s="128"/>
      <c r="K701" s="128"/>
      <c r="L701" s="128"/>
      <c r="M701" s="269"/>
      <c r="N701" s="128"/>
      <c r="O701" s="267"/>
      <c r="P701" s="128"/>
      <c r="Q701" s="128"/>
      <c r="R701" s="128"/>
      <c r="S701" s="132"/>
      <c r="T701" s="269"/>
      <c r="U701" s="128"/>
      <c r="V701" s="128"/>
      <c r="W701" s="128"/>
      <c r="X701" s="128"/>
      <c r="Y701" s="128"/>
      <c r="Z701" s="270"/>
      <c r="AA701" s="128"/>
      <c r="AB701" s="267"/>
      <c r="AC701" s="267"/>
      <c r="AD701" s="139"/>
      <c r="AE701" s="139"/>
      <c r="AF701" s="267"/>
    </row>
    <row r="702">
      <c r="A702" s="258"/>
      <c r="B702" s="258"/>
      <c r="C702" s="259"/>
      <c r="D702" s="126"/>
      <c r="E702" s="113"/>
      <c r="F702" s="112"/>
      <c r="G702" s="113"/>
      <c r="H702" s="136"/>
      <c r="I702" s="113"/>
      <c r="J702" s="113"/>
      <c r="K702" s="113"/>
      <c r="L702" s="113"/>
      <c r="M702" s="271"/>
      <c r="N702" s="113"/>
      <c r="O702" s="258"/>
      <c r="P702" s="113"/>
      <c r="Q702" s="113"/>
      <c r="R702" s="113"/>
      <c r="S702" s="118"/>
      <c r="T702" s="271"/>
      <c r="U702" s="113"/>
      <c r="V702" s="113"/>
      <c r="W702" s="113"/>
      <c r="X702" s="113"/>
      <c r="Y702" s="113"/>
      <c r="Z702" s="272"/>
      <c r="AA702" s="113"/>
      <c r="AB702" s="258"/>
      <c r="AC702" s="258"/>
      <c r="AD702" s="127"/>
      <c r="AE702" s="127"/>
      <c r="AF702" s="258"/>
    </row>
    <row r="703">
      <c r="A703" s="267"/>
      <c r="B703" s="267"/>
      <c r="C703" s="268"/>
      <c r="D703" s="121"/>
      <c r="E703" s="128"/>
      <c r="F703" s="175"/>
      <c r="G703" s="128"/>
      <c r="H703" s="123"/>
      <c r="I703" s="128"/>
      <c r="J703" s="128"/>
      <c r="K703" s="128"/>
      <c r="L703" s="128"/>
      <c r="M703" s="269"/>
      <c r="N703" s="128"/>
      <c r="O703" s="267"/>
      <c r="P703" s="128"/>
      <c r="Q703" s="128"/>
      <c r="R703" s="128"/>
      <c r="S703" s="132"/>
      <c r="T703" s="269"/>
      <c r="U703" s="128"/>
      <c r="V703" s="128"/>
      <c r="W703" s="128"/>
      <c r="X703" s="128"/>
      <c r="Y703" s="128"/>
      <c r="Z703" s="270"/>
      <c r="AA703" s="128"/>
      <c r="AB703" s="267"/>
      <c r="AC703" s="267"/>
      <c r="AD703" s="139"/>
      <c r="AE703" s="139"/>
      <c r="AF703" s="267"/>
    </row>
    <row r="704">
      <c r="A704" s="258"/>
      <c r="B704" s="258"/>
      <c r="C704" s="259"/>
      <c r="D704" s="126"/>
      <c r="E704" s="113"/>
      <c r="F704" s="112"/>
      <c r="G704" s="113"/>
      <c r="H704" s="136"/>
      <c r="I704" s="113"/>
      <c r="J704" s="113"/>
      <c r="K704" s="113"/>
      <c r="L704" s="113"/>
      <c r="M704" s="271"/>
      <c r="N704" s="113"/>
      <c r="O704" s="258"/>
      <c r="P704" s="113"/>
      <c r="Q704" s="113"/>
      <c r="R704" s="113"/>
      <c r="S704" s="118"/>
      <c r="T704" s="271"/>
      <c r="U704" s="113"/>
      <c r="V704" s="113"/>
      <c r="W704" s="113"/>
      <c r="X704" s="113"/>
      <c r="Y704" s="113"/>
      <c r="Z704" s="272"/>
      <c r="AA704" s="113"/>
      <c r="AB704" s="258"/>
      <c r="AC704" s="258"/>
      <c r="AD704" s="127"/>
      <c r="AE704" s="127"/>
      <c r="AF704" s="258"/>
    </row>
    <row r="705">
      <c r="A705" s="267"/>
      <c r="B705" s="267"/>
      <c r="C705" s="268"/>
      <c r="D705" s="121"/>
      <c r="E705" s="128"/>
      <c r="F705" s="175"/>
      <c r="G705" s="128"/>
      <c r="H705" s="123"/>
      <c r="I705" s="128"/>
      <c r="J705" s="128"/>
      <c r="K705" s="128"/>
      <c r="L705" s="128"/>
      <c r="M705" s="269"/>
      <c r="N705" s="128"/>
      <c r="O705" s="267"/>
      <c r="P705" s="128"/>
      <c r="Q705" s="128"/>
      <c r="R705" s="128"/>
      <c r="S705" s="132"/>
      <c r="T705" s="269"/>
      <c r="U705" s="128"/>
      <c r="V705" s="128"/>
      <c r="W705" s="128"/>
      <c r="X705" s="128"/>
      <c r="Y705" s="128"/>
      <c r="Z705" s="270"/>
      <c r="AA705" s="128"/>
      <c r="AB705" s="267"/>
      <c r="AC705" s="267"/>
      <c r="AD705" s="139"/>
      <c r="AE705" s="139"/>
      <c r="AF705" s="267"/>
    </row>
    <row r="706">
      <c r="A706" s="258"/>
      <c r="B706" s="258"/>
      <c r="C706" s="259"/>
      <c r="D706" s="126"/>
      <c r="E706" s="113"/>
      <c r="F706" s="112"/>
      <c r="G706" s="113"/>
      <c r="H706" s="136"/>
      <c r="I706" s="113"/>
      <c r="J706" s="113"/>
      <c r="K706" s="113"/>
      <c r="L706" s="113"/>
      <c r="M706" s="271"/>
      <c r="N706" s="113"/>
      <c r="O706" s="258"/>
      <c r="P706" s="113"/>
      <c r="Q706" s="113"/>
      <c r="R706" s="113"/>
      <c r="S706" s="118"/>
      <c r="T706" s="271"/>
      <c r="U706" s="113"/>
      <c r="V706" s="113"/>
      <c r="W706" s="113"/>
      <c r="X706" s="113"/>
      <c r="Y706" s="113"/>
      <c r="Z706" s="272"/>
      <c r="AA706" s="113"/>
      <c r="AB706" s="258"/>
      <c r="AC706" s="258"/>
      <c r="AD706" s="127"/>
      <c r="AE706" s="127"/>
      <c r="AF706" s="258"/>
    </row>
    <row r="707">
      <c r="A707" s="267"/>
      <c r="B707" s="267"/>
      <c r="C707" s="268"/>
      <c r="D707" s="121"/>
      <c r="E707" s="128"/>
      <c r="F707" s="175"/>
      <c r="G707" s="128"/>
      <c r="H707" s="123"/>
      <c r="I707" s="128"/>
      <c r="J707" s="128"/>
      <c r="K707" s="128"/>
      <c r="L707" s="128"/>
      <c r="M707" s="269"/>
      <c r="N707" s="128"/>
      <c r="O707" s="267"/>
      <c r="P707" s="128"/>
      <c r="Q707" s="128"/>
      <c r="R707" s="128"/>
      <c r="S707" s="132"/>
      <c r="T707" s="269"/>
      <c r="U707" s="128"/>
      <c r="V707" s="128"/>
      <c r="W707" s="128"/>
      <c r="X707" s="128"/>
      <c r="Y707" s="128"/>
      <c r="Z707" s="270"/>
      <c r="AA707" s="128"/>
      <c r="AB707" s="267"/>
      <c r="AC707" s="267"/>
      <c r="AD707" s="139"/>
      <c r="AE707" s="139"/>
      <c r="AF707" s="267"/>
    </row>
    <row r="708">
      <c r="A708" s="258"/>
      <c r="B708" s="258"/>
      <c r="C708" s="259"/>
      <c r="D708" s="126"/>
      <c r="E708" s="113"/>
      <c r="F708" s="112"/>
      <c r="G708" s="113"/>
      <c r="H708" s="136"/>
      <c r="I708" s="113"/>
      <c r="J708" s="113"/>
      <c r="K708" s="113"/>
      <c r="L708" s="113"/>
      <c r="M708" s="271"/>
      <c r="N708" s="113"/>
      <c r="O708" s="258"/>
      <c r="P708" s="113"/>
      <c r="Q708" s="113"/>
      <c r="R708" s="113"/>
      <c r="S708" s="118"/>
      <c r="T708" s="271"/>
      <c r="U708" s="113"/>
      <c r="V708" s="113"/>
      <c r="W708" s="113"/>
      <c r="X708" s="113"/>
      <c r="Y708" s="113"/>
      <c r="Z708" s="272"/>
      <c r="AA708" s="113"/>
      <c r="AB708" s="258"/>
      <c r="AC708" s="258"/>
      <c r="AD708" s="127"/>
      <c r="AE708" s="127"/>
      <c r="AF708" s="258"/>
    </row>
    <row r="709">
      <c r="A709" s="267"/>
      <c r="B709" s="267"/>
      <c r="C709" s="268"/>
      <c r="D709" s="121"/>
      <c r="E709" s="128"/>
      <c r="F709" s="175"/>
      <c r="G709" s="128"/>
      <c r="H709" s="123"/>
      <c r="I709" s="128"/>
      <c r="J709" s="128"/>
      <c r="K709" s="128"/>
      <c r="L709" s="128"/>
      <c r="M709" s="269"/>
      <c r="N709" s="128"/>
      <c r="O709" s="267"/>
      <c r="P709" s="128"/>
      <c r="Q709" s="128"/>
      <c r="R709" s="128"/>
      <c r="S709" s="132"/>
      <c r="T709" s="269"/>
      <c r="U709" s="128"/>
      <c r="V709" s="128"/>
      <c r="W709" s="128"/>
      <c r="X709" s="128"/>
      <c r="Y709" s="128"/>
      <c r="Z709" s="270"/>
      <c r="AA709" s="128"/>
      <c r="AB709" s="267"/>
      <c r="AC709" s="267"/>
      <c r="AD709" s="139"/>
      <c r="AE709" s="139"/>
      <c r="AF709" s="267"/>
    </row>
    <row r="710">
      <c r="A710" s="258"/>
      <c r="B710" s="258"/>
      <c r="C710" s="259"/>
      <c r="D710" s="126"/>
      <c r="E710" s="113"/>
      <c r="F710" s="112"/>
      <c r="G710" s="113"/>
      <c r="H710" s="136"/>
      <c r="I710" s="113"/>
      <c r="J710" s="113"/>
      <c r="K710" s="113"/>
      <c r="L710" s="113"/>
      <c r="M710" s="271"/>
      <c r="N710" s="113"/>
      <c r="O710" s="258"/>
      <c r="P710" s="113"/>
      <c r="Q710" s="113"/>
      <c r="R710" s="113"/>
      <c r="S710" s="118"/>
      <c r="T710" s="271"/>
      <c r="U710" s="113"/>
      <c r="V710" s="113"/>
      <c r="W710" s="113"/>
      <c r="X710" s="113"/>
      <c r="Y710" s="113"/>
      <c r="Z710" s="272"/>
      <c r="AA710" s="113"/>
      <c r="AB710" s="258"/>
      <c r="AC710" s="258"/>
      <c r="AD710" s="127"/>
      <c r="AE710" s="127"/>
      <c r="AF710" s="258"/>
    </row>
    <row r="711">
      <c r="A711" s="267"/>
      <c r="B711" s="267"/>
      <c r="C711" s="268"/>
      <c r="D711" s="121"/>
      <c r="E711" s="128"/>
      <c r="F711" s="175"/>
      <c r="G711" s="128"/>
      <c r="H711" s="123"/>
      <c r="I711" s="128"/>
      <c r="J711" s="128"/>
      <c r="K711" s="128"/>
      <c r="L711" s="128"/>
      <c r="M711" s="269"/>
      <c r="N711" s="128"/>
      <c r="O711" s="267"/>
      <c r="P711" s="128"/>
      <c r="Q711" s="128"/>
      <c r="R711" s="128"/>
      <c r="S711" s="132"/>
      <c r="T711" s="269"/>
      <c r="U711" s="128"/>
      <c r="V711" s="128"/>
      <c r="W711" s="128"/>
      <c r="X711" s="128"/>
      <c r="Y711" s="128"/>
      <c r="Z711" s="270"/>
      <c r="AA711" s="128"/>
      <c r="AB711" s="267"/>
      <c r="AC711" s="267"/>
      <c r="AD711" s="139"/>
      <c r="AE711" s="139"/>
      <c r="AF711" s="267"/>
    </row>
    <row r="712">
      <c r="A712" s="258"/>
      <c r="B712" s="258"/>
      <c r="C712" s="259"/>
      <c r="D712" s="126"/>
      <c r="E712" s="113"/>
      <c r="F712" s="112"/>
      <c r="G712" s="113"/>
      <c r="H712" s="136"/>
      <c r="I712" s="113"/>
      <c r="J712" s="113"/>
      <c r="K712" s="113"/>
      <c r="L712" s="113"/>
      <c r="M712" s="271"/>
      <c r="N712" s="113"/>
      <c r="O712" s="258"/>
      <c r="P712" s="113"/>
      <c r="Q712" s="113"/>
      <c r="R712" s="113"/>
      <c r="S712" s="118"/>
      <c r="T712" s="271"/>
      <c r="U712" s="113"/>
      <c r="V712" s="113"/>
      <c r="W712" s="113"/>
      <c r="X712" s="113"/>
      <c r="Y712" s="113"/>
      <c r="Z712" s="272"/>
      <c r="AA712" s="113"/>
      <c r="AB712" s="258"/>
      <c r="AC712" s="258"/>
      <c r="AD712" s="127"/>
      <c r="AE712" s="127"/>
      <c r="AF712" s="258"/>
    </row>
    <row r="713">
      <c r="A713" s="267"/>
      <c r="B713" s="267"/>
      <c r="C713" s="268"/>
      <c r="D713" s="121"/>
      <c r="E713" s="128"/>
      <c r="F713" s="175"/>
      <c r="G713" s="128"/>
      <c r="H713" s="123"/>
      <c r="I713" s="128"/>
      <c r="J713" s="128"/>
      <c r="K713" s="128"/>
      <c r="L713" s="128"/>
      <c r="M713" s="269"/>
      <c r="N713" s="128"/>
      <c r="O713" s="267"/>
      <c r="P713" s="128"/>
      <c r="Q713" s="128"/>
      <c r="R713" s="128"/>
      <c r="S713" s="132"/>
      <c r="T713" s="269"/>
      <c r="U713" s="128"/>
      <c r="V713" s="128"/>
      <c r="W713" s="128"/>
      <c r="X713" s="128"/>
      <c r="Y713" s="128"/>
      <c r="Z713" s="270"/>
      <c r="AA713" s="128"/>
      <c r="AB713" s="267"/>
      <c r="AC713" s="267"/>
      <c r="AD713" s="139"/>
      <c r="AE713" s="139"/>
      <c r="AF713" s="267"/>
    </row>
    <row r="714">
      <c r="A714" s="258"/>
      <c r="B714" s="258"/>
      <c r="C714" s="259"/>
      <c r="D714" s="126"/>
      <c r="E714" s="113"/>
      <c r="F714" s="112"/>
      <c r="G714" s="113"/>
      <c r="H714" s="136"/>
      <c r="I714" s="113"/>
      <c r="J714" s="113"/>
      <c r="K714" s="113"/>
      <c r="L714" s="113"/>
      <c r="M714" s="271"/>
      <c r="N714" s="113"/>
      <c r="O714" s="258"/>
      <c r="P714" s="113"/>
      <c r="Q714" s="113"/>
      <c r="R714" s="113"/>
      <c r="S714" s="118"/>
      <c r="T714" s="271"/>
      <c r="U714" s="113"/>
      <c r="V714" s="113"/>
      <c r="W714" s="113"/>
      <c r="X714" s="113"/>
      <c r="Y714" s="113"/>
      <c r="Z714" s="272"/>
      <c r="AA714" s="113"/>
      <c r="AB714" s="258"/>
      <c r="AC714" s="258"/>
      <c r="AD714" s="127"/>
      <c r="AE714" s="127"/>
      <c r="AF714" s="258"/>
    </row>
    <row r="715">
      <c r="A715" s="267"/>
      <c r="B715" s="267"/>
      <c r="C715" s="268"/>
      <c r="D715" s="121"/>
      <c r="E715" s="128"/>
      <c r="F715" s="175"/>
      <c r="G715" s="128"/>
      <c r="H715" s="123"/>
      <c r="I715" s="128"/>
      <c r="J715" s="128"/>
      <c r="K715" s="128"/>
      <c r="L715" s="128"/>
      <c r="M715" s="269"/>
      <c r="N715" s="128"/>
      <c r="O715" s="267"/>
      <c r="P715" s="128"/>
      <c r="Q715" s="128"/>
      <c r="R715" s="128"/>
      <c r="S715" s="132"/>
      <c r="T715" s="269"/>
      <c r="U715" s="128"/>
      <c r="V715" s="128"/>
      <c r="W715" s="128"/>
      <c r="X715" s="128"/>
      <c r="Y715" s="128"/>
      <c r="Z715" s="270"/>
      <c r="AA715" s="128"/>
      <c r="AB715" s="267"/>
      <c r="AC715" s="267"/>
      <c r="AD715" s="139"/>
      <c r="AE715" s="139"/>
      <c r="AF715" s="267"/>
    </row>
    <row r="716">
      <c r="A716" s="258"/>
      <c r="B716" s="258"/>
      <c r="C716" s="259"/>
      <c r="D716" s="126"/>
      <c r="E716" s="113"/>
      <c r="F716" s="112"/>
      <c r="G716" s="113"/>
      <c r="H716" s="136"/>
      <c r="I716" s="113"/>
      <c r="J716" s="113"/>
      <c r="K716" s="113"/>
      <c r="L716" s="113"/>
      <c r="M716" s="271"/>
      <c r="N716" s="113"/>
      <c r="O716" s="258"/>
      <c r="P716" s="113"/>
      <c r="Q716" s="113"/>
      <c r="R716" s="113"/>
      <c r="S716" s="118"/>
      <c r="T716" s="271"/>
      <c r="U716" s="113"/>
      <c r="V716" s="113"/>
      <c r="W716" s="113"/>
      <c r="X716" s="113"/>
      <c r="Y716" s="113"/>
      <c r="Z716" s="272"/>
      <c r="AA716" s="113"/>
      <c r="AB716" s="258"/>
      <c r="AC716" s="258"/>
      <c r="AD716" s="127"/>
      <c r="AE716" s="127"/>
      <c r="AF716" s="258"/>
    </row>
    <row r="717">
      <c r="A717" s="267"/>
      <c r="B717" s="267"/>
      <c r="C717" s="268"/>
      <c r="D717" s="121"/>
      <c r="E717" s="128"/>
      <c r="F717" s="175"/>
      <c r="G717" s="128"/>
      <c r="H717" s="123"/>
      <c r="I717" s="128"/>
      <c r="J717" s="128"/>
      <c r="K717" s="128"/>
      <c r="L717" s="128"/>
      <c r="M717" s="269"/>
      <c r="N717" s="128"/>
      <c r="O717" s="267"/>
      <c r="P717" s="128"/>
      <c r="Q717" s="128"/>
      <c r="R717" s="128"/>
      <c r="S717" s="132"/>
      <c r="T717" s="269"/>
      <c r="U717" s="128"/>
      <c r="V717" s="128"/>
      <c r="W717" s="128"/>
      <c r="X717" s="128"/>
      <c r="Y717" s="128"/>
      <c r="Z717" s="270"/>
      <c r="AA717" s="128"/>
      <c r="AB717" s="267"/>
      <c r="AC717" s="267"/>
      <c r="AD717" s="139"/>
      <c r="AE717" s="139"/>
      <c r="AF717" s="267"/>
    </row>
    <row r="718">
      <c r="A718" s="258"/>
      <c r="B718" s="258"/>
      <c r="C718" s="259"/>
      <c r="D718" s="126"/>
      <c r="E718" s="113"/>
      <c r="F718" s="112"/>
      <c r="G718" s="113"/>
      <c r="H718" s="136"/>
      <c r="I718" s="113"/>
      <c r="J718" s="113"/>
      <c r="K718" s="113"/>
      <c r="L718" s="113"/>
      <c r="M718" s="271"/>
      <c r="N718" s="113"/>
      <c r="O718" s="258"/>
      <c r="P718" s="113"/>
      <c r="Q718" s="113"/>
      <c r="R718" s="113"/>
      <c r="S718" s="118"/>
      <c r="T718" s="271"/>
      <c r="U718" s="113"/>
      <c r="V718" s="113"/>
      <c r="W718" s="113"/>
      <c r="X718" s="113"/>
      <c r="Y718" s="113"/>
      <c r="Z718" s="272"/>
      <c r="AA718" s="113"/>
      <c r="AB718" s="258"/>
      <c r="AC718" s="258"/>
      <c r="AD718" s="127"/>
      <c r="AE718" s="127"/>
      <c r="AF718" s="258"/>
    </row>
    <row r="719">
      <c r="A719" s="267"/>
      <c r="B719" s="267"/>
      <c r="C719" s="268"/>
      <c r="D719" s="121"/>
      <c r="E719" s="128"/>
      <c r="F719" s="175"/>
      <c r="G719" s="128"/>
      <c r="H719" s="123"/>
      <c r="I719" s="128"/>
      <c r="J719" s="128"/>
      <c r="K719" s="128"/>
      <c r="L719" s="128"/>
      <c r="M719" s="269"/>
      <c r="N719" s="128"/>
      <c r="O719" s="267"/>
      <c r="P719" s="128"/>
      <c r="Q719" s="128"/>
      <c r="R719" s="128"/>
      <c r="S719" s="132"/>
      <c r="T719" s="269"/>
      <c r="U719" s="128"/>
      <c r="V719" s="128"/>
      <c r="W719" s="128"/>
      <c r="X719" s="128"/>
      <c r="Y719" s="128"/>
      <c r="Z719" s="270"/>
      <c r="AA719" s="128"/>
      <c r="AB719" s="267"/>
      <c r="AC719" s="267"/>
      <c r="AD719" s="139"/>
      <c r="AE719" s="139"/>
      <c r="AF719" s="267"/>
    </row>
    <row r="720">
      <c r="A720" s="258"/>
      <c r="B720" s="258"/>
      <c r="C720" s="259"/>
      <c r="D720" s="126"/>
      <c r="E720" s="113"/>
      <c r="F720" s="112"/>
      <c r="G720" s="113"/>
      <c r="H720" s="136"/>
      <c r="I720" s="113"/>
      <c r="J720" s="113"/>
      <c r="K720" s="113"/>
      <c r="L720" s="113"/>
      <c r="M720" s="271"/>
      <c r="N720" s="113"/>
      <c r="O720" s="258"/>
      <c r="P720" s="113"/>
      <c r="Q720" s="113"/>
      <c r="R720" s="113"/>
      <c r="S720" s="118"/>
      <c r="T720" s="271"/>
      <c r="U720" s="113"/>
      <c r="V720" s="113"/>
      <c r="W720" s="113"/>
      <c r="X720" s="113"/>
      <c r="Y720" s="113"/>
      <c r="Z720" s="272"/>
      <c r="AA720" s="113"/>
      <c r="AB720" s="258"/>
      <c r="AC720" s="258"/>
      <c r="AD720" s="127"/>
      <c r="AE720" s="127"/>
      <c r="AF720" s="258"/>
    </row>
    <row r="721">
      <c r="A721" s="267"/>
      <c r="B721" s="267"/>
      <c r="C721" s="268"/>
      <c r="D721" s="121"/>
      <c r="E721" s="128"/>
      <c r="F721" s="175"/>
      <c r="G721" s="128"/>
      <c r="H721" s="123"/>
      <c r="I721" s="128"/>
      <c r="J721" s="128"/>
      <c r="K721" s="128"/>
      <c r="L721" s="128"/>
      <c r="M721" s="269"/>
      <c r="N721" s="128"/>
      <c r="O721" s="267"/>
      <c r="P721" s="128"/>
      <c r="Q721" s="128"/>
      <c r="R721" s="128"/>
      <c r="S721" s="132"/>
      <c r="T721" s="269"/>
      <c r="U721" s="128"/>
      <c r="V721" s="128"/>
      <c r="W721" s="128"/>
      <c r="X721" s="128"/>
      <c r="Y721" s="128"/>
      <c r="Z721" s="270"/>
      <c r="AA721" s="128"/>
      <c r="AB721" s="267"/>
      <c r="AC721" s="267"/>
      <c r="AD721" s="139"/>
      <c r="AE721" s="139"/>
      <c r="AF721" s="267"/>
    </row>
    <row r="722">
      <c r="A722" s="258"/>
      <c r="B722" s="258"/>
      <c r="C722" s="259"/>
      <c r="D722" s="126"/>
      <c r="E722" s="113"/>
      <c r="F722" s="112"/>
      <c r="G722" s="113"/>
      <c r="H722" s="136"/>
      <c r="I722" s="113"/>
      <c r="J722" s="113"/>
      <c r="K722" s="113"/>
      <c r="L722" s="113"/>
      <c r="M722" s="271"/>
      <c r="N722" s="113"/>
      <c r="O722" s="258"/>
      <c r="P722" s="113"/>
      <c r="Q722" s="113"/>
      <c r="R722" s="113"/>
      <c r="S722" s="118"/>
      <c r="T722" s="271"/>
      <c r="U722" s="113"/>
      <c r="V722" s="113"/>
      <c r="W722" s="113"/>
      <c r="X722" s="113"/>
      <c r="Y722" s="113"/>
      <c r="Z722" s="272"/>
      <c r="AA722" s="113"/>
      <c r="AB722" s="258"/>
      <c r="AC722" s="258"/>
      <c r="AD722" s="127"/>
      <c r="AE722" s="127"/>
      <c r="AF722" s="258"/>
    </row>
    <row r="723">
      <c r="A723" s="267"/>
      <c r="B723" s="267"/>
      <c r="C723" s="268"/>
      <c r="D723" s="121"/>
      <c r="E723" s="128"/>
      <c r="F723" s="175"/>
      <c r="G723" s="128"/>
      <c r="H723" s="123"/>
      <c r="I723" s="128"/>
      <c r="J723" s="128"/>
      <c r="K723" s="128"/>
      <c r="L723" s="128"/>
      <c r="M723" s="269"/>
      <c r="N723" s="128"/>
      <c r="O723" s="267"/>
      <c r="P723" s="128"/>
      <c r="Q723" s="128"/>
      <c r="R723" s="128"/>
      <c r="S723" s="132"/>
      <c r="T723" s="269"/>
      <c r="U723" s="128"/>
      <c r="V723" s="128"/>
      <c r="W723" s="128"/>
      <c r="X723" s="128"/>
      <c r="Y723" s="128"/>
      <c r="Z723" s="270"/>
      <c r="AA723" s="128"/>
      <c r="AB723" s="267"/>
      <c r="AC723" s="267"/>
      <c r="AD723" s="139"/>
      <c r="AE723" s="139"/>
      <c r="AF723" s="267"/>
    </row>
    <row r="724">
      <c r="A724" s="258"/>
      <c r="B724" s="258"/>
      <c r="C724" s="259"/>
      <c r="D724" s="126"/>
      <c r="E724" s="113"/>
      <c r="F724" s="112"/>
      <c r="G724" s="113"/>
      <c r="H724" s="136"/>
      <c r="I724" s="113"/>
      <c r="J724" s="113"/>
      <c r="K724" s="113"/>
      <c r="L724" s="113"/>
      <c r="M724" s="271"/>
      <c r="N724" s="113"/>
      <c r="O724" s="258"/>
      <c r="P724" s="113"/>
      <c r="Q724" s="113"/>
      <c r="R724" s="113"/>
      <c r="S724" s="118"/>
      <c r="T724" s="271"/>
      <c r="U724" s="113"/>
      <c r="V724" s="113"/>
      <c r="W724" s="113"/>
      <c r="X724" s="113"/>
      <c r="Y724" s="113"/>
      <c r="Z724" s="272"/>
      <c r="AA724" s="113"/>
      <c r="AB724" s="258"/>
      <c r="AC724" s="258"/>
      <c r="AD724" s="127"/>
      <c r="AE724" s="127"/>
      <c r="AF724" s="258"/>
    </row>
    <row r="725">
      <c r="A725" s="267"/>
      <c r="B725" s="267"/>
      <c r="C725" s="268"/>
      <c r="D725" s="121"/>
      <c r="E725" s="128"/>
      <c r="F725" s="175"/>
      <c r="G725" s="128"/>
      <c r="H725" s="123"/>
      <c r="I725" s="128"/>
      <c r="J725" s="128"/>
      <c r="K725" s="128"/>
      <c r="L725" s="128"/>
      <c r="M725" s="269"/>
      <c r="N725" s="128"/>
      <c r="O725" s="267"/>
      <c r="P725" s="128"/>
      <c r="Q725" s="128"/>
      <c r="R725" s="128"/>
      <c r="S725" s="132"/>
      <c r="T725" s="269"/>
      <c r="U725" s="128"/>
      <c r="V725" s="128"/>
      <c r="W725" s="128"/>
      <c r="X725" s="128"/>
      <c r="Y725" s="128"/>
      <c r="Z725" s="270"/>
      <c r="AA725" s="128"/>
      <c r="AB725" s="267"/>
      <c r="AC725" s="267"/>
      <c r="AD725" s="139"/>
      <c r="AE725" s="139"/>
      <c r="AF725" s="267"/>
    </row>
    <row r="726">
      <c r="A726" s="258"/>
      <c r="B726" s="258"/>
      <c r="C726" s="259"/>
      <c r="D726" s="126"/>
      <c r="E726" s="113"/>
      <c r="F726" s="112"/>
      <c r="G726" s="113"/>
      <c r="H726" s="136"/>
      <c r="I726" s="113"/>
      <c r="J726" s="113"/>
      <c r="K726" s="113"/>
      <c r="L726" s="113"/>
      <c r="M726" s="271"/>
      <c r="N726" s="113"/>
      <c r="O726" s="258"/>
      <c r="P726" s="113"/>
      <c r="Q726" s="113"/>
      <c r="R726" s="113"/>
      <c r="S726" s="118"/>
      <c r="T726" s="271"/>
      <c r="U726" s="113"/>
      <c r="V726" s="113"/>
      <c r="W726" s="113"/>
      <c r="X726" s="113"/>
      <c r="Y726" s="113"/>
      <c r="Z726" s="272"/>
      <c r="AA726" s="113"/>
      <c r="AB726" s="258"/>
      <c r="AC726" s="258"/>
      <c r="AD726" s="127"/>
      <c r="AE726" s="127"/>
      <c r="AF726" s="258"/>
    </row>
    <row r="727">
      <c r="A727" s="267"/>
      <c r="B727" s="267"/>
      <c r="C727" s="268"/>
      <c r="D727" s="121"/>
      <c r="E727" s="128"/>
      <c r="F727" s="175"/>
      <c r="G727" s="128"/>
      <c r="H727" s="123"/>
      <c r="I727" s="128"/>
      <c r="J727" s="128"/>
      <c r="K727" s="128"/>
      <c r="L727" s="128"/>
      <c r="M727" s="269"/>
      <c r="N727" s="128"/>
      <c r="O727" s="267"/>
      <c r="P727" s="128"/>
      <c r="Q727" s="128"/>
      <c r="R727" s="128"/>
      <c r="S727" s="132"/>
      <c r="T727" s="269"/>
      <c r="U727" s="128"/>
      <c r="V727" s="128"/>
      <c r="W727" s="128"/>
      <c r="X727" s="128"/>
      <c r="Y727" s="128"/>
      <c r="Z727" s="270"/>
      <c r="AA727" s="128"/>
      <c r="AB727" s="267"/>
      <c r="AC727" s="267"/>
      <c r="AD727" s="139"/>
      <c r="AE727" s="139"/>
      <c r="AF727" s="267"/>
    </row>
    <row r="728">
      <c r="A728" s="258"/>
      <c r="B728" s="258"/>
      <c r="C728" s="259"/>
      <c r="D728" s="126"/>
      <c r="E728" s="113"/>
      <c r="F728" s="112"/>
      <c r="G728" s="113"/>
      <c r="H728" s="136"/>
      <c r="I728" s="113"/>
      <c r="J728" s="113"/>
      <c r="K728" s="113"/>
      <c r="L728" s="113"/>
      <c r="M728" s="271"/>
      <c r="N728" s="113"/>
      <c r="O728" s="258"/>
      <c r="P728" s="113"/>
      <c r="Q728" s="113"/>
      <c r="R728" s="113"/>
      <c r="S728" s="118"/>
      <c r="T728" s="271"/>
      <c r="U728" s="113"/>
      <c r="V728" s="113"/>
      <c r="W728" s="113"/>
      <c r="X728" s="113"/>
      <c r="Y728" s="113"/>
      <c r="Z728" s="272"/>
      <c r="AA728" s="113"/>
      <c r="AB728" s="258"/>
      <c r="AC728" s="258"/>
      <c r="AD728" s="127"/>
      <c r="AE728" s="127"/>
      <c r="AF728" s="258"/>
    </row>
    <row r="729">
      <c r="A729" s="267"/>
      <c r="B729" s="267"/>
      <c r="C729" s="268"/>
      <c r="D729" s="121"/>
      <c r="E729" s="128"/>
      <c r="F729" s="175"/>
      <c r="G729" s="128"/>
      <c r="H729" s="123"/>
      <c r="I729" s="128"/>
      <c r="J729" s="128"/>
      <c r="K729" s="128"/>
      <c r="L729" s="128"/>
      <c r="M729" s="269"/>
      <c r="N729" s="128"/>
      <c r="O729" s="267"/>
      <c r="P729" s="128"/>
      <c r="Q729" s="128"/>
      <c r="R729" s="128"/>
      <c r="S729" s="132"/>
      <c r="T729" s="269"/>
      <c r="U729" s="128"/>
      <c r="V729" s="128"/>
      <c r="W729" s="128"/>
      <c r="X729" s="128"/>
      <c r="Y729" s="128"/>
      <c r="Z729" s="270"/>
      <c r="AA729" s="128"/>
      <c r="AB729" s="267"/>
      <c r="AC729" s="267"/>
      <c r="AD729" s="139"/>
      <c r="AE729" s="139"/>
      <c r="AF729" s="267"/>
    </row>
    <row r="730">
      <c r="A730" s="258"/>
      <c r="B730" s="258"/>
      <c r="C730" s="259"/>
      <c r="D730" s="126"/>
      <c r="E730" s="113"/>
      <c r="F730" s="112"/>
      <c r="G730" s="113"/>
      <c r="H730" s="136"/>
      <c r="I730" s="113"/>
      <c r="J730" s="113"/>
      <c r="K730" s="113"/>
      <c r="L730" s="113"/>
      <c r="M730" s="271"/>
      <c r="N730" s="113"/>
      <c r="O730" s="258"/>
      <c r="P730" s="113"/>
      <c r="Q730" s="113"/>
      <c r="R730" s="113"/>
      <c r="S730" s="118"/>
      <c r="T730" s="271"/>
      <c r="U730" s="113"/>
      <c r="V730" s="113"/>
      <c r="W730" s="113"/>
      <c r="X730" s="113"/>
      <c r="Y730" s="113"/>
      <c r="Z730" s="272"/>
      <c r="AA730" s="113"/>
      <c r="AB730" s="258"/>
      <c r="AC730" s="258"/>
      <c r="AD730" s="127"/>
      <c r="AE730" s="127"/>
      <c r="AF730" s="258"/>
    </row>
    <row r="731">
      <c r="A731" s="267"/>
      <c r="B731" s="267"/>
      <c r="C731" s="268"/>
      <c r="D731" s="121"/>
      <c r="E731" s="128"/>
      <c r="F731" s="175"/>
      <c r="G731" s="128"/>
      <c r="H731" s="123"/>
      <c r="I731" s="128"/>
      <c r="J731" s="128"/>
      <c r="K731" s="128"/>
      <c r="L731" s="128"/>
      <c r="M731" s="269"/>
      <c r="N731" s="128"/>
      <c r="O731" s="267"/>
      <c r="P731" s="128"/>
      <c r="Q731" s="128"/>
      <c r="R731" s="128"/>
      <c r="S731" s="132"/>
      <c r="T731" s="269"/>
      <c r="U731" s="128"/>
      <c r="V731" s="128"/>
      <c r="W731" s="128"/>
      <c r="X731" s="128"/>
      <c r="Y731" s="128"/>
      <c r="Z731" s="270"/>
      <c r="AA731" s="128"/>
      <c r="AB731" s="267"/>
      <c r="AC731" s="267"/>
      <c r="AD731" s="139"/>
      <c r="AE731" s="139"/>
      <c r="AF731" s="267"/>
    </row>
    <row r="732">
      <c r="A732" s="258"/>
      <c r="B732" s="258"/>
      <c r="C732" s="259"/>
      <c r="D732" s="126"/>
      <c r="E732" s="113"/>
      <c r="F732" s="112"/>
      <c r="G732" s="113"/>
      <c r="H732" s="136"/>
      <c r="I732" s="113"/>
      <c r="J732" s="113"/>
      <c r="K732" s="113"/>
      <c r="L732" s="113"/>
      <c r="M732" s="271"/>
      <c r="N732" s="113"/>
      <c r="O732" s="258"/>
      <c r="P732" s="113"/>
      <c r="Q732" s="113"/>
      <c r="R732" s="113"/>
      <c r="S732" s="118"/>
      <c r="T732" s="271"/>
      <c r="U732" s="113"/>
      <c r="V732" s="113"/>
      <c r="W732" s="113"/>
      <c r="X732" s="113"/>
      <c r="Y732" s="113"/>
      <c r="Z732" s="272"/>
      <c r="AA732" s="113"/>
      <c r="AB732" s="258"/>
      <c r="AC732" s="258"/>
      <c r="AD732" s="127"/>
      <c r="AE732" s="127"/>
      <c r="AF732" s="258"/>
    </row>
    <row r="733">
      <c r="A733" s="267"/>
      <c r="B733" s="267"/>
      <c r="C733" s="268"/>
      <c r="D733" s="121"/>
      <c r="E733" s="128"/>
      <c r="F733" s="175"/>
      <c r="G733" s="128"/>
      <c r="H733" s="123"/>
      <c r="I733" s="128"/>
      <c r="J733" s="128"/>
      <c r="K733" s="128"/>
      <c r="L733" s="128"/>
      <c r="M733" s="269"/>
      <c r="N733" s="128"/>
      <c r="O733" s="267"/>
      <c r="P733" s="128"/>
      <c r="Q733" s="128"/>
      <c r="R733" s="128"/>
      <c r="S733" s="132"/>
      <c r="T733" s="269"/>
      <c r="U733" s="128"/>
      <c r="V733" s="128"/>
      <c r="W733" s="128"/>
      <c r="X733" s="128"/>
      <c r="Y733" s="128"/>
      <c r="Z733" s="270"/>
      <c r="AA733" s="128"/>
      <c r="AB733" s="267"/>
      <c r="AC733" s="267"/>
      <c r="AD733" s="139"/>
      <c r="AE733" s="139"/>
      <c r="AF733" s="267"/>
    </row>
    <row r="734">
      <c r="A734" s="258"/>
      <c r="B734" s="258"/>
      <c r="C734" s="259"/>
      <c r="D734" s="126"/>
      <c r="E734" s="113"/>
      <c r="F734" s="112"/>
      <c r="G734" s="113"/>
      <c r="H734" s="136"/>
      <c r="I734" s="113"/>
      <c r="J734" s="113"/>
      <c r="K734" s="113"/>
      <c r="L734" s="113"/>
      <c r="M734" s="271"/>
      <c r="N734" s="113"/>
      <c r="O734" s="258"/>
      <c r="P734" s="113"/>
      <c r="Q734" s="113"/>
      <c r="R734" s="113"/>
      <c r="S734" s="118"/>
      <c r="T734" s="271"/>
      <c r="U734" s="113"/>
      <c r="V734" s="113"/>
      <c r="W734" s="113"/>
      <c r="X734" s="113"/>
      <c r="Y734" s="113"/>
      <c r="Z734" s="272"/>
      <c r="AA734" s="113"/>
      <c r="AB734" s="258"/>
      <c r="AC734" s="258"/>
      <c r="AD734" s="127"/>
      <c r="AE734" s="127"/>
      <c r="AF734" s="258"/>
    </row>
    <row r="735">
      <c r="A735" s="267"/>
      <c r="B735" s="267"/>
      <c r="C735" s="268"/>
      <c r="D735" s="121"/>
      <c r="E735" s="128"/>
      <c r="F735" s="175"/>
      <c r="G735" s="128"/>
      <c r="H735" s="123"/>
      <c r="I735" s="128"/>
      <c r="J735" s="128"/>
      <c r="K735" s="128"/>
      <c r="L735" s="128"/>
      <c r="M735" s="269"/>
      <c r="N735" s="128"/>
      <c r="O735" s="267"/>
      <c r="P735" s="128"/>
      <c r="Q735" s="128"/>
      <c r="R735" s="128"/>
      <c r="S735" s="132"/>
      <c r="T735" s="269"/>
      <c r="U735" s="128"/>
      <c r="V735" s="128"/>
      <c r="W735" s="128"/>
      <c r="X735" s="128"/>
      <c r="Y735" s="128"/>
      <c r="Z735" s="270"/>
      <c r="AA735" s="128"/>
      <c r="AB735" s="267"/>
      <c r="AC735" s="267"/>
      <c r="AD735" s="139"/>
      <c r="AE735" s="139"/>
      <c r="AF735" s="267"/>
    </row>
    <row r="736">
      <c r="A736" s="258"/>
      <c r="B736" s="258"/>
      <c r="C736" s="259"/>
      <c r="D736" s="126"/>
      <c r="E736" s="113"/>
      <c r="F736" s="112"/>
      <c r="G736" s="113"/>
      <c r="H736" s="136"/>
      <c r="I736" s="113"/>
      <c r="J736" s="113"/>
      <c r="K736" s="113"/>
      <c r="L736" s="113"/>
      <c r="M736" s="271"/>
      <c r="N736" s="113"/>
      <c r="O736" s="258"/>
      <c r="P736" s="113"/>
      <c r="Q736" s="113"/>
      <c r="R736" s="113"/>
      <c r="S736" s="118"/>
      <c r="T736" s="271"/>
      <c r="U736" s="113"/>
      <c r="V736" s="113"/>
      <c r="W736" s="113"/>
      <c r="X736" s="113"/>
      <c r="Y736" s="113"/>
      <c r="Z736" s="272"/>
      <c r="AA736" s="113"/>
      <c r="AB736" s="258"/>
      <c r="AC736" s="258"/>
      <c r="AD736" s="127"/>
      <c r="AE736" s="127"/>
      <c r="AF736" s="258"/>
    </row>
    <row r="737">
      <c r="A737" s="267"/>
      <c r="B737" s="267"/>
      <c r="C737" s="268"/>
      <c r="D737" s="121"/>
      <c r="E737" s="128"/>
      <c r="F737" s="175"/>
      <c r="G737" s="128"/>
      <c r="H737" s="123"/>
      <c r="I737" s="128"/>
      <c r="J737" s="128"/>
      <c r="K737" s="128"/>
      <c r="L737" s="128"/>
      <c r="M737" s="269"/>
      <c r="N737" s="128"/>
      <c r="O737" s="267"/>
      <c r="P737" s="128"/>
      <c r="Q737" s="128"/>
      <c r="R737" s="128"/>
      <c r="S737" s="132"/>
      <c r="T737" s="269"/>
      <c r="U737" s="128"/>
      <c r="V737" s="128"/>
      <c r="W737" s="128"/>
      <c r="X737" s="128"/>
      <c r="Y737" s="128"/>
      <c r="Z737" s="270"/>
      <c r="AA737" s="128"/>
      <c r="AB737" s="267"/>
      <c r="AC737" s="267"/>
      <c r="AD737" s="139"/>
      <c r="AE737" s="139"/>
      <c r="AF737" s="267"/>
    </row>
    <row r="738">
      <c r="A738" s="258"/>
      <c r="B738" s="258"/>
      <c r="C738" s="259"/>
      <c r="D738" s="126"/>
      <c r="E738" s="113"/>
      <c r="F738" s="112"/>
      <c r="G738" s="113"/>
      <c r="H738" s="136"/>
      <c r="I738" s="113"/>
      <c r="J738" s="113"/>
      <c r="K738" s="113"/>
      <c r="L738" s="113"/>
      <c r="M738" s="271"/>
      <c r="N738" s="113"/>
      <c r="O738" s="258"/>
      <c r="P738" s="113"/>
      <c r="Q738" s="113"/>
      <c r="R738" s="113"/>
      <c r="S738" s="118"/>
      <c r="T738" s="271"/>
      <c r="U738" s="113"/>
      <c r="V738" s="113"/>
      <c r="W738" s="113"/>
      <c r="X738" s="113"/>
      <c r="Y738" s="113"/>
      <c r="Z738" s="272"/>
      <c r="AA738" s="113"/>
      <c r="AB738" s="258"/>
      <c r="AC738" s="258"/>
      <c r="AD738" s="127"/>
      <c r="AE738" s="127"/>
      <c r="AF738" s="258"/>
    </row>
    <row r="739">
      <c r="A739" s="267"/>
      <c r="B739" s="267"/>
      <c r="C739" s="268"/>
      <c r="D739" s="121"/>
      <c r="E739" s="128"/>
      <c r="F739" s="175"/>
      <c r="G739" s="128"/>
      <c r="H739" s="123"/>
      <c r="I739" s="128"/>
      <c r="J739" s="128"/>
      <c r="K739" s="128"/>
      <c r="L739" s="128"/>
      <c r="M739" s="269"/>
      <c r="N739" s="128"/>
      <c r="O739" s="267"/>
      <c r="P739" s="128"/>
      <c r="Q739" s="128"/>
      <c r="R739" s="128"/>
      <c r="S739" s="132"/>
      <c r="T739" s="269"/>
      <c r="U739" s="128"/>
      <c r="V739" s="128"/>
      <c r="W739" s="128"/>
      <c r="X739" s="128"/>
      <c r="Y739" s="128"/>
      <c r="Z739" s="270"/>
      <c r="AA739" s="128"/>
      <c r="AB739" s="267"/>
      <c r="AC739" s="267"/>
      <c r="AD739" s="139"/>
      <c r="AE739" s="139"/>
      <c r="AF739" s="267"/>
    </row>
    <row r="740">
      <c r="A740" s="258"/>
      <c r="B740" s="258"/>
      <c r="C740" s="259"/>
      <c r="D740" s="126"/>
      <c r="E740" s="113"/>
      <c r="F740" s="112"/>
      <c r="G740" s="113"/>
      <c r="H740" s="136"/>
      <c r="I740" s="113"/>
      <c r="J740" s="113"/>
      <c r="K740" s="113"/>
      <c r="L740" s="113"/>
      <c r="M740" s="271"/>
      <c r="N740" s="113"/>
      <c r="O740" s="258"/>
      <c r="P740" s="113"/>
      <c r="Q740" s="113"/>
      <c r="R740" s="113"/>
      <c r="S740" s="118"/>
      <c r="T740" s="271"/>
      <c r="U740" s="113"/>
      <c r="V740" s="113"/>
      <c r="W740" s="113"/>
      <c r="X740" s="113"/>
      <c r="Y740" s="113"/>
      <c r="Z740" s="272"/>
      <c r="AA740" s="113"/>
      <c r="AB740" s="258"/>
      <c r="AC740" s="258"/>
      <c r="AD740" s="127"/>
      <c r="AE740" s="127"/>
      <c r="AF740" s="258"/>
    </row>
    <row r="741">
      <c r="A741" s="267"/>
      <c r="B741" s="267"/>
      <c r="C741" s="268"/>
      <c r="D741" s="121"/>
      <c r="E741" s="128"/>
      <c r="F741" s="175"/>
      <c r="G741" s="128"/>
      <c r="H741" s="123"/>
      <c r="I741" s="128"/>
      <c r="J741" s="128"/>
      <c r="K741" s="128"/>
      <c r="L741" s="128"/>
      <c r="M741" s="269"/>
      <c r="N741" s="128"/>
      <c r="O741" s="267"/>
      <c r="P741" s="128"/>
      <c r="Q741" s="128"/>
      <c r="R741" s="128"/>
      <c r="S741" s="132"/>
      <c r="T741" s="269"/>
      <c r="U741" s="128"/>
      <c r="V741" s="128"/>
      <c r="W741" s="128"/>
      <c r="X741" s="128"/>
      <c r="Y741" s="128"/>
      <c r="Z741" s="270"/>
      <c r="AA741" s="128"/>
      <c r="AB741" s="267"/>
      <c r="AC741" s="267"/>
      <c r="AD741" s="139"/>
      <c r="AE741" s="139"/>
      <c r="AF741" s="267"/>
    </row>
    <row r="742">
      <c r="A742" s="258"/>
      <c r="B742" s="258"/>
      <c r="C742" s="259"/>
      <c r="D742" s="126"/>
      <c r="E742" s="113"/>
      <c r="F742" s="112"/>
      <c r="G742" s="113"/>
      <c r="H742" s="136"/>
      <c r="I742" s="113"/>
      <c r="J742" s="113"/>
      <c r="K742" s="113"/>
      <c r="L742" s="113"/>
      <c r="M742" s="271"/>
      <c r="N742" s="113"/>
      <c r="O742" s="258"/>
      <c r="P742" s="113"/>
      <c r="Q742" s="113"/>
      <c r="R742" s="113"/>
      <c r="S742" s="118"/>
      <c r="T742" s="271"/>
      <c r="U742" s="113"/>
      <c r="V742" s="113"/>
      <c r="W742" s="113"/>
      <c r="X742" s="113"/>
      <c r="Y742" s="113"/>
      <c r="Z742" s="272"/>
      <c r="AA742" s="113"/>
      <c r="AB742" s="258"/>
      <c r="AC742" s="258"/>
      <c r="AD742" s="127"/>
      <c r="AE742" s="127"/>
      <c r="AF742" s="258"/>
    </row>
    <row r="743">
      <c r="A743" s="267"/>
      <c r="B743" s="267"/>
      <c r="C743" s="268"/>
      <c r="D743" s="121"/>
      <c r="E743" s="128"/>
      <c r="F743" s="175"/>
      <c r="G743" s="128"/>
      <c r="H743" s="123"/>
      <c r="I743" s="128"/>
      <c r="J743" s="128"/>
      <c r="K743" s="128"/>
      <c r="L743" s="128"/>
      <c r="M743" s="269"/>
      <c r="N743" s="128"/>
      <c r="O743" s="267"/>
      <c r="P743" s="128"/>
      <c r="Q743" s="128"/>
      <c r="R743" s="128"/>
      <c r="S743" s="132"/>
      <c r="T743" s="269"/>
      <c r="U743" s="128"/>
      <c r="V743" s="128"/>
      <c r="W743" s="128"/>
      <c r="X743" s="128"/>
      <c r="Y743" s="128"/>
      <c r="Z743" s="270"/>
      <c r="AA743" s="128"/>
      <c r="AB743" s="267"/>
      <c r="AC743" s="267"/>
      <c r="AD743" s="139"/>
      <c r="AE743" s="139"/>
      <c r="AF743" s="267"/>
    </row>
    <row r="744">
      <c r="A744" s="258"/>
      <c r="B744" s="258"/>
      <c r="C744" s="259"/>
      <c r="D744" s="126"/>
      <c r="E744" s="113"/>
      <c r="F744" s="112"/>
      <c r="G744" s="113"/>
      <c r="H744" s="136"/>
      <c r="I744" s="113"/>
      <c r="J744" s="113"/>
      <c r="K744" s="113"/>
      <c r="L744" s="113"/>
      <c r="M744" s="271"/>
      <c r="N744" s="113"/>
      <c r="O744" s="258"/>
      <c r="P744" s="113"/>
      <c r="Q744" s="113"/>
      <c r="R744" s="113"/>
      <c r="S744" s="118"/>
      <c r="T744" s="271"/>
      <c r="U744" s="113"/>
      <c r="V744" s="113"/>
      <c r="W744" s="113"/>
      <c r="X744" s="113"/>
      <c r="Y744" s="113"/>
      <c r="Z744" s="272"/>
      <c r="AA744" s="113"/>
      <c r="AB744" s="258"/>
      <c r="AC744" s="258"/>
      <c r="AD744" s="127"/>
      <c r="AE744" s="127"/>
      <c r="AF744" s="258"/>
    </row>
    <row r="745">
      <c r="A745" s="267"/>
      <c r="B745" s="267"/>
      <c r="C745" s="268"/>
      <c r="D745" s="121"/>
      <c r="E745" s="128"/>
      <c r="F745" s="175"/>
      <c r="G745" s="128"/>
      <c r="H745" s="123"/>
      <c r="I745" s="128"/>
      <c r="J745" s="128"/>
      <c r="K745" s="128"/>
      <c r="L745" s="128"/>
      <c r="M745" s="269"/>
      <c r="N745" s="128"/>
      <c r="O745" s="267"/>
      <c r="P745" s="128"/>
      <c r="Q745" s="128"/>
      <c r="R745" s="128"/>
      <c r="S745" s="132"/>
      <c r="T745" s="269"/>
      <c r="U745" s="128"/>
      <c r="V745" s="128"/>
      <c r="W745" s="128"/>
      <c r="X745" s="128"/>
      <c r="Y745" s="128"/>
      <c r="Z745" s="270"/>
      <c r="AA745" s="128"/>
      <c r="AB745" s="267"/>
      <c r="AC745" s="267"/>
      <c r="AD745" s="139"/>
      <c r="AE745" s="139"/>
      <c r="AF745" s="267"/>
    </row>
    <row r="746">
      <c r="A746" s="258"/>
      <c r="B746" s="258"/>
      <c r="C746" s="259"/>
      <c r="D746" s="126"/>
      <c r="E746" s="113"/>
      <c r="F746" s="112"/>
      <c r="G746" s="113"/>
      <c r="H746" s="136"/>
      <c r="I746" s="113"/>
      <c r="J746" s="113"/>
      <c r="K746" s="113"/>
      <c r="L746" s="113"/>
      <c r="M746" s="271"/>
      <c r="N746" s="113"/>
      <c r="O746" s="258"/>
      <c r="P746" s="113"/>
      <c r="Q746" s="113"/>
      <c r="R746" s="113"/>
      <c r="S746" s="118"/>
      <c r="T746" s="271"/>
      <c r="U746" s="113"/>
      <c r="V746" s="113"/>
      <c r="W746" s="113"/>
      <c r="X746" s="113"/>
      <c r="Y746" s="113"/>
      <c r="Z746" s="272"/>
      <c r="AA746" s="113"/>
      <c r="AB746" s="258"/>
      <c r="AC746" s="258"/>
      <c r="AD746" s="127"/>
      <c r="AE746" s="127"/>
      <c r="AF746" s="258"/>
    </row>
    <row r="747">
      <c r="A747" s="267"/>
      <c r="B747" s="267"/>
      <c r="C747" s="268"/>
      <c r="D747" s="121"/>
      <c r="E747" s="128"/>
      <c r="F747" s="175"/>
      <c r="G747" s="128"/>
      <c r="H747" s="123"/>
      <c r="I747" s="128"/>
      <c r="J747" s="128"/>
      <c r="K747" s="128"/>
      <c r="L747" s="128"/>
      <c r="M747" s="269"/>
      <c r="N747" s="128"/>
      <c r="O747" s="267"/>
      <c r="P747" s="128"/>
      <c r="Q747" s="128"/>
      <c r="R747" s="128"/>
      <c r="S747" s="132"/>
      <c r="T747" s="269"/>
      <c r="U747" s="128"/>
      <c r="V747" s="128"/>
      <c r="W747" s="128"/>
      <c r="X747" s="128"/>
      <c r="Y747" s="128"/>
      <c r="Z747" s="270"/>
      <c r="AA747" s="128"/>
      <c r="AB747" s="267"/>
      <c r="AC747" s="267"/>
      <c r="AD747" s="139"/>
      <c r="AE747" s="139"/>
      <c r="AF747" s="267"/>
    </row>
    <row r="748">
      <c r="A748" s="258"/>
      <c r="B748" s="258"/>
      <c r="C748" s="259"/>
      <c r="D748" s="126"/>
      <c r="E748" s="113"/>
      <c r="F748" s="112"/>
      <c r="G748" s="113"/>
      <c r="H748" s="136"/>
      <c r="I748" s="113"/>
      <c r="J748" s="113"/>
      <c r="K748" s="113"/>
      <c r="L748" s="113"/>
      <c r="M748" s="271"/>
      <c r="N748" s="113"/>
      <c r="O748" s="258"/>
      <c r="P748" s="113"/>
      <c r="Q748" s="113"/>
      <c r="R748" s="113"/>
      <c r="S748" s="118"/>
      <c r="T748" s="271"/>
      <c r="U748" s="113"/>
      <c r="V748" s="113"/>
      <c r="W748" s="113"/>
      <c r="X748" s="113"/>
      <c r="Y748" s="113"/>
      <c r="Z748" s="272"/>
      <c r="AA748" s="113"/>
      <c r="AB748" s="258"/>
      <c r="AC748" s="258"/>
      <c r="AD748" s="127"/>
      <c r="AE748" s="127"/>
      <c r="AF748" s="258"/>
    </row>
    <row r="749">
      <c r="A749" s="267"/>
      <c r="B749" s="267"/>
      <c r="C749" s="268"/>
      <c r="D749" s="121"/>
      <c r="E749" s="128"/>
      <c r="F749" s="175"/>
      <c r="G749" s="128"/>
      <c r="H749" s="123"/>
      <c r="I749" s="128"/>
      <c r="J749" s="128"/>
      <c r="K749" s="128"/>
      <c r="L749" s="128"/>
      <c r="M749" s="269"/>
      <c r="N749" s="128"/>
      <c r="O749" s="267"/>
      <c r="P749" s="128"/>
      <c r="Q749" s="128"/>
      <c r="R749" s="128"/>
      <c r="S749" s="132"/>
      <c r="T749" s="269"/>
      <c r="U749" s="128"/>
      <c r="V749" s="128"/>
      <c r="W749" s="128"/>
      <c r="X749" s="128"/>
      <c r="Y749" s="128"/>
      <c r="Z749" s="270"/>
      <c r="AA749" s="128"/>
      <c r="AB749" s="267"/>
      <c r="AC749" s="267"/>
      <c r="AD749" s="139"/>
      <c r="AE749" s="139"/>
      <c r="AF749" s="267"/>
    </row>
    <row r="750">
      <c r="A750" s="258"/>
      <c r="B750" s="258"/>
      <c r="C750" s="259"/>
      <c r="D750" s="126"/>
      <c r="E750" s="113"/>
      <c r="F750" s="112"/>
      <c r="G750" s="113"/>
      <c r="H750" s="136"/>
      <c r="I750" s="113"/>
      <c r="J750" s="113"/>
      <c r="K750" s="113"/>
      <c r="L750" s="113"/>
      <c r="M750" s="271"/>
      <c r="N750" s="113"/>
      <c r="O750" s="258"/>
      <c r="P750" s="113"/>
      <c r="Q750" s="113"/>
      <c r="R750" s="113"/>
      <c r="S750" s="118"/>
      <c r="T750" s="271"/>
      <c r="U750" s="113"/>
      <c r="V750" s="113"/>
      <c r="W750" s="113"/>
      <c r="X750" s="113"/>
      <c r="Y750" s="113"/>
      <c r="Z750" s="272"/>
      <c r="AA750" s="113"/>
      <c r="AB750" s="258"/>
      <c r="AC750" s="258"/>
      <c r="AD750" s="127"/>
      <c r="AE750" s="127"/>
      <c r="AF750" s="258"/>
    </row>
    <row r="751">
      <c r="A751" s="267"/>
      <c r="B751" s="267"/>
      <c r="C751" s="268"/>
      <c r="D751" s="121"/>
      <c r="E751" s="128"/>
      <c r="F751" s="175"/>
      <c r="G751" s="128"/>
      <c r="H751" s="123"/>
      <c r="I751" s="128"/>
      <c r="J751" s="128"/>
      <c r="K751" s="128"/>
      <c r="L751" s="128"/>
      <c r="M751" s="269"/>
      <c r="N751" s="128"/>
      <c r="O751" s="267"/>
      <c r="P751" s="128"/>
      <c r="Q751" s="128"/>
      <c r="R751" s="128"/>
      <c r="S751" s="132"/>
      <c r="T751" s="269"/>
      <c r="U751" s="128"/>
      <c r="V751" s="128"/>
      <c r="W751" s="128"/>
      <c r="X751" s="128"/>
      <c r="Y751" s="128"/>
      <c r="Z751" s="270"/>
      <c r="AA751" s="128"/>
      <c r="AB751" s="267"/>
      <c r="AC751" s="267"/>
      <c r="AD751" s="139"/>
      <c r="AE751" s="139"/>
      <c r="AF751" s="267"/>
    </row>
    <row r="752">
      <c r="A752" s="258"/>
      <c r="B752" s="258"/>
      <c r="C752" s="259"/>
      <c r="D752" s="126"/>
      <c r="E752" s="113"/>
      <c r="F752" s="112"/>
      <c r="G752" s="113"/>
      <c r="H752" s="136"/>
      <c r="I752" s="113"/>
      <c r="J752" s="113"/>
      <c r="K752" s="113"/>
      <c r="L752" s="113"/>
      <c r="M752" s="271"/>
      <c r="N752" s="113"/>
      <c r="O752" s="258"/>
      <c r="P752" s="113"/>
      <c r="Q752" s="113"/>
      <c r="R752" s="113"/>
      <c r="S752" s="118"/>
      <c r="T752" s="271"/>
      <c r="U752" s="113"/>
      <c r="V752" s="113"/>
      <c r="W752" s="113"/>
      <c r="X752" s="113"/>
      <c r="Y752" s="113"/>
      <c r="Z752" s="272"/>
      <c r="AA752" s="113"/>
      <c r="AB752" s="258"/>
      <c r="AC752" s="258"/>
      <c r="AD752" s="127"/>
      <c r="AE752" s="127"/>
      <c r="AF752" s="258"/>
    </row>
    <row r="753">
      <c r="A753" s="267"/>
      <c r="B753" s="267"/>
      <c r="C753" s="268"/>
      <c r="D753" s="121"/>
      <c r="E753" s="128"/>
      <c r="F753" s="175"/>
      <c r="G753" s="128"/>
      <c r="H753" s="123"/>
      <c r="I753" s="128"/>
      <c r="J753" s="128"/>
      <c r="K753" s="128"/>
      <c r="L753" s="128"/>
      <c r="M753" s="269"/>
      <c r="N753" s="128"/>
      <c r="O753" s="267"/>
      <c r="P753" s="128"/>
      <c r="Q753" s="128"/>
      <c r="R753" s="128"/>
      <c r="S753" s="132"/>
      <c r="T753" s="269"/>
      <c r="U753" s="128"/>
      <c r="V753" s="128"/>
      <c r="W753" s="128"/>
      <c r="X753" s="128"/>
      <c r="Y753" s="128"/>
      <c r="Z753" s="270"/>
      <c r="AA753" s="128"/>
      <c r="AB753" s="267"/>
      <c r="AC753" s="267"/>
      <c r="AD753" s="139"/>
      <c r="AE753" s="139"/>
      <c r="AF753" s="267"/>
    </row>
    <row r="754">
      <c r="A754" s="258"/>
      <c r="B754" s="258"/>
      <c r="C754" s="259"/>
      <c r="D754" s="126"/>
      <c r="E754" s="113"/>
      <c r="F754" s="112"/>
      <c r="G754" s="113"/>
      <c r="H754" s="136"/>
      <c r="I754" s="113"/>
      <c r="J754" s="113"/>
      <c r="K754" s="113"/>
      <c r="L754" s="113"/>
      <c r="M754" s="271"/>
      <c r="N754" s="113"/>
      <c r="O754" s="258"/>
      <c r="P754" s="113"/>
      <c r="Q754" s="113"/>
      <c r="R754" s="113"/>
      <c r="S754" s="118"/>
      <c r="T754" s="271"/>
      <c r="U754" s="113"/>
      <c r="V754" s="113"/>
      <c r="W754" s="113"/>
      <c r="X754" s="113"/>
      <c r="Y754" s="113"/>
      <c r="Z754" s="272"/>
      <c r="AA754" s="113"/>
      <c r="AB754" s="258"/>
      <c r="AC754" s="258"/>
      <c r="AD754" s="127"/>
      <c r="AE754" s="127"/>
      <c r="AF754" s="258"/>
    </row>
    <row r="755">
      <c r="A755" s="267"/>
      <c r="B755" s="267"/>
      <c r="C755" s="268"/>
      <c r="D755" s="121"/>
      <c r="E755" s="128"/>
      <c r="F755" s="175"/>
      <c r="G755" s="128"/>
      <c r="H755" s="123"/>
      <c r="I755" s="128"/>
      <c r="J755" s="128"/>
      <c r="K755" s="128"/>
      <c r="L755" s="128"/>
      <c r="M755" s="269"/>
      <c r="N755" s="128"/>
      <c r="O755" s="267"/>
      <c r="P755" s="128"/>
      <c r="Q755" s="128"/>
      <c r="R755" s="128"/>
      <c r="S755" s="132"/>
      <c r="T755" s="269"/>
      <c r="U755" s="128"/>
      <c r="V755" s="128"/>
      <c r="W755" s="128"/>
      <c r="X755" s="128"/>
      <c r="Y755" s="128"/>
      <c r="Z755" s="270"/>
      <c r="AA755" s="128"/>
      <c r="AB755" s="267"/>
      <c r="AC755" s="267"/>
      <c r="AD755" s="139"/>
      <c r="AE755" s="139"/>
      <c r="AF755" s="267"/>
    </row>
    <row r="756">
      <c r="A756" s="258"/>
      <c r="B756" s="258"/>
      <c r="C756" s="259"/>
      <c r="D756" s="126"/>
      <c r="E756" s="113"/>
      <c r="F756" s="112"/>
      <c r="G756" s="113"/>
      <c r="H756" s="136"/>
      <c r="I756" s="113"/>
      <c r="J756" s="113"/>
      <c r="K756" s="113"/>
      <c r="L756" s="113"/>
      <c r="M756" s="271"/>
      <c r="N756" s="113"/>
      <c r="O756" s="258"/>
      <c r="P756" s="113"/>
      <c r="Q756" s="113"/>
      <c r="R756" s="113"/>
      <c r="S756" s="118"/>
      <c r="T756" s="271"/>
      <c r="U756" s="113"/>
      <c r="V756" s="113"/>
      <c r="W756" s="113"/>
      <c r="X756" s="113"/>
      <c r="Y756" s="113"/>
      <c r="Z756" s="272"/>
      <c r="AA756" s="113"/>
      <c r="AB756" s="258"/>
      <c r="AC756" s="258"/>
      <c r="AD756" s="127"/>
      <c r="AE756" s="127"/>
      <c r="AF756" s="258"/>
    </row>
    <row r="757">
      <c r="A757" s="267"/>
      <c r="B757" s="267"/>
      <c r="C757" s="268"/>
      <c r="D757" s="121"/>
      <c r="E757" s="128"/>
      <c r="F757" s="175"/>
      <c r="G757" s="128"/>
      <c r="H757" s="123"/>
      <c r="I757" s="128"/>
      <c r="J757" s="128"/>
      <c r="K757" s="128"/>
      <c r="L757" s="128"/>
      <c r="M757" s="269"/>
      <c r="N757" s="128"/>
      <c r="O757" s="267"/>
      <c r="P757" s="128"/>
      <c r="Q757" s="128"/>
      <c r="R757" s="128"/>
      <c r="S757" s="132"/>
      <c r="T757" s="269"/>
      <c r="U757" s="128"/>
      <c r="V757" s="128"/>
      <c r="W757" s="128"/>
      <c r="X757" s="128"/>
      <c r="Y757" s="128"/>
      <c r="Z757" s="270"/>
      <c r="AA757" s="128"/>
      <c r="AB757" s="267"/>
      <c r="AC757" s="267"/>
      <c r="AD757" s="139"/>
      <c r="AE757" s="139"/>
      <c r="AF757" s="267"/>
    </row>
    <row r="758">
      <c r="A758" s="258"/>
      <c r="B758" s="258"/>
      <c r="C758" s="259"/>
      <c r="D758" s="126"/>
      <c r="E758" s="113"/>
      <c r="F758" s="112"/>
      <c r="G758" s="113"/>
      <c r="H758" s="136"/>
      <c r="I758" s="113"/>
      <c r="J758" s="113"/>
      <c r="K758" s="113"/>
      <c r="L758" s="113"/>
      <c r="M758" s="271"/>
      <c r="N758" s="113"/>
      <c r="O758" s="258"/>
      <c r="P758" s="113"/>
      <c r="Q758" s="113"/>
      <c r="R758" s="113"/>
      <c r="S758" s="118"/>
      <c r="T758" s="271"/>
      <c r="U758" s="113"/>
      <c r="V758" s="113"/>
      <c r="W758" s="113"/>
      <c r="X758" s="113"/>
      <c r="Y758" s="113"/>
      <c r="Z758" s="272"/>
      <c r="AA758" s="113"/>
      <c r="AB758" s="258"/>
      <c r="AC758" s="258"/>
      <c r="AD758" s="127"/>
      <c r="AE758" s="127"/>
      <c r="AF758" s="258"/>
    </row>
    <row r="759">
      <c r="A759" s="267"/>
      <c r="B759" s="267"/>
      <c r="C759" s="268"/>
      <c r="D759" s="121"/>
      <c r="E759" s="128"/>
      <c r="F759" s="175"/>
      <c r="G759" s="128"/>
      <c r="H759" s="123"/>
      <c r="I759" s="128"/>
      <c r="J759" s="128"/>
      <c r="K759" s="128"/>
      <c r="L759" s="128"/>
      <c r="M759" s="269"/>
      <c r="N759" s="128"/>
      <c r="O759" s="267"/>
      <c r="P759" s="128"/>
      <c r="Q759" s="128"/>
      <c r="R759" s="128"/>
      <c r="S759" s="132"/>
      <c r="T759" s="269"/>
      <c r="U759" s="128"/>
      <c r="V759" s="128"/>
      <c r="W759" s="128"/>
      <c r="X759" s="128"/>
      <c r="Y759" s="128"/>
      <c r="Z759" s="270"/>
      <c r="AA759" s="128"/>
      <c r="AB759" s="267"/>
      <c r="AC759" s="267"/>
      <c r="AD759" s="139"/>
      <c r="AE759" s="139"/>
      <c r="AF759" s="267"/>
    </row>
    <row r="760">
      <c r="A760" s="258"/>
      <c r="B760" s="258"/>
      <c r="C760" s="259"/>
      <c r="D760" s="126"/>
      <c r="E760" s="113"/>
      <c r="F760" s="112"/>
      <c r="G760" s="113"/>
      <c r="H760" s="136"/>
      <c r="I760" s="113"/>
      <c r="J760" s="113"/>
      <c r="K760" s="113"/>
      <c r="L760" s="113"/>
      <c r="M760" s="271"/>
      <c r="N760" s="113"/>
      <c r="O760" s="258"/>
      <c r="P760" s="113"/>
      <c r="Q760" s="113"/>
      <c r="R760" s="113"/>
      <c r="S760" s="118"/>
      <c r="T760" s="271"/>
      <c r="U760" s="113"/>
      <c r="V760" s="113"/>
      <c r="W760" s="113"/>
      <c r="X760" s="113"/>
      <c r="Y760" s="113"/>
      <c r="Z760" s="272"/>
      <c r="AA760" s="113"/>
      <c r="AB760" s="258"/>
      <c r="AC760" s="258"/>
      <c r="AD760" s="127"/>
      <c r="AE760" s="127"/>
      <c r="AF760" s="258"/>
    </row>
    <row r="761">
      <c r="A761" s="267"/>
      <c r="B761" s="267"/>
      <c r="C761" s="268"/>
      <c r="D761" s="121"/>
      <c r="E761" s="128"/>
      <c r="F761" s="175"/>
      <c r="G761" s="128"/>
      <c r="H761" s="123"/>
      <c r="I761" s="128"/>
      <c r="J761" s="128"/>
      <c r="K761" s="128"/>
      <c r="L761" s="128"/>
      <c r="M761" s="269"/>
      <c r="N761" s="128"/>
      <c r="O761" s="267"/>
      <c r="P761" s="128"/>
      <c r="Q761" s="128"/>
      <c r="R761" s="128"/>
      <c r="S761" s="132"/>
      <c r="T761" s="269"/>
      <c r="U761" s="128"/>
      <c r="V761" s="128"/>
      <c r="W761" s="128"/>
      <c r="X761" s="128"/>
      <c r="Y761" s="128"/>
      <c r="Z761" s="270"/>
      <c r="AA761" s="128"/>
      <c r="AB761" s="267"/>
      <c r="AC761" s="267"/>
      <c r="AD761" s="139"/>
      <c r="AE761" s="139"/>
      <c r="AF761" s="267"/>
    </row>
    <row r="762">
      <c r="A762" s="258"/>
      <c r="B762" s="258"/>
      <c r="C762" s="259"/>
      <c r="D762" s="126"/>
      <c r="E762" s="113"/>
      <c r="F762" s="112"/>
      <c r="G762" s="113"/>
      <c r="H762" s="136"/>
      <c r="I762" s="113"/>
      <c r="J762" s="113"/>
      <c r="K762" s="113"/>
      <c r="L762" s="113"/>
      <c r="M762" s="271"/>
      <c r="N762" s="113"/>
      <c r="O762" s="258"/>
      <c r="P762" s="113"/>
      <c r="Q762" s="113"/>
      <c r="R762" s="113"/>
      <c r="S762" s="118"/>
      <c r="T762" s="271"/>
      <c r="U762" s="113"/>
      <c r="V762" s="113"/>
      <c r="W762" s="113"/>
      <c r="X762" s="113"/>
      <c r="Y762" s="113"/>
      <c r="Z762" s="272"/>
      <c r="AA762" s="113"/>
      <c r="AB762" s="258"/>
      <c r="AC762" s="258"/>
      <c r="AD762" s="127"/>
      <c r="AE762" s="127"/>
      <c r="AF762" s="258"/>
    </row>
    <row r="763">
      <c r="A763" s="267"/>
      <c r="B763" s="267"/>
      <c r="C763" s="268"/>
      <c r="D763" s="121"/>
      <c r="E763" s="128"/>
      <c r="F763" s="175"/>
      <c r="G763" s="128"/>
      <c r="H763" s="123"/>
      <c r="I763" s="128"/>
      <c r="J763" s="128"/>
      <c r="K763" s="128"/>
      <c r="L763" s="128"/>
      <c r="M763" s="269"/>
      <c r="N763" s="128"/>
      <c r="O763" s="267"/>
      <c r="P763" s="128"/>
      <c r="Q763" s="128"/>
      <c r="R763" s="128"/>
      <c r="S763" s="132"/>
      <c r="T763" s="269"/>
      <c r="U763" s="128"/>
      <c r="V763" s="128"/>
      <c r="W763" s="128"/>
      <c r="X763" s="128"/>
      <c r="Y763" s="128"/>
      <c r="Z763" s="270"/>
      <c r="AA763" s="128"/>
      <c r="AB763" s="267"/>
      <c r="AC763" s="267"/>
      <c r="AD763" s="139"/>
      <c r="AE763" s="139"/>
      <c r="AF763" s="267"/>
    </row>
    <row r="764">
      <c r="A764" s="258"/>
      <c r="B764" s="258"/>
      <c r="C764" s="259"/>
      <c r="D764" s="126"/>
      <c r="E764" s="113"/>
      <c r="F764" s="112"/>
      <c r="G764" s="113"/>
      <c r="H764" s="136"/>
      <c r="I764" s="113"/>
      <c r="J764" s="113"/>
      <c r="K764" s="113"/>
      <c r="L764" s="113"/>
      <c r="M764" s="271"/>
      <c r="N764" s="113"/>
      <c r="O764" s="258"/>
      <c r="P764" s="113"/>
      <c r="Q764" s="113"/>
      <c r="R764" s="113"/>
      <c r="S764" s="118"/>
      <c r="T764" s="271"/>
      <c r="U764" s="113"/>
      <c r="V764" s="113"/>
      <c r="W764" s="113"/>
      <c r="X764" s="113"/>
      <c r="Y764" s="113"/>
      <c r="Z764" s="272"/>
      <c r="AA764" s="113"/>
      <c r="AB764" s="258"/>
      <c r="AC764" s="258"/>
      <c r="AD764" s="127"/>
      <c r="AE764" s="127"/>
      <c r="AF764" s="258"/>
    </row>
    <row r="765">
      <c r="A765" s="267"/>
      <c r="B765" s="267"/>
      <c r="C765" s="268"/>
      <c r="D765" s="121"/>
      <c r="E765" s="128"/>
      <c r="F765" s="175"/>
      <c r="G765" s="128"/>
      <c r="H765" s="123"/>
      <c r="I765" s="128"/>
      <c r="J765" s="128"/>
      <c r="K765" s="128"/>
      <c r="L765" s="128"/>
      <c r="M765" s="269"/>
      <c r="N765" s="128"/>
      <c r="O765" s="267"/>
      <c r="P765" s="128"/>
      <c r="Q765" s="128"/>
      <c r="R765" s="128"/>
      <c r="S765" s="132"/>
      <c r="T765" s="269"/>
      <c r="U765" s="128"/>
      <c r="V765" s="128"/>
      <c r="W765" s="128"/>
      <c r="X765" s="128"/>
      <c r="Y765" s="128"/>
      <c r="Z765" s="270"/>
      <c r="AA765" s="128"/>
      <c r="AB765" s="267"/>
      <c r="AC765" s="267"/>
      <c r="AD765" s="139"/>
      <c r="AE765" s="139"/>
      <c r="AF765" s="267"/>
    </row>
    <row r="766">
      <c r="A766" s="258"/>
      <c r="B766" s="258"/>
      <c r="C766" s="259"/>
      <c r="D766" s="126"/>
      <c r="E766" s="113"/>
      <c r="F766" s="112"/>
      <c r="G766" s="113"/>
      <c r="H766" s="136"/>
      <c r="I766" s="113"/>
      <c r="J766" s="113"/>
      <c r="K766" s="113"/>
      <c r="L766" s="113"/>
      <c r="M766" s="271"/>
      <c r="N766" s="113"/>
      <c r="O766" s="258"/>
      <c r="P766" s="113"/>
      <c r="Q766" s="113"/>
      <c r="R766" s="113"/>
      <c r="S766" s="118"/>
      <c r="T766" s="271"/>
      <c r="U766" s="113"/>
      <c r="V766" s="113"/>
      <c r="W766" s="113"/>
      <c r="X766" s="113"/>
      <c r="Y766" s="113"/>
      <c r="Z766" s="272"/>
      <c r="AA766" s="113"/>
      <c r="AB766" s="258"/>
      <c r="AC766" s="258"/>
      <c r="AD766" s="127"/>
      <c r="AE766" s="127"/>
      <c r="AF766" s="258"/>
    </row>
    <row r="767">
      <c r="A767" s="267"/>
      <c r="B767" s="267"/>
      <c r="C767" s="268"/>
      <c r="D767" s="121"/>
      <c r="E767" s="128"/>
      <c r="F767" s="175"/>
      <c r="G767" s="128"/>
      <c r="H767" s="123"/>
      <c r="I767" s="128"/>
      <c r="J767" s="128"/>
      <c r="K767" s="128"/>
      <c r="L767" s="128"/>
      <c r="M767" s="269"/>
      <c r="N767" s="128"/>
      <c r="O767" s="267"/>
      <c r="P767" s="128"/>
      <c r="Q767" s="128"/>
      <c r="R767" s="128"/>
      <c r="S767" s="132"/>
      <c r="T767" s="269"/>
      <c r="U767" s="128"/>
      <c r="V767" s="128"/>
      <c r="W767" s="128"/>
      <c r="X767" s="128"/>
      <c r="Y767" s="128"/>
      <c r="Z767" s="270"/>
      <c r="AA767" s="128"/>
      <c r="AB767" s="267"/>
      <c r="AC767" s="267"/>
      <c r="AD767" s="139"/>
      <c r="AE767" s="139"/>
      <c r="AF767" s="267"/>
    </row>
    <row r="768">
      <c r="A768" s="258"/>
      <c r="B768" s="258"/>
      <c r="C768" s="259"/>
      <c r="D768" s="126"/>
      <c r="E768" s="113"/>
      <c r="F768" s="112"/>
      <c r="G768" s="113"/>
      <c r="H768" s="136"/>
      <c r="I768" s="113"/>
      <c r="J768" s="113"/>
      <c r="K768" s="113"/>
      <c r="L768" s="113"/>
      <c r="M768" s="271"/>
      <c r="N768" s="113"/>
      <c r="O768" s="258"/>
      <c r="P768" s="113"/>
      <c r="Q768" s="113"/>
      <c r="R768" s="113"/>
      <c r="S768" s="118"/>
      <c r="T768" s="271"/>
      <c r="U768" s="113"/>
      <c r="V768" s="113"/>
      <c r="W768" s="113"/>
      <c r="X768" s="113"/>
      <c r="Y768" s="113"/>
      <c r="Z768" s="272"/>
      <c r="AA768" s="113"/>
      <c r="AB768" s="258"/>
      <c r="AC768" s="258"/>
      <c r="AD768" s="127"/>
      <c r="AE768" s="127"/>
      <c r="AF768" s="258"/>
    </row>
    <row r="769">
      <c r="A769" s="267"/>
      <c r="B769" s="267"/>
      <c r="C769" s="268"/>
      <c r="D769" s="121"/>
      <c r="E769" s="128"/>
      <c r="F769" s="175"/>
      <c r="G769" s="128"/>
      <c r="H769" s="123"/>
      <c r="I769" s="128"/>
      <c r="J769" s="128"/>
      <c r="K769" s="128"/>
      <c r="L769" s="128"/>
      <c r="M769" s="269"/>
      <c r="N769" s="128"/>
      <c r="O769" s="267"/>
      <c r="P769" s="128"/>
      <c r="Q769" s="128"/>
      <c r="R769" s="128"/>
      <c r="S769" s="132"/>
      <c r="T769" s="269"/>
      <c r="U769" s="128"/>
      <c r="V769" s="128"/>
      <c r="W769" s="128"/>
      <c r="X769" s="128"/>
      <c r="Y769" s="128"/>
      <c r="Z769" s="270"/>
      <c r="AA769" s="128"/>
      <c r="AB769" s="267"/>
      <c r="AC769" s="267"/>
      <c r="AD769" s="139"/>
      <c r="AE769" s="139"/>
      <c r="AF769" s="267"/>
    </row>
    <row r="770">
      <c r="A770" s="258"/>
      <c r="B770" s="258"/>
      <c r="C770" s="259"/>
      <c r="D770" s="126"/>
      <c r="E770" s="113"/>
      <c r="F770" s="112"/>
      <c r="G770" s="113"/>
      <c r="H770" s="136"/>
      <c r="I770" s="113"/>
      <c r="J770" s="113"/>
      <c r="K770" s="113"/>
      <c r="L770" s="113"/>
      <c r="M770" s="271"/>
      <c r="N770" s="113"/>
      <c r="O770" s="258"/>
      <c r="P770" s="113"/>
      <c r="Q770" s="113"/>
      <c r="R770" s="113"/>
      <c r="S770" s="118"/>
      <c r="T770" s="271"/>
      <c r="U770" s="113"/>
      <c r="V770" s="113"/>
      <c r="W770" s="113"/>
      <c r="X770" s="113"/>
      <c r="Y770" s="113"/>
      <c r="Z770" s="272"/>
      <c r="AA770" s="113"/>
      <c r="AB770" s="258"/>
      <c r="AC770" s="258"/>
      <c r="AD770" s="127"/>
      <c r="AE770" s="127"/>
      <c r="AF770" s="258"/>
    </row>
    <row r="771">
      <c r="A771" s="267"/>
      <c r="B771" s="267"/>
      <c r="C771" s="268"/>
      <c r="D771" s="121"/>
      <c r="E771" s="128"/>
      <c r="F771" s="175"/>
      <c r="G771" s="128"/>
      <c r="H771" s="123"/>
      <c r="I771" s="128"/>
      <c r="J771" s="128"/>
      <c r="K771" s="128"/>
      <c r="L771" s="128"/>
      <c r="M771" s="269"/>
      <c r="N771" s="128"/>
      <c r="O771" s="267"/>
      <c r="P771" s="128"/>
      <c r="Q771" s="128"/>
      <c r="R771" s="128"/>
      <c r="S771" s="132"/>
      <c r="T771" s="269"/>
      <c r="U771" s="128"/>
      <c r="V771" s="128"/>
      <c r="W771" s="128"/>
      <c r="X771" s="128"/>
      <c r="Y771" s="128"/>
      <c r="Z771" s="270"/>
      <c r="AA771" s="128"/>
      <c r="AB771" s="267"/>
      <c r="AC771" s="267"/>
      <c r="AD771" s="139"/>
      <c r="AE771" s="139"/>
      <c r="AF771" s="267"/>
    </row>
    <row r="772">
      <c r="A772" s="258"/>
      <c r="B772" s="258"/>
      <c r="C772" s="259"/>
      <c r="D772" s="126"/>
      <c r="E772" s="113"/>
      <c r="F772" s="112"/>
      <c r="G772" s="113"/>
      <c r="H772" s="136"/>
      <c r="I772" s="113"/>
      <c r="J772" s="113"/>
      <c r="K772" s="113"/>
      <c r="L772" s="113"/>
      <c r="M772" s="271"/>
      <c r="N772" s="113"/>
      <c r="O772" s="258"/>
      <c r="P772" s="113"/>
      <c r="Q772" s="113"/>
      <c r="R772" s="113"/>
      <c r="S772" s="118"/>
      <c r="T772" s="271"/>
      <c r="U772" s="113"/>
      <c r="V772" s="113"/>
      <c r="W772" s="113"/>
      <c r="X772" s="113"/>
      <c r="Y772" s="113"/>
      <c r="Z772" s="272"/>
      <c r="AA772" s="113"/>
      <c r="AB772" s="258"/>
      <c r="AC772" s="258"/>
      <c r="AD772" s="127"/>
      <c r="AE772" s="127"/>
      <c r="AF772" s="258"/>
    </row>
    <row r="773">
      <c r="A773" s="267"/>
      <c r="B773" s="267"/>
      <c r="C773" s="268"/>
      <c r="D773" s="121"/>
      <c r="E773" s="128"/>
      <c r="F773" s="175"/>
      <c r="G773" s="128"/>
      <c r="H773" s="123"/>
      <c r="I773" s="128"/>
      <c r="J773" s="128"/>
      <c r="K773" s="128"/>
      <c r="L773" s="128"/>
      <c r="M773" s="269"/>
      <c r="N773" s="128"/>
      <c r="O773" s="267"/>
      <c r="P773" s="128"/>
      <c r="Q773" s="128"/>
      <c r="R773" s="128"/>
      <c r="S773" s="132"/>
      <c r="T773" s="269"/>
      <c r="U773" s="128"/>
      <c r="V773" s="128"/>
      <c r="W773" s="128"/>
      <c r="X773" s="128"/>
      <c r="Y773" s="128"/>
      <c r="Z773" s="270"/>
      <c r="AA773" s="128"/>
      <c r="AB773" s="267"/>
      <c r="AC773" s="267"/>
      <c r="AD773" s="139"/>
      <c r="AE773" s="139"/>
      <c r="AF773" s="267"/>
    </row>
    <row r="774">
      <c r="A774" s="258"/>
      <c r="B774" s="258"/>
      <c r="C774" s="259"/>
      <c r="D774" s="126"/>
      <c r="E774" s="113"/>
      <c r="F774" s="112"/>
      <c r="G774" s="113"/>
      <c r="H774" s="136"/>
      <c r="I774" s="113"/>
      <c r="J774" s="113"/>
      <c r="K774" s="113"/>
      <c r="L774" s="113"/>
      <c r="M774" s="271"/>
      <c r="N774" s="113"/>
      <c r="O774" s="258"/>
      <c r="P774" s="113"/>
      <c r="Q774" s="113"/>
      <c r="R774" s="113"/>
      <c r="S774" s="118"/>
      <c r="T774" s="271"/>
      <c r="U774" s="113"/>
      <c r="V774" s="113"/>
      <c r="W774" s="113"/>
      <c r="X774" s="113"/>
      <c r="Y774" s="113"/>
      <c r="Z774" s="272"/>
      <c r="AA774" s="113"/>
      <c r="AB774" s="258"/>
      <c r="AC774" s="258"/>
      <c r="AD774" s="127"/>
      <c r="AE774" s="127"/>
      <c r="AF774" s="258"/>
    </row>
    <row r="775">
      <c r="A775" s="267"/>
      <c r="B775" s="267"/>
      <c r="C775" s="268"/>
      <c r="D775" s="121"/>
      <c r="E775" s="128"/>
      <c r="F775" s="175"/>
      <c r="G775" s="128"/>
      <c r="H775" s="123"/>
      <c r="I775" s="128"/>
      <c r="J775" s="128"/>
      <c r="K775" s="128"/>
      <c r="L775" s="128"/>
      <c r="M775" s="269"/>
      <c r="N775" s="128"/>
      <c r="O775" s="267"/>
      <c r="P775" s="128"/>
      <c r="Q775" s="128"/>
      <c r="R775" s="128"/>
      <c r="S775" s="132"/>
      <c r="T775" s="269"/>
      <c r="U775" s="128"/>
      <c r="V775" s="128"/>
      <c r="W775" s="128"/>
      <c r="X775" s="128"/>
      <c r="Y775" s="128"/>
      <c r="Z775" s="270"/>
      <c r="AA775" s="128"/>
      <c r="AB775" s="267"/>
      <c r="AC775" s="267"/>
      <c r="AD775" s="139"/>
      <c r="AE775" s="139"/>
      <c r="AF775" s="267"/>
    </row>
    <row r="776">
      <c r="A776" s="258"/>
      <c r="B776" s="258"/>
      <c r="C776" s="259"/>
      <c r="D776" s="126"/>
      <c r="E776" s="113"/>
      <c r="F776" s="112"/>
      <c r="G776" s="113"/>
      <c r="H776" s="136"/>
      <c r="I776" s="113"/>
      <c r="J776" s="113"/>
      <c r="K776" s="113"/>
      <c r="L776" s="113"/>
      <c r="M776" s="271"/>
      <c r="N776" s="113"/>
      <c r="O776" s="258"/>
      <c r="P776" s="113"/>
      <c r="Q776" s="113"/>
      <c r="R776" s="113"/>
      <c r="S776" s="118"/>
      <c r="T776" s="271"/>
      <c r="U776" s="113"/>
      <c r="V776" s="113"/>
      <c r="W776" s="113"/>
      <c r="X776" s="113"/>
      <c r="Y776" s="113"/>
      <c r="Z776" s="272"/>
      <c r="AA776" s="113"/>
      <c r="AB776" s="258"/>
      <c r="AC776" s="258"/>
      <c r="AD776" s="127"/>
      <c r="AE776" s="127"/>
      <c r="AF776" s="258"/>
    </row>
    <row r="777">
      <c r="A777" s="267"/>
      <c r="B777" s="267"/>
      <c r="C777" s="268"/>
      <c r="D777" s="121"/>
      <c r="E777" s="128"/>
      <c r="F777" s="175"/>
      <c r="G777" s="128"/>
      <c r="H777" s="123"/>
      <c r="I777" s="128"/>
      <c r="J777" s="128"/>
      <c r="K777" s="128"/>
      <c r="L777" s="128"/>
      <c r="M777" s="269"/>
      <c r="N777" s="128"/>
      <c r="O777" s="267"/>
      <c r="P777" s="128"/>
      <c r="Q777" s="128"/>
      <c r="R777" s="128"/>
      <c r="S777" s="132"/>
      <c r="T777" s="269"/>
      <c r="U777" s="128"/>
      <c r="V777" s="128"/>
      <c r="W777" s="128"/>
      <c r="X777" s="128"/>
      <c r="Y777" s="128"/>
      <c r="Z777" s="270"/>
      <c r="AA777" s="128"/>
      <c r="AB777" s="267"/>
      <c r="AC777" s="267"/>
      <c r="AD777" s="139"/>
      <c r="AE777" s="139"/>
      <c r="AF777" s="267"/>
    </row>
    <row r="778">
      <c r="A778" s="258"/>
      <c r="B778" s="258"/>
      <c r="C778" s="259"/>
      <c r="D778" s="126"/>
      <c r="E778" s="113"/>
      <c r="F778" s="112"/>
      <c r="G778" s="113"/>
      <c r="H778" s="136"/>
      <c r="I778" s="113"/>
      <c r="J778" s="113"/>
      <c r="K778" s="113"/>
      <c r="L778" s="113"/>
      <c r="M778" s="271"/>
      <c r="N778" s="113"/>
      <c r="O778" s="258"/>
      <c r="P778" s="113"/>
      <c r="Q778" s="113"/>
      <c r="R778" s="113"/>
      <c r="S778" s="118"/>
      <c r="T778" s="271"/>
      <c r="U778" s="113"/>
      <c r="V778" s="113"/>
      <c r="W778" s="113"/>
      <c r="X778" s="113"/>
      <c r="Y778" s="113"/>
      <c r="Z778" s="272"/>
      <c r="AA778" s="113"/>
      <c r="AB778" s="258"/>
      <c r="AC778" s="258"/>
      <c r="AD778" s="127"/>
      <c r="AE778" s="127"/>
      <c r="AF778" s="258"/>
    </row>
    <row r="779">
      <c r="A779" s="267"/>
      <c r="B779" s="267"/>
      <c r="C779" s="268"/>
      <c r="D779" s="121"/>
      <c r="E779" s="128"/>
      <c r="F779" s="175"/>
      <c r="G779" s="128"/>
      <c r="H779" s="123"/>
      <c r="I779" s="128"/>
      <c r="J779" s="128"/>
      <c r="K779" s="128"/>
      <c r="L779" s="128"/>
      <c r="M779" s="269"/>
      <c r="N779" s="128"/>
      <c r="O779" s="267"/>
      <c r="P779" s="128"/>
      <c r="Q779" s="128"/>
      <c r="R779" s="128"/>
      <c r="S779" s="132"/>
      <c r="T779" s="269"/>
      <c r="U779" s="128"/>
      <c r="V779" s="128"/>
      <c r="W779" s="128"/>
      <c r="X779" s="128"/>
      <c r="Y779" s="128"/>
      <c r="Z779" s="270"/>
      <c r="AA779" s="128"/>
      <c r="AB779" s="267"/>
      <c r="AC779" s="267"/>
      <c r="AD779" s="139"/>
      <c r="AE779" s="139"/>
      <c r="AF779" s="267"/>
    </row>
    <row r="780">
      <c r="A780" s="258"/>
      <c r="B780" s="258"/>
      <c r="C780" s="259"/>
      <c r="D780" s="126"/>
      <c r="E780" s="113"/>
      <c r="F780" s="112"/>
      <c r="G780" s="113"/>
      <c r="H780" s="136"/>
      <c r="I780" s="113"/>
      <c r="J780" s="113"/>
      <c r="K780" s="113"/>
      <c r="L780" s="113"/>
      <c r="M780" s="271"/>
      <c r="N780" s="113"/>
      <c r="O780" s="258"/>
      <c r="P780" s="113"/>
      <c r="Q780" s="113"/>
      <c r="R780" s="113"/>
      <c r="S780" s="118"/>
      <c r="T780" s="271"/>
      <c r="U780" s="113"/>
      <c r="V780" s="113"/>
      <c r="W780" s="113"/>
      <c r="X780" s="113"/>
      <c r="Y780" s="113"/>
      <c r="Z780" s="272"/>
      <c r="AA780" s="113"/>
      <c r="AB780" s="258"/>
      <c r="AC780" s="258"/>
      <c r="AD780" s="127"/>
      <c r="AE780" s="127"/>
      <c r="AF780" s="258"/>
    </row>
    <row r="781">
      <c r="A781" s="267"/>
      <c r="B781" s="267"/>
      <c r="C781" s="268"/>
      <c r="D781" s="121"/>
      <c r="E781" s="128"/>
      <c r="F781" s="175"/>
      <c r="G781" s="128"/>
      <c r="H781" s="123"/>
      <c r="I781" s="128"/>
      <c r="J781" s="128"/>
      <c r="K781" s="128"/>
      <c r="L781" s="128"/>
      <c r="M781" s="269"/>
      <c r="N781" s="128"/>
      <c r="O781" s="267"/>
      <c r="P781" s="128"/>
      <c r="Q781" s="128"/>
      <c r="R781" s="128"/>
      <c r="S781" s="132"/>
      <c r="T781" s="269"/>
      <c r="U781" s="128"/>
      <c r="V781" s="128"/>
      <c r="W781" s="128"/>
      <c r="X781" s="128"/>
      <c r="Y781" s="128"/>
      <c r="Z781" s="270"/>
      <c r="AA781" s="128"/>
      <c r="AB781" s="267"/>
      <c r="AC781" s="267"/>
      <c r="AD781" s="139"/>
      <c r="AE781" s="139"/>
      <c r="AF781" s="267"/>
    </row>
    <row r="782">
      <c r="A782" s="258"/>
      <c r="B782" s="258"/>
      <c r="C782" s="259"/>
      <c r="D782" s="126"/>
      <c r="E782" s="113"/>
      <c r="F782" s="112"/>
      <c r="G782" s="113"/>
      <c r="H782" s="136"/>
      <c r="I782" s="113"/>
      <c r="J782" s="113"/>
      <c r="K782" s="113"/>
      <c r="L782" s="113"/>
      <c r="M782" s="271"/>
      <c r="N782" s="113"/>
      <c r="O782" s="258"/>
      <c r="P782" s="113"/>
      <c r="Q782" s="113"/>
      <c r="R782" s="113"/>
      <c r="S782" s="118"/>
      <c r="T782" s="271"/>
      <c r="U782" s="113"/>
      <c r="V782" s="113"/>
      <c r="W782" s="113"/>
      <c r="X782" s="113"/>
      <c r="Y782" s="113"/>
      <c r="Z782" s="272"/>
      <c r="AA782" s="113"/>
      <c r="AB782" s="258"/>
      <c r="AC782" s="258"/>
      <c r="AD782" s="127"/>
      <c r="AE782" s="127"/>
      <c r="AF782" s="258"/>
    </row>
    <row r="783">
      <c r="A783" s="267"/>
      <c r="B783" s="267"/>
      <c r="C783" s="268"/>
      <c r="D783" s="121"/>
      <c r="E783" s="128"/>
      <c r="F783" s="175"/>
      <c r="G783" s="128"/>
      <c r="H783" s="123"/>
      <c r="I783" s="128"/>
      <c r="J783" s="128"/>
      <c r="K783" s="128"/>
      <c r="L783" s="128"/>
      <c r="M783" s="269"/>
      <c r="N783" s="128"/>
      <c r="O783" s="267"/>
      <c r="P783" s="128"/>
      <c r="Q783" s="128"/>
      <c r="R783" s="128"/>
      <c r="S783" s="132"/>
      <c r="T783" s="269"/>
      <c r="U783" s="128"/>
      <c r="V783" s="128"/>
      <c r="W783" s="128"/>
      <c r="X783" s="128"/>
      <c r="Y783" s="128"/>
      <c r="Z783" s="270"/>
      <c r="AA783" s="128"/>
      <c r="AB783" s="267"/>
      <c r="AC783" s="267"/>
      <c r="AD783" s="139"/>
      <c r="AE783" s="139"/>
      <c r="AF783" s="267"/>
    </row>
    <row r="784">
      <c r="A784" s="258"/>
      <c r="B784" s="258"/>
      <c r="C784" s="259"/>
      <c r="D784" s="126"/>
      <c r="E784" s="113"/>
      <c r="F784" s="112"/>
      <c r="G784" s="113"/>
      <c r="H784" s="136"/>
      <c r="I784" s="113"/>
      <c r="J784" s="113"/>
      <c r="K784" s="113"/>
      <c r="L784" s="113"/>
      <c r="M784" s="271"/>
      <c r="N784" s="113"/>
      <c r="O784" s="258"/>
      <c r="P784" s="113"/>
      <c r="Q784" s="113"/>
      <c r="R784" s="113"/>
      <c r="S784" s="118"/>
      <c r="T784" s="271"/>
      <c r="U784" s="113"/>
      <c r="V784" s="113"/>
      <c r="W784" s="113"/>
      <c r="X784" s="113"/>
      <c r="Y784" s="113"/>
      <c r="Z784" s="272"/>
      <c r="AA784" s="113"/>
      <c r="AB784" s="258"/>
      <c r="AC784" s="258"/>
      <c r="AD784" s="127"/>
      <c r="AE784" s="127"/>
      <c r="AF784" s="258"/>
    </row>
    <row r="785">
      <c r="A785" s="267"/>
      <c r="B785" s="267"/>
      <c r="C785" s="268"/>
      <c r="D785" s="121"/>
      <c r="E785" s="128"/>
      <c r="F785" s="175"/>
      <c r="G785" s="128"/>
      <c r="H785" s="123"/>
      <c r="I785" s="128"/>
      <c r="J785" s="128"/>
      <c r="K785" s="128"/>
      <c r="L785" s="128"/>
      <c r="M785" s="269"/>
      <c r="N785" s="128"/>
      <c r="O785" s="267"/>
      <c r="P785" s="128"/>
      <c r="Q785" s="128"/>
      <c r="R785" s="128"/>
      <c r="S785" s="132"/>
      <c r="T785" s="269"/>
      <c r="U785" s="128"/>
      <c r="V785" s="128"/>
      <c r="W785" s="128"/>
      <c r="X785" s="128"/>
      <c r="Y785" s="128"/>
      <c r="Z785" s="270"/>
      <c r="AA785" s="128"/>
      <c r="AB785" s="267"/>
      <c r="AC785" s="267"/>
      <c r="AD785" s="139"/>
      <c r="AE785" s="139"/>
      <c r="AF785" s="267"/>
    </row>
    <row r="786">
      <c r="A786" s="258"/>
      <c r="B786" s="258"/>
      <c r="C786" s="259"/>
      <c r="D786" s="126"/>
      <c r="E786" s="113"/>
      <c r="F786" s="112"/>
      <c r="G786" s="113"/>
      <c r="H786" s="136"/>
      <c r="I786" s="113"/>
      <c r="J786" s="113"/>
      <c r="K786" s="113"/>
      <c r="L786" s="113"/>
      <c r="M786" s="271"/>
      <c r="N786" s="113"/>
      <c r="O786" s="258"/>
      <c r="P786" s="113"/>
      <c r="Q786" s="113"/>
      <c r="R786" s="113"/>
      <c r="S786" s="118"/>
      <c r="T786" s="271"/>
      <c r="U786" s="113"/>
      <c r="V786" s="113"/>
      <c r="W786" s="113"/>
      <c r="X786" s="113"/>
      <c r="Y786" s="113"/>
      <c r="Z786" s="272"/>
      <c r="AA786" s="113"/>
      <c r="AB786" s="258"/>
      <c r="AC786" s="258"/>
      <c r="AD786" s="127"/>
      <c r="AE786" s="127"/>
      <c r="AF786" s="258"/>
    </row>
    <row r="787">
      <c r="A787" s="267"/>
      <c r="B787" s="267"/>
      <c r="C787" s="268"/>
      <c r="D787" s="121"/>
      <c r="E787" s="128"/>
      <c r="F787" s="175"/>
      <c r="G787" s="128"/>
      <c r="H787" s="123"/>
      <c r="I787" s="128"/>
      <c r="J787" s="128"/>
      <c r="K787" s="128"/>
      <c r="L787" s="128"/>
      <c r="M787" s="269"/>
      <c r="N787" s="128"/>
      <c r="O787" s="267"/>
      <c r="P787" s="128"/>
      <c r="Q787" s="128"/>
      <c r="R787" s="128"/>
      <c r="S787" s="132"/>
      <c r="T787" s="269"/>
      <c r="U787" s="128"/>
      <c r="V787" s="128"/>
      <c r="W787" s="128"/>
      <c r="X787" s="128"/>
      <c r="Y787" s="128"/>
      <c r="Z787" s="270"/>
      <c r="AA787" s="128"/>
      <c r="AB787" s="267"/>
      <c r="AC787" s="267"/>
      <c r="AD787" s="139"/>
      <c r="AE787" s="139"/>
      <c r="AF787" s="267"/>
    </row>
    <row r="788">
      <c r="A788" s="258"/>
      <c r="B788" s="258"/>
      <c r="C788" s="259"/>
      <c r="D788" s="126"/>
      <c r="E788" s="113"/>
      <c r="F788" s="112"/>
      <c r="G788" s="113"/>
      <c r="H788" s="136"/>
      <c r="I788" s="113"/>
      <c r="J788" s="113"/>
      <c r="K788" s="113"/>
      <c r="L788" s="113"/>
      <c r="M788" s="271"/>
      <c r="N788" s="113"/>
      <c r="O788" s="258"/>
      <c r="P788" s="113"/>
      <c r="Q788" s="113"/>
      <c r="R788" s="113"/>
      <c r="S788" s="118"/>
      <c r="T788" s="271"/>
      <c r="U788" s="113"/>
      <c r="V788" s="113"/>
      <c r="W788" s="113"/>
      <c r="X788" s="113"/>
      <c r="Y788" s="113"/>
      <c r="Z788" s="272"/>
      <c r="AA788" s="113"/>
      <c r="AB788" s="258"/>
      <c r="AC788" s="258"/>
      <c r="AD788" s="127"/>
      <c r="AE788" s="127"/>
      <c r="AF788" s="258"/>
    </row>
    <row r="789">
      <c r="A789" s="267"/>
      <c r="B789" s="267"/>
      <c r="C789" s="268"/>
      <c r="D789" s="121"/>
      <c r="E789" s="128"/>
      <c r="F789" s="175"/>
      <c r="G789" s="128"/>
      <c r="H789" s="123"/>
      <c r="I789" s="128"/>
      <c r="J789" s="128"/>
      <c r="K789" s="128"/>
      <c r="L789" s="128"/>
      <c r="M789" s="269"/>
      <c r="N789" s="128"/>
      <c r="O789" s="267"/>
      <c r="P789" s="128"/>
      <c r="Q789" s="128"/>
      <c r="R789" s="128"/>
      <c r="S789" s="132"/>
      <c r="T789" s="269"/>
      <c r="U789" s="128"/>
      <c r="V789" s="128"/>
      <c r="W789" s="128"/>
      <c r="X789" s="128"/>
      <c r="Y789" s="128"/>
      <c r="Z789" s="270"/>
      <c r="AA789" s="128"/>
      <c r="AB789" s="267"/>
      <c r="AC789" s="267"/>
      <c r="AD789" s="139"/>
      <c r="AE789" s="139"/>
      <c r="AF789" s="267"/>
    </row>
    <row r="790">
      <c r="A790" s="258"/>
      <c r="B790" s="258"/>
      <c r="C790" s="259"/>
      <c r="D790" s="126"/>
      <c r="E790" s="113"/>
      <c r="F790" s="112"/>
      <c r="G790" s="113"/>
      <c r="H790" s="136"/>
      <c r="I790" s="113"/>
      <c r="J790" s="113"/>
      <c r="K790" s="113"/>
      <c r="L790" s="113"/>
      <c r="M790" s="271"/>
      <c r="N790" s="113"/>
      <c r="O790" s="258"/>
      <c r="P790" s="113"/>
      <c r="Q790" s="113"/>
      <c r="R790" s="113"/>
      <c r="S790" s="118"/>
      <c r="T790" s="271"/>
      <c r="U790" s="113"/>
      <c r="V790" s="113"/>
      <c r="W790" s="113"/>
      <c r="X790" s="113"/>
      <c r="Y790" s="113"/>
      <c r="Z790" s="272"/>
      <c r="AA790" s="113"/>
      <c r="AB790" s="258"/>
      <c r="AC790" s="258"/>
      <c r="AD790" s="127"/>
      <c r="AE790" s="127"/>
      <c r="AF790" s="258"/>
    </row>
    <row r="791">
      <c r="A791" s="267"/>
      <c r="B791" s="267"/>
      <c r="C791" s="268"/>
      <c r="D791" s="121"/>
      <c r="E791" s="128"/>
      <c r="F791" s="175"/>
      <c r="G791" s="128"/>
      <c r="H791" s="123"/>
      <c r="I791" s="128"/>
      <c r="J791" s="128"/>
      <c r="K791" s="128"/>
      <c r="L791" s="128"/>
      <c r="M791" s="269"/>
      <c r="N791" s="128"/>
      <c r="O791" s="267"/>
      <c r="P791" s="128"/>
      <c r="Q791" s="128"/>
      <c r="R791" s="128"/>
      <c r="S791" s="132"/>
      <c r="T791" s="269"/>
      <c r="U791" s="128"/>
      <c r="V791" s="128"/>
      <c r="W791" s="128"/>
      <c r="X791" s="128"/>
      <c r="Y791" s="128"/>
      <c r="Z791" s="270"/>
      <c r="AA791" s="128"/>
      <c r="AB791" s="267"/>
      <c r="AC791" s="267"/>
      <c r="AD791" s="139"/>
      <c r="AE791" s="139"/>
      <c r="AF791" s="267"/>
    </row>
    <row r="792">
      <c r="A792" s="258"/>
      <c r="B792" s="258"/>
      <c r="C792" s="259"/>
      <c r="D792" s="126"/>
      <c r="E792" s="113"/>
      <c r="F792" s="112"/>
      <c r="G792" s="113"/>
      <c r="H792" s="136"/>
      <c r="I792" s="113"/>
      <c r="J792" s="113"/>
      <c r="K792" s="113"/>
      <c r="L792" s="113"/>
      <c r="M792" s="271"/>
      <c r="N792" s="113"/>
      <c r="O792" s="258"/>
      <c r="P792" s="113"/>
      <c r="Q792" s="113"/>
      <c r="R792" s="113"/>
      <c r="S792" s="118"/>
      <c r="T792" s="271"/>
      <c r="U792" s="113"/>
      <c r="V792" s="113"/>
      <c r="W792" s="113"/>
      <c r="X792" s="113"/>
      <c r="Y792" s="113"/>
      <c r="Z792" s="272"/>
      <c r="AA792" s="113"/>
      <c r="AB792" s="258"/>
      <c r="AC792" s="258"/>
      <c r="AD792" s="127"/>
      <c r="AE792" s="127"/>
      <c r="AF792" s="258"/>
    </row>
    <row r="793">
      <c r="A793" s="267"/>
      <c r="B793" s="267"/>
      <c r="C793" s="268"/>
      <c r="D793" s="121"/>
      <c r="E793" s="128"/>
      <c r="F793" s="175"/>
      <c r="G793" s="128"/>
      <c r="H793" s="123"/>
      <c r="I793" s="128"/>
      <c r="J793" s="128"/>
      <c r="K793" s="128"/>
      <c r="L793" s="128"/>
      <c r="M793" s="269"/>
      <c r="N793" s="128"/>
      <c r="O793" s="267"/>
      <c r="P793" s="128"/>
      <c r="Q793" s="128"/>
      <c r="R793" s="128"/>
      <c r="S793" s="132"/>
      <c r="T793" s="269"/>
      <c r="U793" s="128"/>
      <c r="V793" s="128"/>
      <c r="W793" s="128"/>
      <c r="X793" s="128"/>
      <c r="Y793" s="128"/>
      <c r="Z793" s="270"/>
      <c r="AA793" s="128"/>
      <c r="AB793" s="267"/>
      <c r="AC793" s="267"/>
      <c r="AD793" s="139"/>
      <c r="AE793" s="139"/>
      <c r="AF793" s="267"/>
    </row>
    <row r="794">
      <c r="A794" s="258"/>
      <c r="B794" s="258"/>
      <c r="C794" s="259"/>
      <c r="D794" s="126"/>
      <c r="E794" s="113"/>
      <c r="F794" s="112"/>
      <c r="G794" s="113"/>
      <c r="H794" s="136"/>
      <c r="I794" s="113"/>
      <c r="J794" s="113"/>
      <c r="K794" s="113"/>
      <c r="L794" s="113"/>
      <c r="M794" s="271"/>
      <c r="N794" s="113"/>
      <c r="O794" s="258"/>
      <c r="P794" s="113"/>
      <c r="Q794" s="113"/>
      <c r="R794" s="113"/>
      <c r="S794" s="118"/>
      <c r="T794" s="271"/>
      <c r="U794" s="113"/>
      <c r="V794" s="113"/>
      <c r="W794" s="113"/>
      <c r="X794" s="113"/>
      <c r="Y794" s="113"/>
      <c r="Z794" s="272"/>
      <c r="AA794" s="113"/>
      <c r="AB794" s="258"/>
      <c r="AC794" s="258"/>
      <c r="AD794" s="127"/>
      <c r="AE794" s="127"/>
      <c r="AF794" s="258"/>
    </row>
    <row r="795">
      <c r="A795" s="267"/>
      <c r="B795" s="267"/>
      <c r="C795" s="268"/>
      <c r="D795" s="121"/>
      <c r="E795" s="128"/>
      <c r="F795" s="175"/>
      <c r="G795" s="128"/>
      <c r="H795" s="123"/>
      <c r="I795" s="128"/>
      <c r="J795" s="128"/>
      <c r="K795" s="128"/>
      <c r="L795" s="128"/>
      <c r="M795" s="269"/>
      <c r="N795" s="128"/>
      <c r="O795" s="267"/>
      <c r="P795" s="128"/>
      <c r="Q795" s="128"/>
      <c r="R795" s="128"/>
      <c r="S795" s="132"/>
      <c r="T795" s="269"/>
      <c r="U795" s="128"/>
      <c r="V795" s="128"/>
      <c r="W795" s="128"/>
      <c r="X795" s="128"/>
      <c r="Y795" s="128"/>
      <c r="Z795" s="270"/>
      <c r="AA795" s="128"/>
      <c r="AB795" s="267"/>
      <c r="AC795" s="267"/>
      <c r="AD795" s="139"/>
      <c r="AE795" s="139"/>
      <c r="AF795" s="267"/>
    </row>
    <row r="796">
      <c r="A796" s="258"/>
      <c r="B796" s="258"/>
      <c r="C796" s="259"/>
      <c r="D796" s="126"/>
      <c r="E796" s="113"/>
      <c r="F796" s="112"/>
      <c r="G796" s="113"/>
      <c r="H796" s="136"/>
      <c r="I796" s="113"/>
      <c r="J796" s="113"/>
      <c r="K796" s="113"/>
      <c r="L796" s="113"/>
      <c r="M796" s="271"/>
      <c r="N796" s="113"/>
      <c r="O796" s="258"/>
      <c r="P796" s="113"/>
      <c r="Q796" s="113"/>
      <c r="R796" s="113"/>
      <c r="S796" s="118"/>
      <c r="T796" s="271"/>
      <c r="U796" s="113"/>
      <c r="V796" s="113"/>
      <c r="W796" s="113"/>
      <c r="X796" s="113"/>
      <c r="Y796" s="113"/>
      <c r="Z796" s="272"/>
      <c r="AA796" s="113"/>
      <c r="AB796" s="258"/>
      <c r="AC796" s="258"/>
      <c r="AD796" s="127"/>
      <c r="AE796" s="127"/>
      <c r="AF796" s="258"/>
    </row>
    <row r="797">
      <c r="A797" s="267"/>
      <c r="B797" s="267"/>
      <c r="C797" s="268"/>
      <c r="D797" s="121"/>
      <c r="E797" s="128"/>
      <c r="F797" s="175"/>
      <c r="G797" s="128"/>
      <c r="H797" s="123"/>
      <c r="I797" s="128"/>
      <c r="J797" s="128"/>
      <c r="K797" s="128"/>
      <c r="L797" s="128"/>
      <c r="M797" s="269"/>
      <c r="N797" s="128"/>
      <c r="O797" s="267"/>
      <c r="P797" s="128"/>
      <c r="Q797" s="128"/>
      <c r="R797" s="128"/>
      <c r="S797" s="132"/>
      <c r="T797" s="269"/>
      <c r="U797" s="128"/>
      <c r="V797" s="128"/>
      <c r="W797" s="128"/>
      <c r="X797" s="128"/>
      <c r="Y797" s="128"/>
      <c r="Z797" s="270"/>
      <c r="AA797" s="128"/>
      <c r="AB797" s="267"/>
      <c r="AC797" s="267"/>
      <c r="AD797" s="139"/>
      <c r="AE797" s="139"/>
      <c r="AF797" s="267"/>
    </row>
    <row r="798">
      <c r="A798" s="258"/>
      <c r="B798" s="258"/>
      <c r="C798" s="259"/>
      <c r="D798" s="126"/>
      <c r="E798" s="113"/>
      <c r="F798" s="112"/>
      <c r="G798" s="113"/>
      <c r="H798" s="136"/>
      <c r="I798" s="113"/>
      <c r="J798" s="113"/>
      <c r="K798" s="113"/>
      <c r="L798" s="113"/>
      <c r="M798" s="271"/>
      <c r="N798" s="113"/>
      <c r="O798" s="258"/>
      <c r="P798" s="113"/>
      <c r="Q798" s="113"/>
      <c r="R798" s="113"/>
      <c r="S798" s="118"/>
      <c r="T798" s="271"/>
      <c r="U798" s="113"/>
      <c r="V798" s="113"/>
      <c r="W798" s="113"/>
      <c r="X798" s="113"/>
      <c r="Y798" s="113"/>
      <c r="Z798" s="272"/>
      <c r="AA798" s="113"/>
      <c r="AB798" s="258"/>
      <c r="AC798" s="258"/>
      <c r="AD798" s="127"/>
      <c r="AE798" s="127"/>
      <c r="AF798" s="258"/>
    </row>
    <row r="799">
      <c r="A799" s="267"/>
      <c r="B799" s="267"/>
      <c r="C799" s="268"/>
      <c r="D799" s="121"/>
      <c r="E799" s="128"/>
      <c r="F799" s="175"/>
      <c r="G799" s="128"/>
      <c r="H799" s="123"/>
      <c r="I799" s="128"/>
      <c r="J799" s="128"/>
      <c r="K799" s="128"/>
      <c r="L799" s="128"/>
      <c r="M799" s="269"/>
      <c r="N799" s="128"/>
      <c r="O799" s="267"/>
      <c r="P799" s="128"/>
      <c r="Q799" s="128"/>
      <c r="R799" s="128"/>
      <c r="S799" s="132"/>
      <c r="T799" s="269"/>
      <c r="U799" s="128"/>
      <c r="V799" s="128"/>
      <c r="W799" s="128"/>
      <c r="X799" s="128"/>
      <c r="Y799" s="128"/>
      <c r="Z799" s="270"/>
      <c r="AA799" s="128"/>
      <c r="AB799" s="267"/>
      <c r="AC799" s="267"/>
      <c r="AD799" s="139"/>
      <c r="AE799" s="139"/>
      <c r="AF799" s="267"/>
    </row>
    <row r="800">
      <c r="A800" s="258"/>
      <c r="B800" s="258"/>
      <c r="C800" s="259"/>
      <c r="D800" s="126"/>
      <c r="E800" s="113"/>
      <c r="F800" s="112"/>
      <c r="G800" s="113"/>
      <c r="H800" s="136"/>
      <c r="I800" s="113"/>
      <c r="J800" s="113"/>
      <c r="K800" s="113"/>
      <c r="L800" s="113"/>
      <c r="M800" s="271"/>
      <c r="N800" s="113"/>
      <c r="O800" s="258"/>
      <c r="P800" s="113"/>
      <c r="Q800" s="113"/>
      <c r="R800" s="113"/>
      <c r="S800" s="118"/>
      <c r="T800" s="271"/>
      <c r="U800" s="113"/>
      <c r="V800" s="113"/>
      <c r="W800" s="113"/>
      <c r="X800" s="113"/>
      <c r="Y800" s="113"/>
      <c r="Z800" s="272"/>
      <c r="AA800" s="113"/>
      <c r="AB800" s="258"/>
      <c r="AC800" s="258"/>
      <c r="AD800" s="127"/>
      <c r="AE800" s="127"/>
      <c r="AF800" s="258"/>
    </row>
    <row r="801">
      <c r="A801" s="267"/>
      <c r="B801" s="267"/>
      <c r="C801" s="268"/>
      <c r="D801" s="121"/>
      <c r="E801" s="128"/>
      <c r="F801" s="175"/>
      <c r="G801" s="128"/>
      <c r="H801" s="123"/>
      <c r="I801" s="128"/>
      <c r="J801" s="128"/>
      <c r="K801" s="128"/>
      <c r="L801" s="128"/>
      <c r="M801" s="269"/>
      <c r="N801" s="128"/>
      <c r="O801" s="267"/>
      <c r="P801" s="128"/>
      <c r="Q801" s="128"/>
      <c r="R801" s="128"/>
      <c r="S801" s="132"/>
      <c r="T801" s="269"/>
      <c r="U801" s="128"/>
      <c r="V801" s="128"/>
      <c r="W801" s="128"/>
      <c r="X801" s="128"/>
      <c r="Y801" s="128"/>
      <c r="Z801" s="270"/>
      <c r="AA801" s="128"/>
      <c r="AB801" s="267"/>
      <c r="AC801" s="267"/>
      <c r="AD801" s="139"/>
      <c r="AE801" s="139"/>
      <c r="AF801" s="267"/>
    </row>
    <row r="802">
      <c r="A802" s="258"/>
      <c r="B802" s="258"/>
      <c r="C802" s="259"/>
      <c r="D802" s="126"/>
      <c r="E802" s="113"/>
      <c r="F802" s="112"/>
      <c r="G802" s="113"/>
      <c r="H802" s="136"/>
      <c r="I802" s="113"/>
      <c r="J802" s="113"/>
      <c r="K802" s="113"/>
      <c r="L802" s="113"/>
      <c r="M802" s="271"/>
      <c r="N802" s="113"/>
      <c r="O802" s="258"/>
      <c r="P802" s="113"/>
      <c r="Q802" s="113"/>
      <c r="R802" s="113"/>
      <c r="S802" s="118"/>
      <c r="T802" s="271"/>
      <c r="U802" s="113"/>
      <c r="V802" s="113"/>
      <c r="W802" s="113"/>
      <c r="X802" s="113"/>
      <c r="Y802" s="113"/>
      <c r="Z802" s="272"/>
      <c r="AA802" s="113"/>
      <c r="AB802" s="258"/>
      <c r="AC802" s="258"/>
      <c r="AD802" s="127"/>
      <c r="AE802" s="127"/>
      <c r="AF802" s="258"/>
    </row>
    <row r="803">
      <c r="A803" s="267"/>
      <c r="B803" s="267"/>
      <c r="C803" s="268"/>
      <c r="D803" s="121"/>
      <c r="E803" s="128"/>
      <c r="F803" s="175"/>
      <c r="G803" s="128"/>
      <c r="H803" s="123"/>
      <c r="I803" s="128"/>
      <c r="J803" s="128"/>
      <c r="K803" s="128"/>
      <c r="L803" s="128"/>
      <c r="M803" s="269"/>
      <c r="N803" s="128"/>
      <c r="O803" s="267"/>
      <c r="P803" s="128"/>
      <c r="Q803" s="128"/>
      <c r="R803" s="128"/>
      <c r="S803" s="132"/>
      <c r="T803" s="269"/>
      <c r="U803" s="128"/>
      <c r="V803" s="128"/>
      <c r="W803" s="128"/>
      <c r="X803" s="128"/>
      <c r="Y803" s="128"/>
      <c r="Z803" s="270"/>
      <c r="AA803" s="128"/>
      <c r="AB803" s="267"/>
      <c r="AC803" s="267"/>
      <c r="AD803" s="139"/>
      <c r="AE803" s="139"/>
      <c r="AF803" s="267"/>
    </row>
    <row r="804">
      <c r="A804" s="258"/>
      <c r="B804" s="258"/>
      <c r="C804" s="259"/>
      <c r="D804" s="126"/>
      <c r="E804" s="113"/>
      <c r="F804" s="112"/>
      <c r="G804" s="113"/>
      <c r="H804" s="136"/>
      <c r="I804" s="113"/>
      <c r="J804" s="113"/>
      <c r="K804" s="113"/>
      <c r="L804" s="113"/>
      <c r="M804" s="271"/>
      <c r="N804" s="113"/>
      <c r="O804" s="258"/>
      <c r="P804" s="113"/>
      <c r="Q804" s="113"/>
      <c r="R804" s="113"/>
      <c r="S804" s="118"/>
      <c r="T804" s="271"/>
      <c r="U804" s="113"/>
      <c r="V804" s="113"/>
      <c r="W804" s="113"/>
      <c r="X804" s="113"/>
      <c r="Y804" s="113"/>
      <c r="Z804" s="272"/>
      <c r="AA804" s="113"/>
      <c r="AB804" s="258"/>
      <c r="AC804" s="258"/>
      <c r="AD804" s="127"/>
      <c r="AE804" s="127"/>
      <c r="AF804" s="258"/>
    </row>
    <row r="805">
      <c r="A805" s="267"/>
      <c r="B805" s="267"/>
      <c r="C805" s="268"/>
      <c r="D805" s="121"/>
      <c r="E805" s="128"/>
      <c r="F805" s="175"/>
      <c r="G805" s="128"/>
      <c r="H805" s="123"/>
      <c r="I805" s="128"/>
      <c r="J805" s="128"/>
      <c r="K805" s="128"/>
      <c r="L805" s="128"/>
      <c r="M805" s="269"/>
      <c r="N805" s="128"/>
      <c r="O805" s="267"/>
      <c r="P805" s="128"/>
      <c r="Q805" s="128"/>
      <c r="R805" s="128"/>
      <c r="S805" s="132"/>
      <c r="T805" s="269"/>
      <c r="U805" s="128"/>
      <c r="V805" s="128"/>
      <c r="W805" s="128"/>
      <c r="X805" s="128"/>
      <c r="Y805" s="128"/>
      <c r="Z805" s="270"/>
      <c r="AA805" s="128"/>
      <c r="AB805" s="267"/>
      <c r="AC805" s="267"/>
      <c r="AD805" s="139"/>
      <c r="AE805" s="139"/>
      <c r="AF805" s="267"/>
    </row>
    <row r="806">
      <c r="A806" s="258"/>
      <c r="B806" s="258"/>
      <c r="C806" s="259"/>
      <c r="D806" s="126"/>
      <c r="E806" s="113"/>
      <c r="F806" s="112"/>
      <c r="G806" s="113"/>
      <c r="H806" s="136"/>
      <c r="I806" s="113"/>
      <c r="J806" s="113"/>
      <c r="K806" s="113"/>
      <c r="L806" s="113"/>
      <c r="M806" s="271"/>
      <c r="N806" s="113"/>
      <c r="O806" s="258"/>
      <c r="P806" s="113"/>
      <c r="Q806" s="113"/>
      <c r="R806" s="113"/>
      <c r="S806" s="118"/>
      <c r="T806" s="271"/>
      <c r="U806" s="113"/>
      <c r="V806" s="113"/>
      <c r="W806" s="113"/>
      <c r="X806" s="113"/>
      <c r="Y806" s="113"/>
      <c r="Z806" s="272"/>
      <c r="AA806" s="113"/>
      <c r="AB806" s="258"/>
      <c r="AC806" s="258"/>
      <c r="AD806" s="127"/>
      <c r="AE806" s="127"/>
      <c r="AF806" s="258"/>
    </row>
    <row r="807">
      <c r="A807" s="267"/>
      <c r="B807" s="267"/>
      <c r="C807" s="268"/>
      <c r="D807" s="121"/>
      <c r="E807" s="128"/>
      <c r="F807" s="175"/>
      <c r="G807" s="128"/>
      <c r="H807" s="123"/>
      <c r="I807" s="128"/>
      <c r="J807" s="128"/>
      <c r="K807" s="128"/>
      <c r="L807" s="128"/>
      <c r="M807" s="269"/>
      <c r="N807" s="128"/>
      <c r="O807" s="267"/>
      <c r="P807" s="128"/>
      <c r="Q807" s="128"/>
      <c r="R807" s="128"/>
      <c r="S807" s="132"/>
      <c r="T807" s="269"/>
      <c r="U807" s="128"/>
      <c r="V807" s="128"/>
      <c r="W807" s="128"/>
      <c r="X807" s="128"/>
      <c r="Y807" s="128"/>
      <c r="Z807" s="270"/>
      <c r="AA807" s="128"/>
      <c r="AB807" s="267"/>
      <c r="AC807" s="267"/>
      <c r="AD807" s="139"/>
      <c r="AE807" s="139"/>
      <c r="AF807" s="267"/>
    </row>
    <row r="808">
      <c r="A808" s="258"/>
      <c r="B808" s="258"/>
      <c r="C808" s="259"/>
      <c r="D808" s="126"/>
      <c r="E808" s="113"/>
      <c r="F808" s="112"/>
      <c r="G808" s="113"/>
      <c r="H808" s="136"/>
      <c r="I808" s="113"/>
      <c r="J808" s="113"/>
      <c r="K808" s="113"/>
      <c r="L808" s="113"/>
      <c r="M808" s="271"/>
      <c r="N808" s="113"/>
      <c r="O808" s="258"/>
      <c r="P808" s="113"/>
      <c r="Q808" s="113"/>
      <c r="R808" s="113"/>
      <c r="S808" s="118"/>
      <c r="T808" s="271"/>
      <c r="U808" s="113"/>
      <c r="V808" s="113"/>
      <c r="W808" s="113"/>
      <c r="X808" s="113"/>
      <c r="Y808" s="113"/>
      <c r="Z808" s="272"/>
      <c r="AA808" s="113"/>
      <c r="AB808" s="258"/>
      <c r="AC808" s="258"/>
      <c r="AD808" s="127"/>
      <c r="AE808" s="127"/>
      <c r="AF808" s="258"/>
    </row>
    <row r="809">
      <c r="A809" s="267"/>
      <c r="B809" s="267"/>
      <c r="C809" s="268"/>
      <c r="D809" s="121"/>
      <c r="E809" s="128"/>
      <c r="F809" s="175"/>
      <c r="G809" s="128"/>
      <c r="H809" s="123"/>
      <c r="I809" s="128"/>
      <c r="J809" s="128"/>
      <c r="K809" s="128"/>
      <c r="L809" s="128"/>
      <c r="M809" s="269"/>
      <c r="N809" s="128"/>
      <c r="O809" s="267"/>
      <c r="P809" s="128"/>
      <c r="Q809" s="128"/>
      <c r="R809" s="128"/>
      <c r="S809" s="132"/>
      <c r="T809" s="269"/>
      <c r="U809" s="128"/>
      <c r="V809" s="128"/>
      <c r="W809" s="128"/>
      <c r="X809" s="128"/>
      <c r="Y809" s="128"/>
      <c r="Z809" s="270"/>
      <c r="AA809" s="128"/>
      <c r="AB809" s="267"/>
      <c r="AC809" s="267"/>
      <c r="AD809" s="139"/>
      <c r="AE809" s="139"/>
      <c r="AF809" s="267"/>
    </row>
    <row r="810">
      <c r="A810" s="258"/>
      <c r="B810" s="258"/>
      <c r="C810" s="259"/>
      <c r="D810" s="126"/>
      <c r="E810" s="113"/>
      <c r="F810" s="112"/>
      <c r="G810" s="113"/>
      <c r="H810" s="136"/>
      <c r="I810" s="113"/>
      <c r="J810" s="113"/>
      <c r="K810" s="113"/>
      <c r="L810" s="113"/>
      <c r="M810" s="271"/>
      <c r="N810" s="113"/>
      <c r="O810" s="258"/>
      <c r="P810" s="113"/>
      <c r="Q810" s="113"/>
      <c r="R810" s="113"/>
      <c r="S810" s="118"/>
      <c r="T810" s="271"/>
      <c r="U810" s="113"/>
      <c r="V810" s="113"/>
      <c r="W810" s="113"/>
      <c r="X810" s="113"/>
      <c r="Y810" s="113"/>
      <c r="Z810" s="272"/>
      <c r="AA810" s="113"/>
      <c r="AB810" s="258"/>
      <c r="AC810" s="258"/>
      <c r="AD810" s="127"/>
      <c r="AE810" s="127"/>
      <c r="AF810" s="258"/>
    </row>
    <row r="811">
      <c r="A811" s="267"/>
      <c r="B811" s="267"/>
      <c r="C811" s="268"/>
      <c r="D811" s="121"/>
      <c r="E811" s="128"/>
      <c r="F811" s="175"/>
      <c r="G811" s="128"/>
      <c r="H811" s="123"/>
      <c r="I811" s="128"/>
      <c r="J811" s="128"/>
      <c r="K811" s="128"/>
      <c r="L811" s="128"/>
      <c r="M811" s="269"/>
      <c r="N811" s="128"/>
      <c r="O811" s="267"/>
      <c r="P811" s="128"/>
      <c r="Q811" s="128"/>
      <c r="R811" s="128"/>
      <c r="S811" s="132"/>
      <c r="T811" s="269"/>
      <c r="U811" s="128"/>
      <c r="V811" s="128"/>
      <c r="W811" s="128"/>
      <c r="X811" s="128"/>
      <c r="Y811" s="128"/>
      <c r="Z811" s="270"/>
      <c r="AA811" s="128"/>
      <c r="AB811" s="267"/>
      <c r="AC811" s="267"/>
      <c r="AD811" s="139"/>
      <c r="AE811" s="139"/>
      <c r="AF811" s="267"/>
    </row>
    <row r="812">
      <c r="A812" s="258"/>
      <c r="B812" s="258"/>
      <c r="C812" s="259"/>
      <c r="D812" s="126"/>
      <c r="E812" s="113"/>
      <c r="F812" s="112"/>
      <c r="G812" s="113"/>
      <c r="H812" s="136"/>
      <c r="I812" s="113"/>
      <c r="J812" s="113"/>
      <c r="K812" s="113"/>
      <c r="L812" s="113"/>
      <c r="M812" s="271"/>
      <c r="N812" s="113"/>
      <c r="O812" s="258"/>
      <c r="P812" s="113"/>
      <c r="Q812" s="113"/>
      <c r="R812" s="113"/>
      <c r="S812" s="118"/>
      <c r="T812" s="271"/>
      <c r="U812" s="113"/>
      <c r="V812" s="113"/>
      <c r="W812" s="113"/>
      <c r="X812" s="113"/>
      <c r="Y812" s="113"/>
      <c r="Z812" s="272"/>
      <c r="AA812" s="113"/>
      <c r="AB812" s="258"/>
      <c r="AC812" s="258"/>
      <c r="AD812" s="127"/>
      <c r="AE812" s="127"/>
      <c r="AF812" s="258"/>
    </row>
    <row r="813">
      <c r="A813" s="267"/>
      <c r="B813" s="267"/>
      <c r="C813" s="268"/>
      <c r="D813" s="121"/>
      <c r="E813" s="128"/>
      <c r="F813" s="175"/>
      <c r="G813" s="128"/>
      <c r="H813" s="123"/>
      <c r="I813" s="128"/>
      <c r="J813" s="128"/>
      <c r="K813" s="128"/>
      <c r="L813" s="128"/>
      <c r="M813" s="269"/>
      <c r="N813" s="128"/>
      <c r="O813" s="267"/>
      <c r="P813" s="128"/>
      <c r="Q813" s="128"/>
      <c r="R813" s="128"/>
      <c r="S813" s="132"/>
      <c r="T813" s="269"/>
      <c r="U813" s="128"/>
      <c r="V813" s="128"/>
      <c r="W813" s="128"/>
      <c r="X813" s="128"/>
      <c r="Y813" s="128"/>
      <c r="Z813" s="270"/>
      <c r="AA813" s="128"/>
      <c r="AB813" s="267"/>
      <c r="AC813" s="267"/>
      <c r="AD813" s="139"/>
      <c r="AE813" s="139"/>
      <c r="AF813" s="267"/>
    </row>
    <row r="814">
      <c r="A814" s="258"/>
      <c r="B814" s="258"/>
      <c r="C814" s="259"/>
      <c r="D814" s="126"/>
      <c r="E814" s="113"/>
      <c r="F814" s="112"/>
      <c r="G814" s="113"/>
      <c r="H814" s="136"/>
      <c r="I814" s="113"/>
      <c r="J814" s="113"/>
      <c r="K814" s="113"/>
      <c r="L814" s="113"/>
      <c r="M814" s="271"/>
      <c r="N814" s="113"/>
      <c r="O814" s="258"/>
      <c r="P814" s="113"/>
      <c r="Q814" s="113"/>
      <c r="R814" s="113"/>
      <c r="S814" s="118"/>
      <c r="T814" s="271"/>
      <c r="U814" s="113"/>
      <c r="V814" s="113"/>
      <c r="W814" s="113"/>
      <c r="X814" s="113"/>
      <c r="Y814" s="113"/>
      <c r="Z814" s="272"/>
      <c r="AA814" s="113"/>
      <c r="AB814" s="258"/>
      <c r="AC814" s="258"/>
      <c r="AD814" s="127"/>
      <c r="AE814" s="127"/>
      <c r="AF814" s="258"/>
    </row>
    <row r="815">
      <c r="A815" s="267"/>
      <c r="B815" s="267"/>
      <c r="C815" s="268"/>
      <c r="D815" s="121"/>
      <c r="E815" s="128"/>
      <c r="F815" s="175"/>
      <c r="G815" s="128"/>
      <c r="H815" s="123"/>
      <c r="I815" s="128"/>
      <c r="J815" s="128"/>
      <c r="K815" s="128"/>
      <c r="L815" s="128"/>
      <c r="M815" s="269"/>
      <c r="N815" s="128"/>
      <c r="O815" s="267"/>
      <c r="P815" s="128"/>
      <c r="Q815" s="128"/>
      <c r="R815" s="128"/>
      <c r="S815" s="132"/>
      <c r="T815" s="269"/>
      <c r="U815" s="128"/>
      <c r="V815" s="128"/>
      <c r="W815" s="128"/>
      <c r="X815" s="128"/>
      <c r="Y815" s="128"/>
      <c r="Z815" s="270"/>
      <c r="AA815" s="128"/>
      <c r="AB815" s="267"/>
      <c r="AC815" s="267"/>
      <c r="AD815" s="139"/>
      <c r="AE815" s="139"/>
      <c r="AF815" s="267"/>
    </row>
    <row r="816">
      <c r="A816" s="258"/>
      <c r="B816" s="258"/>
      <c r="C816" s="259"/>
      <c r="D816" s="126"/>
      <c r="E816" s="113"/>
      <c r="F816" s="112"/>
      <c r="G816" s="113"/>
      <c r="H816" s="136"/>
      <c r="I816" s="113"/>
      <c r="J816" s="113"/>
      <c r="K816" s="113"/>
      <c r="L816" s="113"/>
      <c r="M816" s="271"/>
      <c r="N816" s="113"/>
      <c r="O816" s="258"/>
      <c r="P816" s="113"/>
      <c r="Q816" s="113"/>
      <c r="R816" s="113"/>
      <c r="S816" s="118"/>
      <c r="T816" s="271"/>
      <c r="U816" s="113"/>
      <c r="V816" s="113"/>
      <c r="W816" s="113"/>
      <c r="X816" s="113"/>
      <c r="Y816" s="113"/>
      <c r="Z816" s="272"/>
      <c r="AA816" s="113"/>
      <c r="AB816" s="258"/>
      <c r="AC816" s="258"/>
      <c r="AD816" s="127"/>
      <c r="AE816" s="127"/>
      <c r="AF816" s="258"/>
    </row>
    <row r="817">
      <c r="A817" s="267"/>
      <c r="B817" s="267"/>
      <c r="C817" s="268"/>
      <c r="D817" s="121"/>
      <c r="E817" s="128"/>
      <c r="F817" s="175"/>
      <c r="G817" s="128"/>
      <c r="H817" s="123"/>
      <c r="I817" s="128"/>
      <c r="J817" s="128"/>
      <c r="K817" s="128"/>
      <c r="L817" s="128"/>
      <c r="M817" s="269"/>
      <c r="N817" s="128"/>
      <c r="O817" s="267"/>
      <c r="P817" s="128"/>
      <c r="Q817" s="128"/>
      <c r="R817" s="128"/>
      <c r="S817" s="132"/>
      <c r="T817" s="269"/>
      <c r="U817" s="128"/>
      <c r="V817" s="128"/>
      <c r="W817" s="128"/>
      <c r="X817" s="128"/>
      <c r="Y817" s="128"/>
      <c r="Z817" s="270"/>
      <c r="AA817" s="128"/>
      <c r="AB817" s="267"/>
      <c r="AC817" s="267"/>
      <c r="AD817" s="139"/>
      <c r="AE817" s="139"/>
      <c r="AF817" s="267"/>
    </row>
    <row r="818">
      <c r="A818" s="258"/>
      <c r="B818" s="258"/>
      <c r="C818" s="259"/>
      <c r="D818" s="126"/>
      <c r="E818" s="113"/>
      <c r="F818" s="112"/>
      <c r="G818" s="113"/>
      <c r="H818" s="136"/>
      <c r="I818" s="113"/>
      <c r="J818" s="113"/>
      <c r="K818" s="113"/>
      <c r="L818" s="113"/>
      <c r="M818" s="271"/>
      <c r="N818" s="113"/>
      <c r="O818" s="258"/>
      <c r="P818" s="113"/>
      <c r="Q818" s="113"/>
      <c r="R818" s="113"/>
      <c r="S818" s="118"/>
      <c r="T818" s="271"/>
      <c r="U818" s="113"/>
      <c r="V818" s="113"/>
      <c r="W818" s="113"/>
      <c r="X818" s="113"/>
      <c r="Y818" s="113"/>
      <c r="Z818" s="272"/>
      <c r="AA818" s="113"/>
      <c r="AB818" s="258"/>
      <c r="AC818" s="258"/>
      <c r="AD818" s="127"/>
      <c r="AE818" s="127"/>
      <c r="AF818" s="258"/>
    </row>
    <row r="819">
      <c r="A819" s="267"/>
      <c r="B819" s="267"/>
      <c r="C819" s="268"/>
      <c r="D819" s="121"/>
      <c r="E819" s="128"/>
      <c r="F819" s="175"/>
      <c r="G819" s="128"/>
      <c r="H819" s="123"/>
      <c r="I819" s="128"/>
      <c r="J819" s="128"/>
      <c r="K819" s="128"/>
      <c r="L819" s="128"/>
      <c r="M819" s="269"/>
      <c r="N819" s="128"/>
      <c r="O819" s="267"/>
      <c r="P819" s="128"/>
      <c r="Q819" s="128"/>
      <c r="R819" s="128"/>
      <c r="S819" s="132"/>
      <c r="T819" s="269"/>
      <c r="U819" s="128"/>
      <c r="V819" s="128"/>
      <c r="W819" s="128"/>
      <c r="X819" s="128"/>
      <c r="Y819" s="128"/>
      <c r="Z819" s="270"/>
      <c r="AA819" s="128"/>
      <c r="AB819" s="267"/>
      <c r="AC819" s="267"/>
      <c r="AD819" s="139"/>
      <c r="AE819" s="139"/>
      <c r="AF819" s="267"/>
    </row>
    <row r="820">
      <c r="A820" s="258"/>
      <c r="B820" s="258"/>
      <c r="C820" s="259"/>
      <c r="D820" s="126"/>
      <c r="E820" s="113"/>
      <c r="F820" s="112"/>
      <c r="G820" s="113"/>
      <c r="H820" s="136"/>
      <c r="I820" s="113"/>
      <c r="J820" s="113"/>
      <c r="K820" s="113"/>
      <c r="L820" s="113"/>
      <c r="M820" s="271"/>
      <c r="N820" s="113"/>
      <c r="O820" s="258"/>
      <c r="P820" s="113"/>
      <c r="Q820" s="113"/>
      <c r="R820" s="113"/>
      <c r="S820" s="118"/>
      <c r="T820" s="271"/>
      <c r="U820" s="113"/>
      <c r="V820" s="113"/>
      <c r="W820" s="113"/>
      <c r="X820" s="113"/>
      <c r="Y820" s="113"/>
      <c r="Z820" s="272"/>
      <c r="AA820" s="113"/>
      <c r="AB820" s="258"/>
      <c r="AC820" s="258"/>
      <c r="AD820" s="127"/>
      <c r="AE820" s="127"/>
      <c r="AF820" s="258"/>
    </row>
    <row r="821">
      <c r="A821" s="267"/>
      <c r="B821" s="267"/>
      <c r="C821" s="268"/>
      <c r="D821" s="121"/>
      <c r="E821" s="128"/>
      <c r="F821" s="175"/>
      <c r="G821" s="128"/>
      <c r="H821" s="123"/>
      <c r="I821" s="128"/>
      <c r="J821" s="128"/>
      <c r="K821" s="128"/>
      <c r="L821" s="128"/>
      <c r="M821" s="269"/>
      <c r="N821" s="128"/>
      <c r="O821" s="267"/>
      <c r="P821" s="128"/>
      <c r="Q821" s="128"/>
      <c r="R821" s="128"/>
      <c r="S821" s="132"/>
      <c r="T821" s="269"/>
      <c r="U821" s="128"/>
      <c r="V821" s="128"/>
      <c r="W821" s="128"/>
      <c r="X821" s="128"/>
      <c r="Y821" s="128"/>
      <c r="Z821" s="270"/>
      <c r="AA821" s="128"/>
      <c r="AB821" s="267"/>
      <c r="AC821" s="267"/>
      <c r="AD821" s="139"/>
      <c r="AE821" s="139"/>
      <c r="AF821" s="267"/>
    </row>
    <row r="822">
      <c r="A822" s="258"/>
      <c r="B822" s="258"/>
      <c r="C822" s="259"/>
      <c r="D822" s="126"/>
      <c r="E822" s="113"/>
      <c r="F822" s="112"/>
      <c r="G822" s="113"/>
      <c r="H822" s="136"/>
      <c r="I822" s="113"/>
      <c r="J822" s="113"/>
      <c r="K822" s="113"/>
      <c r="L822" s="113"/>
      <c r="M822" s="271"/>
      <c r="N822" s="113"/>
      <c r="O822" s="258"/>
      <c r="P822" s="113"/>
      <c r="Q822" s="113"/>
      <c r="R822" s="113"/>
      <c r="S822" s="118"/>
      <c r="T822" s="271"/>
      <c r="U822" s="113"/>
      <c r="V822" s="113"/>
      <c r="W822" s="113"/>
      <c r="X822" s="113"/>
      <c r="Y822" s="113"/>
      <c r="Z822" s="272"/>
      <c r="AA822" s="113"/>
      <c r="AB822" s="258"/>
      <c r="AC822" s="258"/>
      <c r="AD822" s="127"/>
      <c r="AE822" s="127"/>
      <c r="AF822" s="258"/>
    </row>
    <row r="823">
      <c r="A823" s="267"/>
      <c r="B823" s="267"/>
      <c r="C823" s="268"/>
      <c r="D823" s="121"/>
      <c r="E823" s="128"/>
      <c r="F823" s="175"/>
      <c r="G823" s="128"/>
      <c r="H823" s="123"/>
      <c r="I823" s="128"/>
      <c r="J823" s="128"/>
      <c r="K823" s="128"/>
      <c r="L823" s="128"/>
      <c r="M823" s="269"/>
      <c r="N823" s="128"/>
      <c r="O823" s="267"/>
      <c r="P823" s="128"/>
      <c r="Q823" s="128"/>
      <c r="R823" s="128"/>
      <c r="S823" s="132"/>
      <c r="T823" s="269"/>
      <c r="U823" s="128"/>
      <c r="V823" s="128"/>
      <c r="W823" s="128"/>
      <c r="X823" s="128"/>
      <c r="Y823" s="128"/>
      <c r="Z823" s="270"/>
      <c r="AA823" s="128"/>
      <c r="AB823" s="267"/>
      <c r="AC823" s="267"/>
      <c r="AD823" s="139"/>
      <c r="AE823" s="139"/>
      <c r="AF823" s="267"/>
    </row>
    <row r="824">
      <c r="A824" s="258"/>
      <c r="B824" s="258"/>
      <c r="C824" s="259"/>
      <c r="D824" s="126"/>
      <c r="E824" s="113"/>
      <c r="F824" s="112"/>
      <c r="G824" s="113"/>
      <c r="H824" s="136"/>
      <c r="I824" s="113"/>
      <c r="J824" s="113"/>
      <c r="K824" s="113"/>
      <c r="L824" s="113"/>
      <c r="M824" s="271"/>
      <c r="N824" s="113"/>
      <c r="O824" s="258"/>
      <c r="P824" s="113"/>
      <c r="Q824" s="113"/>
      <c r="R824" s="113"/>
      <c r="S824" s="118"/>
      <c r="T824" s="271"/>
      <c r="U824" s="113"/>
      <c r="V824" s="113"/>
      <c r="W824" s="113"/>
      <c r="X824" s="113"/>
      <c r="Y824" s="113"/>
      <c r="Z824" s="272"/>
      <c r="AA824" s="113"/>
      <c r="AB824" s="258"/>
      <c r="AC824" s="258"/>
      <c r="AD824" s="127"/>
      <c r="AE824" s="127"/>
      <c r="AF824" s="258"/>
    </row>
    <row r="825">
      <c r="A825" s="267"/>
      <c r="B825" s="267"/>
      <c r="C825" s="268"/>
      <c r="D825" s="121"/>
      <c r="E825" s="128"/>
      <c r="F825" s="175"/>
      <c r="G825" s="128"/>
      <c r="H825" s="123"/>
      <c r="I825" s="128"/>
      <c r="J825" s="128"/>
      <c r="K825" s="128"/>
      <c r="L825" s="128"/>
      <c r="M825" s="269"/>
      <c r="N825" s="128"/>
      <c r="O825" s="267"/>
      <c r="P825" s="128"/>
      <c r="Q825" s="128"/>
      <c r="R825" s="128"/>
      <c r="S825" s="132"/>
      <c r="T825" s="269"/>
      <c r="U825" s="128"/>
      <c r="V825" s="128"/>
      <c r="W825" s="128"/>
      <c r="X825" s="128"/>
      <c r="Y825" s="128"/>
      <c r="Z825" s="270"/>
      <c r="AA825" s="128"/>
      <c r="AB825" s="267"/>
      <c r="AC825" s="267"/>
      <c r="AD825" s="139"/>
      <c r="AE825" s="139"/>
      <c r="AF825" s="267"/>
    </row>
    <row r="826">
      <c r="A826" s="258"/>
      <c r="B826" s="258"/>
      <c r="C826" s="259"/>
      <c r="D826" s="126"/>
      <c r="E826" s="113"/>
      <c r="F826" s="112"/>
      <c r="G826" s="113"/>
      <c r="H826" s="136"/>
      <c r="I826" s="113"/>
      <c r="J826" s="113"/>
      <c r="K826" s="113"/>
      <c r="L826" s="113"/>
      <c r="M826" s="271"/>
      <c r="N826" s="113"/>
      <c r="O826" s="258"/>
      <c r="P826" s="113"/>
      <c r="Q826" s="113"/>
      <c r="R826" s="113"/>
      <c r="S826" s="118"/>
      <c r="T826" s="271"/>
      <c r="U826" s="113"/>
      <c r="V826" s="113"/>
      <c r="W826" s="113"/>
      <c r="X826" s="113"/>
      <c r="Y826" s="113"/>
      <c r="Z826" s="272"/>
      <c r="AA826" s="113"/>
      <c r="AB826" s="258"/>
      <c r="AC826" s="258"/>
      <c r="AD826" s="127"/>
      <c r="AE826" s="127"/>
      <c r="AF826" s="258"/>
    </row>
    <row r="827">
      <c r="A827" s="267"/>
      <c r="B827" s="267"/>
      <c r="C827" s="268"/>
      <c r="D827" s="121"/>
      <c r="E827" s="128"/>
      <c r="F827" s="175"/>
      <c r="G827" s="128"/>
      <c r="H827" s="123"/>
      <c r="I827" s="128"/>
      <c r="J827" s="128"/>
      <c r="K827" s="128"/>
      <c r="L827" s="128"/>
      <c r="M827" s="269"/>
      <c r="N827" s="128"/>
      <c r="O827" s="267"/>
      <c r="P827" s="128"/>
      <c r="Q827" s="128"/>
      <c r="R827" s="128"/>
      <c r="S827" s="132"/>
      <c r="T827" s="269"/>
      <c r="U827" s="128"/>
      <c r="V827" s="128"/>
      <c r="W827" s="128"/>
      <c r="X827" s="128"/>
      <c r="Y827" s="128"/>
      <c r="Z827" s="270"/>
      <c r="AA827" s="128"/>
      <c r="AB827" s="267"/>
      <c r="AC827" s="267"/>
      <c r="AD827" s="139"/>
      <c r="AE827" s="139"/>
      <c r="AF827" s="267"/>
    </row>
    <row r="828">
      <c r="A828" s="258"/>
      <c r="B828" s="258"/>
      <c r="C828" s="259"/>
      <c r="D828" s="126"/>
      <c r="E828" s="113"/>
      <c r="F828" s="112"/>
      <c r="G828" s="113"/>
      <c r="H828" s="136"/>
      <c r="I828" s="113"/>
      <c r="J828" s="113"/>
      <c r="K828" s="113"/>
      <c r="L828" s="113"/>
      <c r="M828" s="271"/>
      <c r="N828" s="113"/>
      <c r="O828" s="258"/>
      <c r="P828" s="113"/>
      <c r="Q828" s="113"/>
      <c r="R828" s="113"/>
      <c r="S828" s="118"/>
      <c r="T828" s="271"/>
      <c r="U828" s="113"/>
      <c r="V828" s="113"/>
      <c r="W828" s="113"/>
      <c r="X828" s="113"/>
      <c r="Y828" s="113"/>
      <c r="Z828" s="272"/>
      <c r="AA828" s="113"/>
      <c r="AB828" s="258"/>
      <c r="AC828" s="258"/>
      <c r="AD828" s="127"/>
      <c r="AE828" s="127"/>
      <c r="AF828" s="258"/>
    </row>
    <row r="829">
      <c r="A829" s="267"/>
      <c r="B829" s="267"/>
      <c r="C829" s="268"/>
      <c r="D829" s="121"/>
      <c r="E829" s="128"/>
      <c r="F829" s="175"/>
      <c r="G829" s="128"/>
      <c r="H829" s="123"/>
      <c r="I829" s="128"/>
      <c r="J829" s="128"/>
      <c r="K829" s="128"/>
      <c r="L829" s="128"/>
      <c r="M829" s="269"/>
      <c r="N829" s="128"/>
      <c r="O829" s="267"/>
      <c r="P829" s="128"/>
      <c r="Q829" s="128"/>
      <c r="R829" s="128"/>
      <c r="S829" s="132"/>
      <c r="T829" s="269"/>
      <c r="U829" s="128"/>
      <c r="V829" s="128"/>
      <c r="W829" s="128"/>
      <c r="X829" s="128"/>
      <c r="Y829" s="128"/>
      <c r="Z829" s="270"/>
      <c r="AA829" s="128"/>
      <c r="AB829" s="267"/>
      <c r="AC829" s="267"/>
      <c r="AD829" s="139"/>
      <c r="AE829" s="139"/>
      <c r="AF829" s="267"/>
    </row>
    <row r="830">
      <c r="A830" s="258"/>
      <c r="B830" s="258"/>
      <c r="C830" s="259"/>
      <c r="D830" s="126"/>
      <c r="E830" s="113"/>
      <c r="F830" s="112"/>
      <c r="G830" s="113"/>
      <c r="H830" s="136"/>
      <c r="I830" s="113"/>
      <c r="J830" s="113"/>
      <c r="K830" s="113"/>
      <c r="L830" s="113"/>
      <c r="M830" s="271"/>
      <c r="N830" s="113"/>
      <c r="O830" s="258"/>
      <c r="P830" s="113"/>
      <c r="Q830" s="113"/>
      <c r="R830" s="113"/>
      <c r="S830" s="118"/>
      <c r="T830" s="271"/>
      <c r="U830" s="113"/>
      <c r="V830" s="113"/>
      <c r="W830" s="113"/>
      <c r="X830" s="113"/>
      <c r="Y830" s="113"/>
      <c r="Z830" s="272"/>
      <c r="AA830" s="113"/>
      <c r="AB830" s="258"/>
      <c r="AC830" s="258"/>
      <c r="AD830" s="127"/>
      <c r="AE830" s="127"/>
      <c r="AF830" s="258"/>
    </row>
    <row r="831">
      <c r="A831" s="267"/>
      <c r="B831" s="267"/>
      <c r="C831" s="268"/>
      <c r="D831" s="121"/>
      <c r="E831" s="128"/>
      <c r="F831" s="175"/>
      <c r="G831" s="128"/>
      <c r="H831" s="123"/>
      <c r="I831" s="128"/>
      <c r="J831" s="128"/>
      <c r="K831" s="128"/>
      <c r="L831" s="128"/>
      <c r="M831" s="269"/>
      <c r="N831" s="128"/>
      <c r="O831" s="267"/>
      <c r="P831" s="128"/>
      <c r="Q831" s="128"/>
      <c r="R831" s="128"/>
      <c r="S831" s="132"/>
      <c r="T831" s="269"/>
      <c r="U831" s="128"/>
      <c r="V831" s="128"/>
      <c r="W831" s="128"/>
      <c r="X831" s="128"/>
      <c r="Y831" s="128"/>
      <c r="Z831" s="270"/>
      <c r="AA831" s="128"/>
      <c r="AB831" s="267"/>
      <c r="AC831" s="267"/>
      <c r="AD831" s="139"/>
      <c r="AE831" s="139"/>
      <c r="AF831" s="267"/>
    </row>
    <row r="832">
      <c r="A832" s="258"/>
      <c r="B832" s="258"/>
      <c r="C832" s="259"/>
      <c r="D832" s="126"/>
      <c r="E832" s="113"/>
      <c r="F832" s="112"/>
      <c r="G832" s="113"/>
      <c r="H832" s="136"/>
      <c r="I832" s="113"/>
      <c r="J832" s="113"/>
      <c r="K832" s="113"/>
      <c r="L832" s="113"/>
      <c r="M832" s="271"/>
      <c r="N832" s="113"/>
      <c r="O832" s="258"/>
      <c r="P832" s="113"/>
      <c r="Q832" s="113"/>
      <c r="R832" s="113"/>
      <c r="S832" s="118"/>
      <c r="T832" s="271"/>
      <c r="U832" s="113"/>
      <c r="V832" s="113"/>
      <c r="W832" s="113"/>
      <c r="X832" s="113"/>
      <c r="Y832" s="113"/>
      <c r="Z832" s="272"/>
      <c r="AA832" s="113"/>
      <c r="AB832" s="258"/>
      <c r="AC832" s="258"/>
      <c r="AD832" s="127"/>
      <c r="AE832" s="127"/>
      <c r="AF832" s="258"/>
    </row>
    <row r="833">
      <c r="A833" s="267"/>
      <c r="B833" s="267"/>
      <c r="C833" s="268"/>
      <c r="D833" s="121"/>
      <c r="E833" s="128"/>
      <c r="F833" s="175"/>
      <c r="G833" s="128"/>
      <c r="H833" s="123"/>
      <c r="I833" s="128"/>
      <c r="J833" s="128"/>
      <c r="K833" s="128"/>
      <c r="L833" s="128"/>
      <c r="M833" s="269"/>
      <c r="N833" s="128"/>
      <c r="O833" s="267"/>
      <c r="P833" s="128"/>
      <c r="Q833" s="128"/>
      <c r="R833" s="128"/>
      <c r="S833" s="132"/>
      <c r="T833" s="269"/>
      <c r="U833" s="128"/>
      <c r="V833" s="128"/>
      <c r="W833" s="128"/>
      <c r="X833" s="128"/>
      <c r="Y833" s="128"/>
      <c r="Z833" s="270"/>
      <c r="AA833" s="128"/>
      <c r="AB833" s="267"/>
      <c r="AC833" s="267"/>
      <c r="AD833" s="139"/>
      <c r="AE833" s="139"/>
      <c r="AF833" s="267"/>
    </row>
    <row r="834">
      <c r="A834" s="258"/>
      <c r="B834" s="258"/>
      <c r="C834" s="259"/>
      <c r="D834" s="126"/>
      <c r="E834" s="113"/>
      <c r="F834" s="112"/>
      <c r="G834" s="113"/>
      <c r="H834" s="136"/>
      <c r="I834" s="113"/>
      <c r="J834" s="113"/>
      <c r="K834" s="113"/>
      <c r="L834" s="113"/>
      <c r="M834" s="271"/>
      <c r="N834" s="113"/>
      <c r="O834" s="258"/>
      <c r="P834" s="113"/>
      <c r="Q834" s="113"/>
      <c r="R834" s="113"/>
      <c r="S834" s="118"/>
      <c r="T834" s="271"/>
      <c r="U834" s="113"/>
      <c r="V834" s="113"/>
      <c r="W834" s="113"/>
      <c r="X834" s="113"/>
      <c r="Y834" s="113"/>
      <c r="Z834" s="272"/>
      <c r="AA834" s="113"/>
      <c r="AB834" s="258"/>
      <c r="AC834" s="258"/>
      <c r="AD834" s="127"/>
      <c r="AE834" s="127"/>
      <c r="AF834" s="258"/>
    </row>
    <row r="835">
      <c r="A835" s="267"/>
      <c r="B835" s="267"/>
      <c r="C835" s="268"/>
      <c r="D835" s="121"/>
      <c r="E835" s="128"/>
      <c r="F835" s="175"/>
      <c r="G835" s="128"/>
      <c r="H835" s="123"/>
      <c r="I835" s="128"/>
      <c r="J835" s="128"/>
      <c r="K835" s="128"/>
      <c r="L835" s="128"/>
      <c r="M835" s="269"/>
      <c r="N835" s="128"/>
      <c r="O835" s="267"/>
      <c r="P835" s="128"/>
      <c r="Q835" s="128"/>
      <c r="R835" s="128"/>
      <c r="S835" s="132"/>
      <c r="T835" s="269"/>
      <c r="U835" s="128"/>
      <c r="V835" s="128"/>
      <c r="W835" s="128"/>
      <c r="X835" s="128"/>
      <c r="Y835" s="128"/>
      <c r="Z835" s="270"/>
      <c r="AA835" s="128"/>
      <c r="AB835" s="267"/>
      <c r="AC835" s="267"/>
      <c r="AD835" s="139"/>
      <c r="AE835" s="139"/>
      <c r="AF835" s="267"/>
    </row>
    <row r="836">
      <c r="A836" s="258"/>
      <c r="B836" s="258"/>
      <c r="C836" s="259"/>
      <c r="D836" s="126"/>
      <c r="E836" s="113"/>
      <c r="F836" s="112"/>
      <c r="G836" s="113"/>
      <c r="H836" s="136"/>
      <c r="I836" s="113"/>
      <c r="J836" s="113"/>
      <c r="K836" s="113"/>
      <c r="L836" s="113"/>
      <c r="M836" s="271"/>
      <c r="N836" s="113"/>
      <c r="O836" s="258"/>
      <c r="P836" s="113"/>
      <c r="Q836" s="113"/>
      <c r="R836" s="113"/>
      <c r="S836" s="118"/>
      <c r="T836" s="271"/>
      <c r="U836" s="113"/>
      <c r="V836" s="113"/>
      <c r="W836" s="113"/>
      <c r="X836" s="113"/>
      <c r="Y836" s="113"/>
      <c r="Z836" s="272"/>
      <c r="AA836" s="113"/>
      <c r="AB836" s="258"/>
      <c r="AC836" s="258"/>
      <c r="AD836" s="127"/>
      <c r="AE836" s="127"/>
      <c r="AF836" s="258"/>
    </row>
    <row r="837">
      <c r="A837" s="267"/>
      <c r="B837" s="267"/>
      <c r="C837" s="268"/>
      <c r="D837" s="121"/>
      <c r="E837" s="128"/>
      <c r="F837" s="175"/>
      <c r="G837" s="128"/>
      <c r="H837" s="123"/>
      <c r="I837" s="128"/>
      <c r="J837" s="128"/>
      <c r="K837" s="128"/>
      <c r="L837" s="128"/>
      <c r="M837" s="269"/>
      <c r="N837" s="128"/>
      <c r="O837" s="267"/>
      <c r="P837" s="128"/>
      <c r="Q837" s="128"/>
      <c r="R837" s="128"/>
      <c r="S837" s="132"/>
      <c r="T837" s="269"/>
      <c r="U837" s="128"/>
      <c r="V837" s="128"/>
      <c r="W837" s="128"/>
      <c r="X837" s="128"/>
      <c r="Y837" s="128"/>
      <c r="Z837" s="270"/>
      <c r="AA837" s="128"/>
      <c r="AB837" s="267"/>
      <c r="AC837" s="267"/>
      <c r="AD837" s="139"/>
      <c r="AE837" s="139"/>
      <c r="AF837" s="267"/>
    </row>
    <row r="838">
      <c r="A838" s="258"/>
      <c r="B838" s="258"/>
      <c r="C838" s="259"/>
      <c r="D838" s="126"/>
      <c r="E838" s="113"/>
      <c r="F838" s="112"/>
      <c r="G838" s="113"/>
      <c r="H838" s="136"/>
      <c r="I838" s="113"/>
      <c r="J838" s="113"/>
      <c r="K838" s="113"/>
      <c r="L838" s="113"/>
      <c r="M838" s="271"/>
      <c r="N838" s="113"/>
      <c r="O838" s="258"/>
      <c r="P838" s="113"/>
      <c r="Q838" s="113"/>
      <c r="R838" s="113"/>
      <c r="S838" s="118"/>
      <c r="T838" s="271"/>
      <c r="U838" s="113"/>
      <c r="V838" s="113"/>
      <c r="W838" s="113"/>
      <c r="X838" s="113"/>
      <c r="Y838" s="113"/>
      <c r="Z838" s="272"/>
      <c r="AA838" s="113"/>
      <c r="AB838" s="258"/>
      <c r="AC838" s="258"/>
      <c r="AD838" s="127"/>
      <c r="AE838" s="127"/>
      <c r="AF838" s="258"/>
    </row>
    <row r="839">
      <c r="A839" s="267"/>
      <c r="B839" s="267"/>
      <c r="C839" s="268"/>
      <c r="D839" s="121"/>
      <c r="E839" s="128"/>
      <c r="F839" s="175"/>
      <c r="G839" s="128"/>
      <c r="H839" s="123"/>
      <c r="I839" s="128"/>
      <c r="J839" s="128"/>
      <c r="K839" s="128"/>
      <c r="L839" s="128"/>
      <c r="M839" s="269"/>
      <c r="N839" s="128"/>
      <c r="O839" s="267"/>
      <c r="P839" s="128"/>
      <c r="Q839" s="128"/>
      <c r="R839" s="128"/>
      <c r="S839" s="132"/>
      <c r="T839" s="269"/>
      <c r="U839" s="128"/>
      <c r="V839" s="128"/>
      <c r="W839" s="128"/>
      <c r="X839" s="128"/>
      <c r="Y839" s="128"/>
      <c r="Z839" s="270"/>
      <c r="AA839" s="128"/>
      <c r="AB839" s="267"/>
      <c r="AC839" s="267"/>
      <c r="AD839" s="139"/>
      <c r="AE839" s="139"/>
      <c r="AF839" s="267"/>
    </row>
    <row r="840">
      <c r="A840" s="258"/>
      <c r="B840" s="258"/>
      <c r="C840" s="259"/>
      <c r="D840" s="126"/>
      <c r="E840" s="113"/>
      <c r="F840" s="112"/>
      <c r="G840" s="113"/>
      <c r="H840" s="136"/>
      <c r="I840" s="113"/>
      <c r="J840" s="113"/>
      <c r="K840" s="113"/>
      <c r="L840" s="113"/>
      <c r="M840" s="271"/>
      <c r="N840" s="113"/>
      <c r="O840" s="258"/>
      <c r="P840" s="113"/>
      <c r="Q840" s="113"/>
      <c r="R840" s="113"/>
      <c r="S840" s="118"/>
      <c r="T840" s="271"/>
      <c r="U840" s="113"/>
      <c r="V840" s="113"/>
      <c r="W840" s="113"/>
      <c r="X840" s="113"/>
      <c r="Y840" s="113"/>
      <c r="Z840" s="272"/>
      <c r="AA840" s="113"/>
      <c r="AB840" s="258"/>
      <c r="AC840" s="258"/>
      <c r="AD840" s="127"/>
      <c r="AE840" s="127"/>
      <c r="AF840" s="258"/>
    </row>
    <row r="841" ht="18.75" customHeight="1">
      <c r="A841" s="267"/>
      <c r="B841" s="267"/>
      <c r="C841" s="268"/>
      <c r="D841" s="121"/>
      <c r="E841" s="128"/>
      <c r="F841" s="175"/>
      <c r="G841" s="128"/>
      <c r="H841" s="123"/>
      <c r="I841" s="128"/>
      <c r="J841" s="128"/>
      <c r="K841" s="128"/>
      <c r="L841" s="128"/>
      <c r="M841" s="269"/>
      <c r="N841" s="128"/>
      <c r="O841" s="267"/>
      <c r="P841" s="128"/>
      <c r="Q841" s="128"/>
      <c r="R841" s="128"/>
      <c r="S841" s="132"/>
      <c r="T841" s="269"/>
      <c r="U841" s="128"/>
      <c r="V841" s="128"/>
      <c r="W841" s="128"/>
      <c r="X841" s="128"/>
      <c r="Y841" s="128"/>
      <c r="Z841" s="270"/>
      <c r="AA841" s="128"/>
      <c r="AB841" s="267"/>
      <c r="AC841" s="267"/>
      <c r="AD841" s="139"/>
      <c r="AE841" s="139"/>
      <c r="AF841" s="267"/>
    </row>
    <row r="842">
      <c r="A842" s="258"/>
      <c r="B842" s="258"/>
      <c r="C842" s="259"/>
      <c r="D842" s="126"/>
      <c r="E842" s="113"/>
      <c r="F842" s="112"/>
      <c r="G842" s="113"/>
      <c r="H842" s="136"/>
      <c r="I842" s="113"/>
      <c r="J842" s="113"/>
      <c r="K842" s="113"/>
      <c r="L842" s="113"/>
      <c r="M842" s="271"/>
      <c r="N842" s="113"/>
      <c r="O842" s="258"/>
      <c r="P842" s="113"/>
      <c r="Q842" s="113"/>
      <c r="R842" s="113"/>
      <c r="S842" s="118"/>
      <c r="T842" s="271"/>
      <c r="U842" s="113"/>
      <c r="V842" s="113"/>
      <c r="W842" s="113"/>
      <c r="X842" s="113"/>
      <c r="Y842" s="113"/>
      <c r="Z842" s="272"/>
      <c r="AA842" s="113"/>
      <c r="AB842" s="258"/>
      <c r="AC842" s="258"/>
      <c r="AD842" s="127"/>
      <c r="AE842" s="127"/>
      <c r="AF842" s="258"/>
    </row>
    <row r="843">
      <c r="A843" s="267"/>
      <c r="B843" s="267"/>
      <c r="C843" s="268"/>
      <c r="D843" s="121"/>
      <c r="E843" s="128"/>
      <c r="F843" s="175"/>
      <c r="G843" s="128"/>
      <c r="H843" s="123"/>
      <c r="I843" s="128"/>
      <c r="J843" s="128"/>
      <c r="K843" s="128"/>
      <c r="L843" s="128"/>
      <c r="M843" s="269"/>
      <c r="N843" s="128"/>
      <c r="O843" s="267"/>
      <c r="P843" s="128"/>
      <c r="Q843" s="128"/>
      <c r="R843" s="128"/>
      <c r="S843" s="132"/>
      <c r="T843" s="269"/>
      <c r="U843" s="128"/>
      <c r="V843" s="128"/>
      <c r="W843" s="128"/>
      <c r="X843" s="128"/>
      <c r="Y843" s="128"/>
      <c r="Z843" s="270"/>
      <c r="AA843" s="128"/>
      <c r="AB843" s="267"/>
      <c r="AC843" s="267"/>
      <c r="AD843" s="139"/>
      <c r="AE843" s="139"/>
      <c r="AF843" s="267"/>
    </row>
    <row r="844">
      <c r="A844" s="258"/>
      <c r="B844" s="258"/>
      <c r="C844" s="259"/>
      <c r="D844" s="126"/>
      <c r="E844" s="113"/>
      <c r="F844" s="112"/>
      <c r="G844" s="113"/>
      <c r="H844" s="136"/>
      <c r="I844" s="113"/>
      <c r="J844" s="113"/>
      <c r="K844" s="113"/>
      <c r="L844" s="113"/>
      <c r="M844" s="271"/>
      <c r="N844" s="113"/>
      <c r="O844" s="258"/>
      <c r="P844" s="113"/>
      <c r="Q844" s="113"/>
      <c r="R844" s="113"/>
      <c r="S844" s="118"/>
      <c r="T844" s="271"/>
      <c r="U844" s="113"/>
      <c r="V844" s="113"/>
      <c r="W844" s="113"/>
      <c r="X844" s="113"/>
      <c r="Y844" s="113"/>
      <c r="Z844" s="272"/>
      <c r="AA844" s="113"/>
      <c r="AB844" s="258"/>
      <c r="AC844" s="258"/>
      <c r="AD844" s="127"/>
      <c r="AE844" s="127"/>
      <c r="AF844" s="258"/>
    </row>
    <row r="845">
      <c r="A845" s="267"/>
      <c r="B845" s="267"/>
      <c r="C845" s="268"/>
      <c r="D845" s="121"/>
      <c r="E845" s="128"/>
      <c r="F845" s="175"/>
      <c r="G845" s="128"/>
      <c r="H845" s="123"/>
      <c r="I845" s="128"/>
      <c r="J845" s="128"/>
      <c r="K845" s="128"/>
      <c r="L845" s="128"/>
      <c r="M845" s="269"/>
      <c r="N845" s="128"/>
      <c r="O845" s="267"/>
      <c r="P845" s="128"/>
      <c r="Q845" s="128"/>
      <c r="R845" s="128"/>
      <c r="S845" s="132"/>
      <c r="T845" s="269"/>
      <c r="U845" s="128"/>
      <c r="V845" s="128"/>
      <c r="W845" s="128"/>
      <c r="X845" s="128"/>
      <c r="Y845" s="128"/>
      <c r="Z845" s="270"/>
      <c r="AA845" s="128"/>
      <c r="AB845" s="267"/>
      <c r="AC845" s="267"/>
      <c r="AD845" s="139"/>
      <c r="AE845" s="139"/>
      <c r="AF845" s="267"/>
    </row>
    <row r="846">
      <c r="A846" s="258"/>
      <c r="B846" s="258"/>
      <c r="C846" s="259"/>
      <c r="D846" s="126"/>
      <c r="E846" s="273"/>
      <c r="F846" s="274"/>
      <c r="G846" s="273"/>
      <c r="H846" s="275"/>
      <c r="I846" s="273"/>
      <c r="J846" s="273"/>
      <c r="K846" s="273"/>
      <c r="L846" s="273"/>
      <c r="M846" s="276"/>
      <c r="N846" s="273"/>
      <c r="O846" s="277"/>
      <c r="P846" s="273"/>
      <c r="Q846" s="273"/>
      <c r="R846" s="273"/>
      <c r="S846" s="278"/>
      <c r="T846" s="276"/>
      <c r="U846" s="273"/>
      <c r="V846" s="273"/>
      <c r="W846" s="273"/>
      <c r="X846" s="273"/>
      <c r="Y846" s="273"/>
      <c r="Z846" s="279"/>
      <c r="AA846" s="273"/>
      <c r="AB846" s="277"/>
      <c r="AC846" s="277"/>
      <c r="AD846" s="280"/>
      <c r="AE846" s="280"/>
      <c r="AF846" s="258"/>
    </row>
    <row r="847">
      <c r="A847" s="267"/>
      <c r="B847" s="267"/>
      <c r="C847" s="268"/>
      <c r="D847" s="121"/>
      <c r="E847" s="281"/>
      <c r="F847" s="282"/>
      <c r="G847" s="281"/>
      <c r="H847" s="283"/>
      <c r="I847" s="281"/>
      <c r="J847" s="281"/>
      <c r="K847" s="281"/>
      <c r="L847" s="281"/>
      <c r="M847" s="284"/>
      <c r="N847" s="281"/>
      <c r="O847" s="285"/>
      <c r="P847" s="281"/>
      <c r="Q847" s="281"/>
      <c r="R847" s="281"/>
      <c r="S847" s="286"/>
      <c r="T847" s="284"/>
      <c r="U847" s="281"/>
      <c r="V847" s="281"/>
      <c r="W847" s="281"/>
      <c r="X847" s="281"/>
      <c r="Y847" s="281"/>
      <c r="Z847" s="287"/>
      <c r="AA847" s="281"/>
      <c r="AB847" s="285"/>
      <c r="AC847" s="285"/>
      <c r="AD847" s="288"/>
      <c r="AE847" s="288"/>
      <c r="AF847" s="267"/>
    </row>
  </sheetData>
  <autoFilter ref="$A$1:$AF$503">
    <filterColumn colId="1">
      <filters>
        <filter val="ליה"/>
      </filters>
    </filterColumn>
    <filterColumn colId="28">
      <filters>
        <filter val="מחכה לפרטים"/>
        <filter val="לא רלוונטי"/>
        <filter val="לא רוצים"/>
        <filter val="להוסיף פרטים"/>
      </filters>
    </filterColumn>
    <sortState ref="A1:AF503">
      <sortCondition ref="J1:J503"/>
    </sortState>
  </autoFilter>
  <customSheetViews>
    <customSheetView guid="{2A3DEFCF-CAB3-4FEB-A902-FC0B61FD7BAE}" filter="1" showAutoFilter="1">
      <autoFilter ref="$A$1:$AF$847">
        <filterColumn colId="1">
          <filters blank="1">
            <filter val="ליה"/>
            <filter val="נבו"/>
          </filters>
        </filterColumn>
        <filterColumn colId="28">
          <filters blank="1">
            <filter val="יש חונך"/>
          </filters>
        </filterColumn>
        <filterColumn colId="0">
          <filters>
            <filter val="משפחה"/>
            <filter val="בוגר/ת"/>
          </filters>
        </filterColumn>
      </autoFilter>
    </customSheetView>
    <customSheetView guid="{487EAD7E-38B5-4F6F-AC2F-8FAFA3FE8F5D}" filter="1" showAutoFilter="1">
      <autoFilter ref="$A$1:$AF$847">
        <filterColumn colId="0">
          <filters blank="1">
            <filter val="משפחה"/>
          </filters>
        </filterColumn>
        <filterColumn colId="1">
          <filters>
            <filter val="ליה"/>
            <filter val="נבו"/>
          </filters>
        </filterColumn>
        <sortState ref="A1:AF847">
          <sortCondition descending="1" sortBy="cellColor" ref="A1:A847" dxfId="6"/>
          <sortCondition ref="B1:B847"/>
          <sortCondition ref="R1:R847"/>
        </sortState>
      </autoFilter>
    </customSheetView>
  </customSheetViews>
  <conditionalFormatting sqref="N2:N437 N451:N455 N457:N458 N460:N845">
    <cfRule type="cellIs" dxfId="7" priority="1" operator="equal">
      <formula>"לא"</formula>
    </cfRule>
  </conditionalFormatting>
  <conditionalFormatting sqref="H2:H437 H451:H455 H457:H458 H460:H490 H492:H845">
    <cfRule type="cellIs" dxfId="8" priority="2" operator="greaterThanOrEqual">
      <formula>16</formula>
    </cfRule>
  </conditionalFormatting>
  <conditionalFormatting sqref="N2:N437 N451:N455 N457:N458 N460:N845">
    <cfRule type="cellIs" dxfId="9" priority="3" operator="equal">
      <formula>"כן"</formula>
    </cfRule>
  </conditionalFormatting>
  <conditionalFormatting sqref="H2:H437 H451:H455 H457:H458 H460:H490 H492:H845">
    <cfRule type="containsBlanks" dxfId="10" priority="4">
      <formula>LEN(TRIM(H2))=0</formula>
    </cfRule>
  </conditionalFormatting>
  <conditionalFormatting sqref="S2:S360 S466:S490 S492:S839">
    <cfRule type="containsBlanks" dxfId="10" priority="5">
      <formula>LEN(TRIM(S2))=0</formula>
    </cfRule>
  </conditionalFormatting>
  <conditionalFormatting sqref="D1:D203 A204 D205:D490 A481:C483 F481:AF483 D492:D847">
    <cfRule type="containsBlanks" dxfId="10" priority="6">
      <formula>LEN(TRIM(D1))=0</formula>
    </cfRule>
  </conditionalFormatting>
  <conditionalFormatting sqref="J1:J437 J451:J455 J457:J458 J460:J490 J492:J845">
    <cfRule type="containsBlanks" dxfId="10" priority="7">
      <formula>LEN(TRIM(J1))=0</formula>
    </cfRule>
  </conditionalFormatting>
  <conditionalFormatting sqref="R1:R455 R457:R458 R460:R490 R492:R845">
    <cfRule type="expression" dxfId="11" priority="8">
      <formula>COUNTIF(R:R, R1)&gt;1</formula>
    </cfRule>
  </conditionalFormatting>
  <dataValidations>
    <dataValidation type="list" allowBlank="1" showErrorMessage="1" sqref="AC219">
      <formula1>"למצוא חונך,יש חונך,לא רוצים,לא רלוונטי,לעדכן סטטוס,להוסיף פרטים,יחשבו על זה,מחכה לפרטים"</formula1>
    </dataValidation>
    <dataValidation type="list" allowBlank="1" showErrorMessage="1" sqref="B2:B503">
      <formula1>"ליה,נבו,ללא"</formula1>
    </dataValidation>
    <dataValidation type="list" allowBlank="1" showErrorMessage="1" sqref="Z2:Z9 Z14:Z15 Z18:Z19 Z22:Z23 Z30 Z32 Z34 Z36 Z40 Z45:Z46 Z48:Z49 Z51:Z55 Z59 Z62 Z65:Z71 Z73:Z74 Z76:Z79 Z81:Z86 Z90:Z92 Z94:Z99 Z103 Z105:Z108 Z110:Z116 Z118:Z123 Z125:Z126 Z128:Z153 Z155:Z157 Z159:Z166 Z168:Z194 Z196:Z209 Z211:Z216 Z218:Z226 Z228:Z230 Z232:Z263 Z265:Z270 Z273:Z276 Z279 Z281:Z282 Z284 Z286:Z292 Z294:Z296 Z298 Z301:Z306 Z308 Z310:Z314 Z318 Z320:Z327 Z329:Z332 Z334:Z342 Z345:Z392 Z394 Z396 Z398:Z408 Z410:Z415 Z417:Z434 Z436:Z471 Z473:Z479 Z481:Z482 Z484:Z495 Z497:Z503">
      <formula1>"נשואים,גרושים,פרודים,רווק/ה,חד הורי"</formula1>
    </dataValidation>
    <dataValidation type="list" allowBlank="1" showErrorMessage="1" sqref="A129">
      <formula1>"משפחה,בוגר/ת"</formula1>
    </dataValidation>
    <dataValidation type="list" allowBlank="1" showErrorMessage="1" sqref="A2:A128 A130:A503">
      <formula1>"משפחה,בוגר/ת"</formula1>
    </dataValidation>
    <dataValidation type="list" allowBlank="1" showErrorMessage="1" sqref="C2:C503">
      <formula1>"טיפולים,מעקבים,אחזקה,מחלים/בריא,."</formula1>
    </dataValidation>
    <dataValidation type="list" allowBlank="1" showErrorMessage="1" sqref="Z195">
      <formula1>"נשואים,גרושים,פרודים,רווק/ה,חד הורי"</formula1>
    </dataValidation>
    <dataValidation type="list" allowBlank="1" showErrorMessage="1" sqref="AC2:AC218 AC220:AC847">
      <formula1>"למצוא חונך,יש חונך,לא רוצים,לא רלוונטי,לעדכן סטטוס,להוסיף פרטים,יחשבו על זה,מחכה לפרטים"</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2.25"/>
    <col customWidth="1" min="6" max="7" width="18.88"/>
    <col customWidth="1" min="8" max="8" width="40.38"/>
    <col customWidth="1" min="9" max="9" width="94.5"/>
    <col customWidth="1" min="10" max="10" width="34.13"/>
    <col customWidth="1" min="11" max="11" width="18.88"/>
    <col customWidth="1" min="12" max="12" width="17.13"/>
    <col customWidth="1" min="13" max="13" width="54.13"/>
    <col customWidth="1" min="14" max="14" width="126.5"/>
    <col customWidth="1" min="15" max="15" width="18.88"/>
  </cols>
  <sheetData>
    <row r="1" ht="22.5" customHeight="1">
      <c r="A1" s="1" t="s">
        <v>0</v>
      </c>
      <c r="B1" s="289" t="s">
        <v>3895</v>
      </c>
      <c r="C1" s="289" t="s">
        <v>3896</v>
      </c>
      <c r="D1" s="290" t="s">
        <v>3897</v>
      </c>
      <c r="E1" s="289" t="s">
        <v>3898</v>
      </c>
      <c r="F1" s="289" t="s">
        <v>128</v>
      </c>
      <c r="G1" s="289" t="s">
        <v>133</v>
      </c>
      <c r="H1" s="289" t="s">
        <v>18</v>
      </c>
      <c r="I1" s="289" t="s">
        <v>3899</v>
      </c>
      <c r="J1" s="289" t="s">
        <v>3900</v>
      </c>
      <c r="K1" s="289" t="s">
        <v>3901</v>
      </c>
      <c r="L1" s="289" t="s">
        <v>3902</v>
      </c>
      <c r="M1" s="289" t="s">
        <v>3903</v>
      </c>
      <c r="N1" s="289" t="s">
        <v>3904</v>
      </c>
      <c r="O1" s="291" t="s">
        <v>3905</v>
      </c>
    </row>
    <row r="2" ht="22.5" customHeight="1">
      <c r="A2" s="292">
        <v>45495.451472789355</v>
      </c>
      <c r="B2" s="293" t="s">
        <v>3906</v>
      </c>
      <c r="C2" s="293"/>
      <c r="D2" s="293" t="s">
        <v>90</v>
      </c>
      <c r="E2" s="293" t="s">
        <v>3907</v>
      </c>
      <c r="F2" s="294">
        <f>IFERROR(__xludf.DUMMYFUNCTION("IF(ISDATE(G2), DATEDIF(G2, TODAY(), ""Y""), """")
"),23.0)</f>
        <v>23</v>
      </c>
      <c r="G2" s="295">
        <v>37520.0</v>
      </c>
      <c r="H2" s="293" t="s">
        <v>3908</v>
      </c>
      <c r="I2" s="293" t="s">
        <v>3909</v>
      </c>
      <c r="J2" s="293"/>
      <c r="K2" s="293">
        <v>3.25026094E8</v>
      </c>
      <c r="L2" s="293" t="s">
        <v>3910</v>
      </c>
      <c r="M2" s="296" t="s">
        <v>3911</v>
      </c>
      <c r="N2" s="293"/>
      <c r="O2" s="297"/>
    </row>
    <row r="3" ht="22.5" customHeight="1">
      <c r="A3" s="298" t="s">
        <v>3912</v>
      </c>
      <c r="B3" s="299" t="s">
        <v>3913</v>
      </c>
      <c r="C3" s="300">
        <v>5.26643648E8</v>
      </c>
      <c r="D3" s="299" t="s">
        <v>90</v>
      </c>
      <c r="E3" s="299" t="s">
        <v>3914</v>
      </c>
      <c r="F3" s="301">
        <f>IFERROR(__xludf.DUMMYFUNCTION("IF(ISDATE(G3), DATEDIF(G3, TODAY(), ""Y""), """")
"),18.0)</f>
        <v>18</v>
      </c>
      <c r="G3" s="302">
        <v>39146.0</v>
      </c>
      <c r="H3" s="299" t="s">
        <v>3915</v>
      </c>
      <c r="I3" s="299" t="s">
        <v>3916</v>
      </c>
      <c r="J3" s="303" t="s">
        <v>3917</v>
      </c>
      <c r="K3" s="300">
        <v>2.15837493E8</v>
      </c>
      <c r="L3" s="299" t="s">
        <v>3918</v>
      </c>
      <c r="M3" s="300">
        <v>5.26643648E8</v>
      </c>
      <c r="N3" s="303" t="s">
        <v>3919</v>
      </c>
      <c r="O3" s="304"/>
    </row>
  </sheetData>
  <dataValidations>
    <dataValidation type="custom" allowBlank="1" showDropDown="1" sqref="G2:G3">
      <formula1>OR(NOT(ISERROR(DATEVALUE(G2))), AND(ISNUMBER(G2), LEFT(CELL("format", G2))="D"))</formula1>
    </dataValidation>
  </dataValidations>
  <drawing r:id="rId1"/>
  <tableParts count="1">
    <tablePart r:id="rId3"/>
  </tableParts>
</worksheet>
</file>